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" sheetId="1" state="visible" r:id="rId1"/>
    <sheet name="Dashboard" sheetId="2" state="visible" r:id="rId2"/>
    <sheet name="Items" sheetId="3" state="visible" r:id="rId3"/>
    <sheet name="Locations" sheetId="4" state="visible" r:id="rId4"/>
    <sheet name="Config" sheetId="5" state="visible" r:id="rId5"/>
    <sheet name="MoveLog" sheetId="6" state="visible" r:id="rId6"/>
  </sheets>
  <definedNames>
    <definedName name="ZoneCodes">tblZones[Code]</definedName>
    <definedName name="ItemCodeList">tblItems[ItemCode]</definedName>
    <definedName name="ItemZoneList">tblItems[Zone]</definedName>
    <definedName name="DefaultLowStock">Config!$P$5</definedName>
    <definedName name="CellSizePx">Config!$P$6</definedName>
    <definedName name="MinCellSizePx">Config!$P$7</definedName>
    <definedName name="ScreenWidthPx">Config!$P$8</definedName>
    <definedName name="ScreenHeightPx">Config!$P$9</definedName>
    <definedName name="WalkwayCells">Config!$P$10</definedName>
    <definedName name="MapLabelChars">Config!$P$11</definedName>
    <definedName name="ShowMapLabels">Config!$P$12</definedName>
    <definedName name="BrandAccent">Config!$P$13</definedName>
    <definedName name="HeaderFill">Config!$P$14</definedName>
    <definedName name="HeaderText">Config!$P$15</definedName>
    <definedName name="BandGrey">Config!$P$16</definedName>
    <definedName name="NoZoneGrey">Config!$P$17</definedName>
    <definedName name="NoZoneUsedGrey">Config!$P$18</definedName>
    <definedName name="AlertRed">Config!$P$19</definedName>
    <definedName name="FireExitGreen">Config!$P$20</definedName>
    <definedName name="NotOursGrey">Config!$P$21</definedName>
    <definedName name="DDTop">Config!$T$6</definedName>
    <definedName name="DDZones">Config!$U$4:$AE$4</definedName>
    <definedName name="DDCounts">Config!$T$5:$AE$5</definedName>
    <definedName name="LogoSpot">Map!$AP$1</definedName>
    <definedName name="MapLegend">Map!$AL$6</definedName>
    <definedName name="MapArea">Map!$A$1:$AU$29</definedName>
    <definedName name="_xlnm.Print_Area" localSheetId="0">'Map'!$A$1:$AU$29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dd/mm/yyyy hh:mm:ss"/>
  </numFmts>
  <fonts count="2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595959"/>
      <sz val="8"/>
    </font>
    <font>
      <name val="Arial"/>
      <b val="1"/>
      <color rgb="00000000"/>
      <sz val="10"/>
    </font>
    <font>
      <name val="Arial"/>
      <b val="1"/>
      <color rgb="00808080"/>
      <sz val="9"/>
    </font>
    <font>
      <name val="Arial"/>
      <i val="1"/>
      <color rgb="00808080"/>
      <sz val="8"/>
    </font>
    <font>
      <name val="Arial"/>
      <b val="1"/>
      <color rgb="00808080"/>
      <sz val="8"/>
    </font>
    <font>
      <name val="Arial"/>
      <color rgb="00808080"/>
      <sz val="8"/>
    </font>
    <font>
      <name val="Arial"/>
      <b val="1"/>
      <color rgb="00404040"/>
      <sz val="10"/>
    </font>
    <font>
      <name val="Arial"/>
      <color rgb="00595959"/>
      <sz val="10"/>
    </font>
    <font>
      <name val="Arial"/>
      <b val="1"/>
      <color rgb="00FFFFFF"/>
      <sz val="9"/>
    </font>
    <font>
      <name val="Arial"/>
      <b val="1"/>
      <color rgb="00E6007E"/>
      <sz val="2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FFFFFF"/>
      <sz val="14"/>
    </font>
    <font>
      <name val="Arial"/>
      <i val="1"/>
      <color rgb="00404040"/>
      <sz val="8"/>
    </font>
    <font>
      <name val="Arial"/>
      <b val="1"/>
      <color rgb="00A6A6A6"/>
      <sz val="8"/>
    </font>
    <font>
      <name val="Arial"/>
      <b val="1"/>
      <color rgb="00000000"/>
      <sz val="8"/>
    </font>
    <font>
      <name val="Arial"/>
      <color rgb="00000000"/>
      <sz val="7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E6007E"/>
      <sz val="8"/>
    </font>
  </fonts>
  <fills count="20">
    <fill>
      <patternFill/>
    </fill>
    <fill>
      <patternFill patternType="gray125"/>
    </fill>
    <fill>
      <patternFill patternType="solid"/>
    </fill>
    <fill>
      <patternFill patternType="solid">
        <fgColor rgb="00C8A165"/>
        <bgColor rgb="00C8A165"/>
      </patternFill>
    </fill>
    <fill>
      <patternFill patternType="solid">
        <fgColor rgb="004A90D9"/>
        <bgColor rgb="004A90D9"/>
      </patternFill>
    </fill>
    <fill>
      <patternFill patternType="solid">
        <fgColor rgb="002BB3A3"/>
        <bgColor rgb="002BB3A3"/>
      </patternFill>
    </fill>
    <fill>
      <patternFill patternType="solid">
        <fgColor rgb="00F2B134"/>
        <bgColor rgb="00F2B134"/>
      </patternFill>
    </fill>
    <fill>
      <patternFill patternType="solid">
        <fgColor rgb="00E6007E"/>
        <bgColor rgb="00E6007E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A6A6A6"/>
        <bgColor rgb="00A6A6A6"/>
      </patternFill>
    </fill>
    <fill>
      <patternFill patternType="solid">
        <fgColor rgb="00FF0000"/>
        <bgColor rgb="00FF0000"/>
      </patternFill>
    </fill>
    <fill>
      <patternFill patternType="solid">
        <fgColor rgb="0000843D"/>
        <bgColor rgb="0000843D"/>
      </patternFill>
    </fill>
    <fill>
      <patternFill patternType="solid">
        <fgColor rgb="00BFBFBF"/>
        <bgColor rgb="00BFBFBF"/>
      </patternFill>
    </fill>
    <fill>
      <patternFill patternType="solid">
        <fgColor rgb="00404040"/>
        <bgColor rgb="00404040"/>
      </patternFill>
    </fill>
    <fill>
      <patternFill patternType="lightUp">
        <fgColor rgb="00C8A165"/>
        <bgColor rgb="00FFFFFF"/>
      </patternFill>
    </fill>
    <fill>
      <patternFill patternType="lightUp">
        <fgColor rgb="00F2B134"/>
        <bgColor rgb="00FFFFFF"/>
      </patternFill>
    </fill>
    <fill>
      <patternFill patternType="lightUp">
        <fgColor rgb="002BB3A3"/>
        <bgColor rgb="00FFFFFF"/>
      </patternFill>
    </fill>
    <fill>
      <patternFill patternType="lightUp">
        <fgColor rgb="004A90D9"/>
        <bgColor rgb="00FFFFFF"/>
      </patternFill>
    </fill>
  </fills>
  <borders count="9">
    <border>
      <left/>
      <right/>
      <top/>
      <bottom/>
      <diagonal/>
    </border>
    <border>
      <bottom style="thick">
        <color rgb="00E6007E"/>
      </bottom>
    </border>
    <border>
      <bottom style="medium">
        <color rgb="00E6007E"/>
      </bottom>
    </border>
    <border>
      <top style="thin">
        <color rgb="00000000"/>
      </top>
    </border>
    <border>
      <bottom style="thin">
        <color rgb="00E6007E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0000"/>
      </bottom>
    </border>
  </borders>
  <cellStyleXfs count="1">
    <xf numFmtId="0" fontId="1" fillId="0" borderId="0"/>
  </cellStyleXfs>
  <cellXfs count="83">
    <xf numFmtId="0" fontId="0" fillId="0" borderId="0" pivotButton="0" quotePrefix="0" xfId="0"/>
    <xf numFmtId="0" fontId="20" fillId="2" borderId="1" applyAlignment="1" pivotButton="0" quotePrefix="0" xfId="0">
      <alignment vertical="center" indent="1"/>
    </xf>
    <xf numFmtId="0" fontId="0" fillId="2" borderId="1" pivotButton="0" quotePrefix="0" xfId="0"/>
    <xf numFmtId="0" fontId="10" fillId="2" borderId="1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 indent="1"/>
    </xf>
    <xf numFmtId="0" fontId="15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3" fillId="0" borderId="4" applyAlignment="1" pivotButton="0" quotePrefix="0" xfId="0">
      <alignment horizontal="left" vertical="bottom"/>
    </xf>
    <xf numFmtId="0" fontId="0" fillId="0" borderId="4" pivotButton="0" quotePrefix="0" xfId="0"/>
    <xf numFmtId="0" fontId="22" fillId="0" borderId="0" applyAlignment="1" pivotButton="0" quotePrefix="0" xfId="0">
      <alignment horizontal="center" vertical="center" textRotation="90"/>
    </xf>
    <xf numFmtId="0" fontId="25" fillId="2" borderId="0" applyAlignment="1" pivotButton="0" quotePrefix="0" xfId="0">
      <alignment vertical="center" indent="1"/>
    </xf>
    <xf numFmtId="0" fontId="24" fillId="16" borderId="5" applyAlignment="1" pivotButton="0" quotePrefix="0" xfId="0">
      <alignment horizontal="left" vertical="center"/>
    </xf>
    <xf numFmtId="0" fontId="0" fillId="3" borderId="0" pivotButton="0" quotePrefix="0" xfId="0"/>
    <xf numFmtId="0" fontId="0" fillId="16" borderId="0" pivotButton="0" quotePrefix="0" xfId="0"/>
    <xf numFmtId="0" fontId="26" fillId="0" borderId="0" applyAlignment="1" pivotButton="0" quotePrefix="0" xfId="0">
      <alignment vertical="center"/>
    </xf>
    <xf numFmtId="0" fontId="0" fillId="4" borderId="0" pivotButton="0" quotePrefix="0" xfId="0"/>
    <xf numFmtId="0" fontId="0" fillId="19" borderId="0" pivotButton="0" quotePrefix="0" xfId="0"/>
    <xf numFmtId="0" fontId="0" fillId="5" borderId="0" pivotButton="0" quotePrefix="0" xfId="0"/>
    <xf numFmtId="0" fontId="0" fillId="18" borderId="0" pivotButton="0" quotePrefix="0" xfId="0"/>
    <xf numFmtId="0" fontId="0" fillId="6" borderId="0" pivotButton="0" quotePrefix="0" xfId="0"/>
    <xf numFmtId="0" fontId="0" fillId="17" borderId="0" pivotButton="0" quotePrefix="0" xfId="0"/>
    <xf numFmtId="0" fontId="24" fillId="19" borderId="5" applyAlignment="1" pivotButton="0" quotePrefix="0" xfId="0">
      <alignment horizontal="left" vertical="center"/>
    </xf>
    <xf numFmtId="0" fontId="0" fillId="10" borderId="0" pivotButton="0" quotePrefix="0" xfId="0"/>
    <xf numFmtId="0" fontId="0" fillId="14" borderId="0" pivotButton="0" quotePrefix="0" xfId="0"/>
    <xf numFmtId="0" fontId="24" fillId="18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11" fillId="14" borderId="0" applyAlignment="1" pivotButton="0" quotePrefix="0" xfId="0">
      <alignment horizontal="center" vertical="center"/>
    </xf>
    <xf numFmtId="0" fontId="24" fillId="17" borderId="5" applyAlignment="1" pivotButton="0" quotePrefix="0" xfId="0">
      <alignment horizontal="left" vertical="center"/>
    </xf>
    <xf numFmtId="0" fontId="27" fillId="0" borderId="0" applyAlignment="1" pivotButton="0" quotePrefix="0" xfId="0">
      <alignment horizontal="right" vertical="center"/>
    </xf>
    <xf numFmtId="0" fontId="15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2" fillId="2" borderId="1" applyAlignment="1" pivotButton="0" quotePrefix="0" xfId="0">
      <alignment vertical="center" indent="1"/>
    </xf>
    <xf numFmtId="0" fontId="3" fillId="0" borderId="0" applyAlignment="1" pivotButton="0" quotePrefix="0" xfId="0">
      <alignment vertical="center" wrapText="1" indent="1"/>
    </xf>
    <xf numFmtId="0" fontId="16" fillId="9" borderId="1" applyAlignment="1" pivotButton="0" quotePrefix="0" xfId="0">
      <alignment horizontal="center" vertical="center"/>
    </xf>
    <xf numFmtId="0" fontId="0" fillId="9" borderId="1" pivotButton="0" quotePrefix="0" xfId="0"/>
    <xf numFmtId="9" fontId="16" fillId="9" borderId="1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15" fillId="2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3" fontId="17" fillId="0" borderId="0" applyAlignment="1" pivotButton="0" quotePrefix="0" xfId="0">
      <alignment horizontal="center"/>
    </xf>
    <xf numFmtId="9" fontId="17" fillId="0" borderId="0" applyAlignment="1" pivotButton="0" quotePrefix="0" xfId="0">
      <alignment horizontal="center"/>
    </xf>
    <xf numFmtId="0" fontId="17" fillId="9" borderId="0" applyAlignment="1" pivotButton="0" quotePrefix="0" xfId="0">
      <alignment horizontal="center"/>
    </xf>
    <xf numFmtId="0" fontId="17" fillId="9" borderId="0" pivotButton="0" quotePrefix="0" xfId="0"/>
    <xf numFmtId="3" fontId="17" fillId="9" borderId="0" applyAlignment="1" pivotButton="0" quotePrefix="0" xfId="0">
      <alignment horizontal="center"/>
    </xf>
    <xf numFmtId="9" fontId="17" fillId="9" borderId="0" applyAlignment="1" pivotButton="0" quotePrefix="0" xfId="0">
      <alignment horizontal="center"/>
    </xf>
    <xf numFmtId="0" fontId="18" fillId="0" borderId="3" pivotButton="0" quotePrefix="0" xfId="0"/>
    <xf numFmtId="0" fontId="0" fillId="0" borderId="3" pivotButton="0" quotePrefix="0" xfId="0"/>
    <xf numFmtId="0" fontId="18" fillId="0" borderId="3" applyAlignment="1" pivotButton="0" quotePrefix="0" xfId="0">
      <alignment horizontal="center"/>
    </xf>
    <xf numFmtId="9" fontId="18" fillId="0" borderId="3" applyAlignment="1" pivotButton="0" quotePrefix="0" xfId="0">
      <alignment horizontal="center"/>
    </xf>
    <xf numFmtId="0" fontId="15" fillId="2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7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14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3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 vertical="top"/>
    </xf>
    <xf numFmtId="0" fontId="5" fillId="2" borderId="0" applyAlignment="1" pivotButton="0" quotePrefix="0" xfId="0">
      <alignment horizontal="center" vertical="top"/>
    </xf>
    <xf numFmtId="0" fontId="8" fillId="8" borderId="0" applyAlignment="1" pivotButton="0" quotePrefix="0" xfId="0">
      <alignment horizontal="center" vertical="top"/>
    </xf>
    <xf numFmtId="0" fontId="8" fillId="9" borderId="0" applyAlignment="1" pivotButton="0" quotePrefix="0" xfId="0">
      <alignment horizontal="center" vertical="top"/>
    </xf>
    <xf numFmtId="0" fontId="8" fillId="10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/>
    </xf>
    <xf numFmtId="0" fontId="5" fillId="12" borderId="0" applyAlignment="1" pivotButton="0" quotePrefix="0" xfId="0">
      <alignment horizontal="center" vertical="top"/>
    </xf>
    <xf numFmtId="0" fontId="5" fillId="13" borderId="0" applyAlignment="1" pivotButton="0" quotePrefix="0" xfId="0">
      <alignment horizontal="center" vertical="top"/>
    </xf>
    <xf numFmtId="0" fontId="8" fillId="14" borderId="0" applyAlignment="1" pivotButton="0" quotePrefix="0" xfId="0">
      <alignment horizontal="center" vertical="top"/>
    </xf>
    <xf numFmtId="165" fontId="6" fillId="0" borderId="0" pivotButton="0" quotePrefix="0" xfId="0"/>
  </cellXfs>
  <cellStyles count="1">
    <cellStyle name="Normal" xfId="0" builtinId="0" hidden="0"/>
  </cellStyles>
  <dxfs count="7">
    <dxf>
      <font>
        <color rgb="00000000"/>
      </font>
      <fill>
        <patternFill patternType="solid">
          <fgColor rgb="00C8A165"/>
          <bgColor rgb="00C8A165"/>
        </patternFill>
      </fill>
    </dxf>
    <dxf>
      <font>
        <color rgb="00000000"/>
      </font>
      <fill>
        <patternFill patternType="solid">
          <fgColor rgb="00F2B134"/>
          <bgColor rgb="00F2B134"/>
        </patternFill>
      </fill>
    </dxf>
    <dxf>
      <font>
        <color rgb="00FFFFFF"/>
      </font>
      <fill>
        <patternFill patternType="solid">
          <fgColor rgb="002BB3A3"/>
          <bgColor rgb="002BB3A3"/>
        </patternFill>
      </fill>
    </dxf>
    <dxf>
      <font>
        <color rgb="00FFFFFF"/>
      </font>
      <fill>
        <patternFill patternType="solid">
          <fgColor rgb="004A90D9"/>
          <bgColor rgb="004A90D9"/>
        </patternFill>
      </fill>
    </dxf>
    <dxf>
      <font>
        <b val="1"/>
        <color rgb="00C00000"/>
      </font>
      <fill>
        <patternFill patternType="solid">
          <fgColor rgb="00FFD9D9"/>
          <bgColor rgb="00FFD9D9"/>
        </patternFill>
      </fill>
    </dxf>
    <dxf>
      <font>
        <b val="1"/>
        <color rgb="007F6000"/>
      </font>
      <fill>
        <patternFill patternType="solid">
          <fgColor rgb="00FFF2CC"/>
          <bgColor rgb="00FFF2CC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Items" displayName="tblItems" ref="A4:K6" headerRowCount="1">
  <tableColumns count="11">
    <tableColumn id="1" name="ItemCode"/>
    <tableColumn id="2" name="Description"/>
    <tableColumn id="3" name="Zone"/>
    <tableColumn id="4" name="UnitsPerPallet"/>
    <tableColumn id="5" name="OnHandUnits"/>
    <tableColumn id="6" name="ReorderPallets"/>
    <tableColumn id="7" name="Notes"/>
    <tableColumn id="8" name="PalletsNeeded">
      <calculatedColumnFormula>IF(OR(tblItems[[#This Row],[ItemCode]]="",N(tblItems[[#This Row],[UnitsPerPallet]])&lt;=0),"",ROUNDUP(N(tblItems[[#This Row],[OnHandUnits]])/tblItems[[#This Row],[UnitsPerPallet]],0))</calculatedColumnFormula>
    </tableColumn>
    <tableColumn id="9" name="PalletsPlaced">
      <calculatedColumnFormula>IF(tblItems[[#This Row],[ItemCode]]="","",COUNTIF(tblLocations[ItemCode],tblItems[[#This Row],[ItemCode]]))</calculatedColumnFormula>
    </tableColumn>
    <tableColumn id="10" name="Mismatch">
      <calculatedColumnFormula>IF(OR(tblItems[[#This Row],[ItemCode]]="",tblItems[[#This Row],[PalletsNeeded]]=""),"",IF(tblItems[[#This Row],[PalletsNeeded]]&lt;&gt;tblItems[[#This Row],[PalletsPlaced]],"Yes",""))</calculatedColumnFormula>
    </tableColumn>
    <tableColumn id="11" name="LowStock">
      <calculatedColumnFormula>IF(tblItems[[#This Row],[ItemCode]]="","",IF(tblItems[[#This Row],[PalletsPlaced]]&lt;=IF(tblItems[[#This Row],[ReorderPallets]]="",DefaultLowStock,tblItems[[#This Row],[ReorderPallets]]),"LOW",""))</calculatedColumnFormula>
    </tableColumn>
  </tableColumns>
  <tableStyleInfo name="TableStyleMedium15" showRowStripes="1"/>
</table>
</file>

<file path=xl/tables/table2.xml><?xml version="1.0" encoding="utf-8"?>
<table xmlns="http://schemas.openxmlformats.org/spreadsheetml/2006/main" id="2" name="tblLocations" displayName="tblLocations" ref="A4:I404" headerRowCount="1">
  <tableColumns count="9">
    <tableColumn id="1" name="LocationID"/>
    <tableColumn id="2" name="Aisle"/>
    <tableColumn id="3" name="Depth"/>
    <tableColumn id="4" name="Column"/>
    <tableColumn id="5" name="Zone"/>
    <tableColumn id="6" name="ItemCode"/>
    <tableColumn id="7" name="UnitsOnPallet"/>
    <tableColumn id="8" name="MapRow"/>
    <tableColumn id="9" name="MapCol"/>
  </tableColumns>
  <tableStyleInfo name="TableStyleMedium15" showRowStripes="1"/>
</table>
</file>

<file path=xl/tables/table3.xml><?xml version="1.0" encoding="utf-8"?>
<table xmlns="http://schemas.openxmlformats.org/spreadsheetml/2006/main" id="3" name="tblAisles" displayName="tblAisles" ref="A4:H13" headerRowCount="1">
  <tableColumns count="8">
    <tableColumn id="1" name="AisleID"/>
    <tableColumn id="2" name="Side"/>
    <tableColumn id="3" name="Order"/>
    <tableColumn id="4" name="PalletsAcross"/>
    <tableColumn id="5" name="PalletsDeep"/>
    <tableColumn id="6" name="Zone"/>
    <tableColumn id="7" name="GapAfter"/>
    <tableColumn id="8" name="Active"/>
  </tableColumns>
  <tableStyleInfo name="TableStyleMedium15" showRowStripes="1"/>
</table>
</file>

<file path=xl/tables/table4.xml><?xml version="1.0" encoding="utf-8"?>
<table xmlns="http://schemas.openxmlformats.org/spreadsheetml/2006/main" id="4" name="tblZones" displayName="tblZones" ref="J4:M8" headerRowCount="1">
  <tableColumns count="4">
    <tableColumn id="1" name="Code"/>
    <tableColumn id="2" name="Name"/>
    <tableColumn id="3" name="Colour"/>
    <tableColumn id="4" name="Covers"/>
  </tableColumns>
  <tableStyleInfo name="TableStyleMedium15" showRowStripes="1"/>
</table>
</file>

<file path=xl/tables/table5.xml><?xml version="1.0" encoding="utf-8"?>
<table xmlns="http://schemas.openxmlformats.org/spreadsheetml/2006/main" id="5" name="tblSettings" displayName="tblSettings" ref="O4:Q21" headerRowCount="1">
  <tableColumns count="3">
    <tableColumn id="1" name="Setting"/>
    <tableColumn id="2" name="Value"/>
    <tableColumn id="3" name="Notes"/>
  </tableColumns>
  <tableStyleInfo name="TableStyleMedium15" showRowStripes="1"/>
</table>
</file>

<file path=xl/tables/table6.xml><?xml version="1.0" encoding="utf-8"?>
<table xmlns="http://schemas.openxmlformats.org/spreadsheetml/2006/main" id="6" name="tblMoveLog" displayName="tblMoveLog" ref="A4:E5" headerRowCount="1">
  <tableColumns count="5">
    <tableColumn id="1" name="Timestamp"/>
    <tableColumn id="2" name="User"/>
    <tableColumn id="3" name="ItemCode"/>
    <tableColumn id="4" name="FromLocation"/>
    <tableColumn id="5" name="ToLocation"/>
  </tableColumns>
  <tableStyleInfo name="TableStyleMedium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rgb="00E6007E"/>
    <outlinePr summaryBelow="1" summaryRight="1"/>
    <pageSetUpPr fitToPage="1"/>
  </sheetPr>
  <dimension ref="A1:AU29"/>
  <sheetViews>
    <sheetView showGridLines="0" showRowColHeaders="0" zoomScale="100" workbookViewId="0">
      <selection activeCell="A1" sqref="A1"/>
    </sheetView>
  </sheetViews>
  <sheetFormatPr baseColWidth="8" defaultRowHeight="15"/>
  <cols>
    <col width="2.857142857142857" customWidth="1" min="1" max="1"/>
    <col width="2.857142857142857" customWidth="1" min="2" max="2"/>
    <col width="2.857142857142857" customWidth="1" min="3" max="3"/>
    <col width="2.857142857142857" customWidth="1" min="4" max="4"/>
    <col width="2.857142857142857" customWidth="1" min="5" max="5"/>
    <col width="2.857142857142857" customWidth="1" min="6" max="6"/>
    <col width="2.857142857142857" customWidth="1" min="7" max="7"/>
    <col width="2.857142857142857" customWidth="1" min="8" max="8"/>
    <col width="2.857142857142857" customWidth="1" min="9" max="9"/>
    <col width="2.857142857142857" customWidth="1" min="10" max="10"/>
    <col width="2.857142857142857" customWidth="1" min="11" max="11"/>
    <col width="2.857142857142857" customWidth="1" min="12" max="12"/>
    <col width="2.857142857142857" customWidth="1" min="13" max="13"/>
    <col width="2.857142857142857" customWidth="1" min="14" max="14"/>
    <col width="2.857142857142857" customWidth="1" min="15" max="15"/>
    <col width="2.857142857142857" customWidth="1" min="16" max="16"/>
    <col width="2.857142857142857" customWidth="1" min="17" max="17"/>
    <col width="2.857142857142857" customWidth="1" min="18" max="18"/>
    <col width="2.857142857142857" customWidth="1" min="19" max="19"/>
    <col width="2.857142857142857" customWidth="1" min="20" max="20"/>
    <col width="2.857142857142857" customWidth="1" min="21" max="21"/>
    <col width="2.857142857142857" customWidth="1" min="22" max="22"/>
    <col width="2.857142857142857" customWidth="1" min="23" max="23"/>
    <col width="2.857142857142857" customWidth="1" min="24" max="24"/>
    <col width="2.857142857142857" customWidth="1" min="25" max="25"/>
    <col width="2.857142857142857" customWidth="1" min="26" max="26"/>
    <col width="2.857142857142857" customWidth="1" min="27" max="27"/>
    <col width="2.857142857142857" customWidth="1" min="28" max="28"/>
    <col width="2.857142857142857" customWidth="1" min="29" max="29"/>
    <col width="2.857142857142857" customWidth="1" min="30" max="30"/>
    <col width="2.857142857142857" customWidth="1" min="31" max="31"/>
    <col width="2.857142857142857" customWidth="1" min="32" max="32"/>
    <col width="2.857142857142857" customWidth="1" min="33" max="33"/>
    <col width="2.857142857142857" customWidth="1" min="34" max="34"/>
    <col width="2.857142857142857" customWidth="1" min="35" max="35"/>
    <col width="2.857142857142857" customWidth="1" min="36" max="36"/>
    <col width="2.857142857142857" customWidth="1" min="37" max="37"/>
    <col width="2.857142857142857" customWidth="1" min="38" max="38"/>
    <col width="2.857142857142857" customWidth="1" min="39" max="39"/>
    <col width="2.857142857142857" customWidth="1" min="40" max="40"/>
    <col width="2.857142857142857" customWidth="1" min="41" max="41"/>
    <col width="2.857142857142857" customWidth="1" min="42" max="42"/>
    <col width="2.857142857142857" customWidth="1" min="43" max="43"/>
    <col width="2.857142857142857" customWidth="1" min="44" max="44"/>
    <col width="2.857142857142857" customWidth="1" min="45" max="45"/>
    <col width="2.857142857142857" customWidth="1" min="46" max="46"/>
    <col width="2.857142857142857" customWidth="1" min="47" max="47"/>
  </cols>
  <sheetData>
    <row r="1" ht="24" customHeight="1">
      <c r="A1" s="1" t="inlineStr">
        <is>
          <t>Consumables Floor Map, Sherburn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inlineStr">
        <is>
          <t>Logo</t>
        </is>
      </c>
      <c r="AQ1" s="2" t="n"/>
      <c r="AR1" s="2" t="n"/>
      <c r="AS1" s="2" t="n"/>
      <c r="AT1" s="2" t="n"/>
      <c r="AU1" s="2" t="n"/>
    </row>
    <row r="2" ht="13.5" customHeight="1">
      <c r="A2" s="4" t="inlineStr">
        <is>
          <t>Click a pallet, then click where it goes (empty = move, occupied = swap). Click it again or press Esc / Cancel Move to cancel. Without macros: edit ItemCode on the Locations sheet.</t>
        </is>
      </c>
    </row>
    <row r="3" ht="21" customHeight="1"/>
    <row r="4" ht="15" customHeight="1">
      <c r="B4" s="5" t="inlineStr">
        <is>
          <t>LOADING BAY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</row>
    <row r="5" ht="15" customHeight="1"/>
    <row r="6" ht="15" customHeight="1">
      <c r="B6" s="7" t="inlineStr">
        <is>
          <t>L3  Boxes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9" t="inlineStr">
        <is>
          <t>MAIN WALKWAY</t>
        </is>
      </c>
      <c r="U6" s="7" t="inlineStr">
        <is>
          <t>R4  Boxes</t>
        </is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L6" s="10" t="inlineStr">
        <is>
          <t>ZONES</t>
        </is>
      </c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</row>
    <row r="7" ht="15" customHeight="1">
      <c r="B7" s="11">
        <f>IFERROR(LEFT(INDEX(tblLocations[ItemCode],MATCH("L3-16-A",tblLocations[LocationID],0))&amp;"",MapLabelChars),"")</f>
        <v/>
      </c>
      <c r="C7" s="11">
        <f>IFERROR(LEFT(INDEX(tblLocations[ItemCode],MATCH("L3-15-A",tblLocations[LocationID],0))&amp;"",MapLabelChars),"")</f>
        <v/>
      </c>
      <c r="D7" s="11">
        <f>IFERROR(LEFT(INDEX(tblLocations[ItemCode],MATCH("L3-14-A",tblLocations[LocationID],0))&amp;"",MapLabelChars),"")</f>
        <v/>
      </c>
      <c r="E7" s="11">
        <f>IFERROR(LEFT(INDEX(tblLocations[ItemCode],MATCH("L3-13-A",tblLocations[LocationID],0))&amp;"",MapLabelChars),"")</f>
        <v/>
      </c>
      <c r="F7" s="11">
        <f>IFERROR(LEFT(INDEX(tblLocations[ItemCode],MATCH("L3-12-A",tblLocations[LocationID],0))&amp;"",MapLabelChars),"")</f>
        <v/>
      </c>
      <c r="G7" s="11">
        <f>IFERROR(LEFT(INDEX(tblLocations[ItemCode],MATCH("L3-11-A",tblLocations[LocationID],0))&amp;"",MapLabelChars),"")</f>
        <v/>
      </c>
      <c r="H7" s="11">
        <f>IFERROR(LEFT(INDEX(tblLocations[ItemCode],MATCH("L3-10-A",tblLocations[LocationID],0))&amp;"",MapLabelChars),"")</f>
        <v/>
      </c>
      <c r="I7" s="11">
        <f>IFERROR(LEFT(INDEX(tblLocations[ItemCode],MATCH("L3-09-A",tblLocations[LocationID],0))&amp;"",MapLabelChars),"")</f>
        <v/>
      </c>
      <c r="J7" s="11">
        <f>IFERROR(LEFT(INDEX(tblLocations[ItemCode],MATCH("L3-08-A",tblLocations[LocationID],0))&amp;"",MapLabelChars),"")</f>
        <v/>
      </c>
      <c r="K7" s="11">
        <f>IFERROR(LEFT(INDEX(tblLocations[ItemCode],MATCH("L3-07-A",tblLocations[LocationID],0))&amp;"",MapLabelChars),"")</f>
        <v/>
      </c>
      <c r="L7" s="11">
        <f>IFERROR(LEFT(INDEX(tblLocations[ItemCode],MATCH("L3-06-A",tblLocations[LocationID],0))&amp;"",MapLabelChars),"")</f>
        <v/>
      </c>
      <c r="M7" s="11">
        <f>IFERROR(LEFT(INDEX(tblLocations[ItemCode],MATCH("L3-05-A",tblLocations[LocationID],0))&amp;"",MapLabelChars),"")</f>
        <v/>
      </c>
      <c r="N7" s="11">
        <f>IFERROR(LEFT(INDEX(tblLocations[ItemCode],MATCH("L3-04-A",tblLocations[LocationID],0))&amp;"",MapLabelChars),"")</f>
        <v/>
      </c>
      <c r="O7" s="11">
        <f>IFERROR(LEFT(INDEX(tblLocations[ItemCode],MATCH("L3-03-A",tblLocations[LocationID],0))&amp;"",MapLabelChars),"")</f>
        <v/>
      </c>
      <c r="P7" s="11">
        <f>IFERROR(LEFT(INDEX(tblLocations[ItemCode],MATCH("L3-02-A",tblLocations[LocationID],0))&amp;"",MapLabelChars),"")</f>
        <v/>
      </c>
      <c r="Q7" s="11">
        <f>IFERROR(LEFT(INDEX(tblLocations[ItemCode],MATCH("L3-01-A",tblLocations[LocationID],0))&amp;"",MapLabelChars),"")</f>
        <v/>
      </c>
      <c r="U7" s="11">
        <f>IFERROR(LEFT(INDEX(tblLocations[ItemCode],MATCH("R4-01-A",tblLocations[LocationID],0))&amp;"",MapLabelChars),"")</f>
        <v/>
      </c>
      <c r="V7" s="11">
        <f>IFERROR(LEFT(INDEX(tblLocations[ItemCode],MATCH("R4-02-A",tblLocations[LocationID],0))&amp;"",MapLabelChars),"")</f>
        <v/>
      </c>
      <c r="W7" s="11">
        <f>IFERROR(LEFT(INDEX(tblLocations[ItemCode],MATCH("R4-03-A",tblLocations[LocationID],0))&amp;"",MapLabelChars),"")</f>
        <v/>
      </c>
      <c r="X7" s="11">
        <f>IFERROR(LEFT(INDEX(tblLocations[ItemCode],MATCH("R4-04-A",tblLocations[LocationID],0))&amp;"",MapLabelChars),"")</f>
        <v/>
      </c>
      <c r="Y7" s="11">
        <f>IFERROR(LEFT(INDEX(tblLocations[ItemCode],MATCH("R4-05-A",tblLocations[LocationID],0))&amp;"",MapLabelChars),"")</f>
        <v/>
      </c>
      <c r="Z7" s="11">
        <f>IFERROR(LEFT(INDEX(tblLocations[ItemCode],MATCH("R4-06-A",tblLocations[LocationID],0))&amp;"",MapLabelChars),"")</f>
        <v/>
      </c>
      <c r="AA7" s="11">
        <f>IFERROR(LEFT(INDEX(tblLocations[ItemCode],MATCH("R4-07-A",tblLocations[LocationID],0))&amp;"",MapLabelChars),"")</f>
        <v/>
      </c>
      <c r="AB7" s="11">
        <f>IFERROR(LEFT(INDEX(tblLocations[ItemCode],MATCH("R4-08-A",tblLocations[LocationID],0))&amp;"",MapLabelChars),"")</f>
        <v/>
      </c>
      <c r="AC7" s="11">
        <f>IFERROR(LEFT(INDEX(tblLocations[ItemCode],MATCH("R4-09-A",tblLocations[LocationID],0))&amp;"",MapLabelChars),"")</f>
        <v/>
      </c>
      <c r="AD7" s="11">
        <f>IFERROR(LEFT(INDEX(tblLocations[ItemCode],MATCH("R4-10-A",tblLocations[LocationID],0))&amp;"",MapLabelChars),"")</f>
        <v/>
      </c>
      <c r="AE7" s="11">
        <f>IFERROR(LEFT(INDEX(tblLocations[ItemCode],MATCH("R4-11-A",tblLocations[LocationID],0))&amp;"",MapLabelChars),"")</f>
        <v/>
      </c>
      <c r="AF7" s="11">
        <f>IFERROR(LEFT(INDEX(tblLocations[ItemCode],MATCH("R4-12-A",tblLocations[LocationID],0))&amp;"",MapLabelChars),"")</f>
        <v/>
      </c>
      <c r="AG7" s="11">
        <f>IFERROR(LEFT(INDEX(tblLocations[ItemCode],MATCH("R4-13-A",tblLocations[LocationID],0))&amp;"",MapLabelChars),"")</f>
        <v/>
      </c>
      <c r="AH7" s="11">
        <f>IFERROR(LEFT(INDEX(tblLocations[ItemCode],MATCH("R4-14-A",tblLocations[LocationID],0))&amp;"",MapLabelChars),"")</f>
        <v/>
      </c>
      <c r="AI7" s="11">
        <f>IFERROR(LEFT(INDEX(tblLocations[ItemCode],MATCH("R4-15-A",tblLocations[LocationID],0))&amp;"",MapLabelChars),"")</f>
        <v/>
      </c>
      <c r="AJ7" s="11">
        <f>IFERROR(LEFT(INDEX(tblLocations[ItemCode],MATCH("R4-16-A",tblLocations[LocationID],0))&amp;"",MapLabelChars),"")</f>
        <v/>
      </c>
      <c r="AL7" s="12" t="n"/>
      <c r="AM7" s="13" t="n"/>
      <c r="AO7" s="14" t="inlineStr">
        <is>
          <t>BOX  Boxes</t>
        </is>
      </c>
    </row>
    <row r="8" ht="15" customHeight="1">
      <c r="B8" s="11">
        <f>IFERROR(LEFT(INDEX(tblLocations[ItemCode],MATCH("L3-16-B",tblLocations[LocationID],0))&amp;"",MapLabelChars),"")</f>
        <v/>
      </c>
      <c r="C8" s="11">
        <f>IFERROR(LEFT(INDEX(tblLocations[ItemCode],MATCH("L3-15-B",tblLocations[LocationID],0))&amp;"",MapLabelChars),"")</f>
        <v/>
      </c>
      <c r="D8" s="11">
        <f>IFERROR(LEFT(INDEX(tblLocations[ItemCode],MATCH("L3-14-B",tblLocations[LocationID],0))&amp;"",MapLabelChars),"")</f>
        <v/>
      </c>
      <c r="E8" s="11">
        <f>IFERROR(LEFT(INDEX(tblLocations[ItemCode],MATCH("L3-13-B",tblLocations[LocationID],0))&amp;"",MapLabelChars),"")</f>
        <v/>
      </c>
      <c r="F8" s="11">
        <f>IFERROR(LEFT(INDEX(tblLocations[ItemCode],MATCH("L3-12-B",tblLocations[LocationID],0))&amp;"",MapLabelChars),"")</f>
        <v/>
      </c>
      <c r="G8" s="11">
        <f>IFERROR(LEFT(INDEX(tblLocations[ItemCode],MATCH("L3-11-B",tblLocations[LocationID],0))&amp;"",MapLabelChars),"")</f>
        <v/>
      </c>
      <c r="H8" s="11">
        <f>IFERROR(LEFT(INDEX(tblLocations[ItemCode],MATCH("L3-10-B",tblLocations[LocationID],0))&amp;"",MapLabelChars),"")</f>
        <v/>
      </c>
      <c r="I8" s="11">
        <f>IFERROR(LEFT(INDEX(tblLocations[ItemCode],MATCH("L3-09-B",tblLocations[LocationID],0))&amp;"",MapLabelChars),"")</f>
        <v/>
      </c>
      <c r="J8" s="11">
        <f>IFERROR(LEFT(INDEX(tblLocations[ItemCode],MATCH("L3-08-B",tblLocations[LocationID],0))&amp;"",MapLabelChars),"")</f>
        <v/>
      </c>
      <c r="K8" s="11">
        <f>IFERROR(LEFT(INDEX(tblLocations[ItemCode],MATCH("L3-07-B",tblLocations[LocationID],0))&amp;"",MapLabelChars),"")</f>
        <v/>
      </c>
      <c r="L8" s="11">
        <f>IFERROR(LEFT(INDEX(tblLocations[ItemCode],MATCH("L3-06-B",tblLocations[LocationID],0))&amp;"",MapLabelChars),"")</f>
        <v/>
      </c>
      <c r="M8" s="11">
        <f>IFERROR(LEFT(INDEX(tblLocations[ItemCode],MATCH("L3-05-B",tblLocations[LocationID],0))&amp;"",MapLabelChars),"")</f>
        <v/>
      </c>
      <c r="N8" s="11">
        <f>IFERROR(LEFT(INDEX(tblLocations[ItemCode],MATCH("L3-04-B",tblLocations[LocationID],0))&amp;"",MapLabelChars),"")</f>
        <v/>
      </c>
      <c r="O8" s="11">
        <f>IFERROR(LEFT(INDEX(tblLocations[ItemCode],MATCH("L3-03-B",tblLocations[LocationID],0))&amp;"",MapLabelChars),"")</f>
        <v/>
      </c>
      <c r="P8" s="11">
        <f>IFERROR(LEFT(INDEX(tblLocations[ItemCode],MATCH("L3-02-B",tblLocations[LocationID],0))&amp;"",MapLabelChars),"")</f>
        <v/>
      </c>
      <c r="Q8" s="11">
        <f>IFERROR(LEFT(INDEX(tblLocations[ItemCode],MATCH("L3-01-B",tblLocations[LocationID],0))&amp;"",MapLabelChars),"")</f>
        <v/>
      </c>
      <c r="U8" s="11">
        <f>IFERROR(LEFT(INDEX(tblLocations[ItemCode],MATCH("R4-01-B",tblLocations[LocationID],0))&amp;"",MapLabelChars),"")</f>
        <v/>
      </c>
      <c r="V8" s="11">
        <f>IFERROR(LEFT(INDEX(tblLocations[ItemCode],MATCH("R4-02-B",tblLocations[LocationID],0))&amp;"",MapLabelChars),"")</f>
        <v/>
      </c>
      <c r="W8" s="11">
        <f>IFERROR(LEFT(INDEX(tblLocations[ItemCode],MATCH("R4-03-B",tblLocations[LocationID],0))&amp;"",MapLabelChars),"")</f>
        <v/>
      </c>
      <c r="X8" s="11">
        <f>IFERROR(LEFT(INDEX(tblLocations[ItemCode],MATCH("R4-04-B",tblLocations[LocationID],0))&amp;"",MapLabelChars),"")</f>
        <v/>
      </c>
      <c r="Y8" s="11">
        <f>IFERROR(LEFT(INDEX(tblLocations[ItemCode],MATCH("R4-05-B",tblLocations[LocationID],0))&amp;"",MapLabelChars),"")</f>
        <v/>
      </c>
      <c r="Z8" s="11">
        <f>IFERROR(LEFT(INDEX(tblLocations[ItemCode],MATCH("R4-06-B",tblLocations[LocationID],0))&amp;"",MapLabelChars),"")</f>
        <v/>
      </c>
      <c r="AA8" s="11">
        <f>IFERROR(LEFT(INDEX(tblLocations[ItemCode],MATCH("R4-07-B",tblLocations[LocationID],0))&amp;"",MapLabelChars),"")</f>
        <v/>
      </c>
      <c r="AB8" s="11">
        <f>IFERROR(LEFT(INDEX(tblLocations[ItemCode],MATCH("R4-08-B",tblLocations[LocationID],0))&amp;"",MapLabelChars),"")</f>
        <v/>
      </c>
      <c r="AC8" s="11">
        <f>IFERROR(LEFT(INDEX(tblLocations[ItemCode],MATCH("R4-09-B",tblLocations[LocationID],0))&amp;"",MapLabelChars),"")</f>
        <v/>
      </c>
      <c r="AD8" s="11">
        <f>IFERROR(LEFT(INDEX(tblLocations[ItemCode],MATCH("R4-10-B",tblLocations[LocationID],0))&amp;"",MapLabelChars),"")</f>
        <v/>
      </c>
      <c r="AE8" s="11">
        <f>IFERROR(LEFT(INDEX(tblLocations[ItemCode],MATCH("R4-11-B",tblLocations[LocationID],0))&amp;"",MapLabelChars),"")</f>
        <v/>
      </c>
      <c r="AF8" s="11">
        <f>IFERROR(LEFT(INDEX(tblLocations[ItemCode],MATCH("R4-12-B",tblLocations[LocationID],0))&amp;"",MapLabelChars),"")</f>
        <v/>
      </c>
      <c r="AG8" s="11">
        <f>IFERROR(LEFT(INDEX(tblLocations[ItemCode],MATCH("R4-13-B",tblLocations[LocationID],0))&amp;"",MapLabelChars),"")</f>
        <v/>
      </c>
      <c r="AH8" s="11">
        <f>IFERROR(LEFT(INDEX(tblLocations[ItemCode],MATCH("R4-14-B",tblLocations[LocationID],0))&amp;"",MapLabelChars),"")</f>
        <v/>
      </c>
      <c r="AI8" s="11">
        <f>IFERROR(LEFT(INDEX(tblLocations[ItemCode],MATCH("R4-15-B",tblLocations[LocationID],0))&amp;"",MapLabelChars),"")</f>
        <v/>
      </c>
      <c r="AJ8" s="11">
        <f>IFERROR(LEFT(INDEX(tblLocations[ItemCode],MATCH("R4-16-B",tblLocations[LocationID],0))&amp;"",MapLabelChars),"")</f>
        <v/>
      </c>
      <c r="AL8" s="15" t="n"/>
      <c r="AM8" s="16" t="n"/>
      <c r="AO8" s="14" t="inlineStr">
        <is>
          <t>BAG  Bags</t>
        </is>
      </c>
    </row>
    <row r="9" ht="15" customHeight="1">
      <c r="B9" s="11">
        <f>IFERROR(LEFT(INDEX(tblLocations[ItemCode],MATCH("L3-16-C",tblLocations[LocationID],0))&amp;"",MapLabelChars),"")</f>
        <v/>
      </c>
      <c r="C9" s="11">
        <f>IFERROR(LEFT(INDEX(tblLocations[ItemCode],MATCH("L3-15-C",tblLocations[LocationID],0))&amp;"",MapLabelChars),"")</f>
        <v/>
      </c>
      <c r="D9" s="11">
        <f>IFERROR(LEFT(INDEX(tblLocations[ItemCode],MATCH("L3-14-C",tblLocations[LocationID],0))&amp;"",MapLabelChars),"")</f>
        <v/>
      </c>
      <c r="E9" s="11">
        <f>IFERROR(LEFT(INDEX(tblLocations[ItemCode],MATCH("L3-13-C",tblLocations[LocationID],0))&amp;"",MapLabelChars),"")</f>
        <v/>
      </c>
      <c r="F9" s="11">
        <f>IFERROR(LEFT(INDEX(tblLocations[ItemCode],MATCH("L3-12-C",tblLocations[LocationID],0))&amp;"",MapLabelChars),"")</f>
        <v/>
      </c>
      <c r="G9" s="11">
        <f>IFERROR(LEFT(INDEX(tblLocations[ItemCode],MATCH("L3-11-C",tblLocations[LocationID],0))&amp;"",MapLabelChars),"")</f>
        <v/>
      </c>
      <c r="H9" s="11">
        <f>IFERROR(LEFT(INDEX(tblLocations[ItemCode],MATCH("L3-10-C",tblLocations[LocationID],0))&amp;"",MapLabelChars),"")</f>
        <v/>
      </c>
      <c r="I9" s="11">
        <f>IFERROR(LEFT(INDEX(tblLocations[ItemCode],MATCH("L3-09-C",tblLocations[LocationID],0))&amp;"",MapLabelChars),"")</f>
        <v/>
      </c>
      <c r="J9" s="11">
        <f>IFERROR(LEFT(INDEX(tblLocations[ItemCode],MATCH("L3-08-C",tblLocations[LocationID],0))&amp;"",MapLabelChars),"")</f>
        <v/>
      </c>
      <c r="K9" s="11">
        <f>IFERROR(LEFT(INDEX(tblLocations[ItemCode],MATCH("L3-07-C",tblLocations[LocationID],0))&amp;"",MapLabelChars),"")</f>
        <v/>
      </c>
      <c r="L9" s="11">
        <f>IFERROR(LEFT(INDEX(tblLocations[ItemCode],MATCH("L3-06-C",tblLocations[LocationID],0))&amp;"",MapLabelChars),"")</f>
        <v/>
      </c>
      <c r="M9" s="11">
        <f>IFERROR(LEFT(INDEX(tblLocations[ItemCode],MATCH("L3-05-C",tblLocations[LocationID],0))&amp;"",MapLabelChars),"")</f>
        <v/>
      </c>
      <c r="N9" s="11">
        <f>IFERROR(LEFT(INDEX(tblLocations[ItemCode],MATCH("L3-04-C",tblLocations[LocationID],0))&amp;"",MapLabelChars),"")</f>
        <v/>
      </c>
      <c r="O9" s="11">
        <f>IFERROR(LEFT(INDEX(tblLocations[ItemCode],MATCH("L3-03-C",tblLocations[LocationID],0))&amp;"",MapLabelChars),"")</f>
        <v/>
      </c>
      <c r="P9" s="11">
        <f>IFERROR(LEFT(INDEX(tblLocations[ItemCode],MATCH("L3-02-C",tblLocations[LocationID],0))&amp;"",MapLabelChars),"")</f>
        <v/>
      </c>
      <c r="Q9" s="11">
        <f>IFERROR(LEFT(INDEX(tblLocations[ItemCode],MATCH("L3-01-C",tblLocations[LocationID],0))&amp;"",MapLabelChars),"")</f>
        <v/>
      </c>
      <c r="U9" s="11">
        <f>IFERROR(LEFT(INDEX(tblLocations[ItemCode],MATCH("R4-01-C",tblLocations[LocationID],0))&amp;"",MapLabelChars),"")</f>
        <v/>
      </c>
      <c r="V9" s="11">
        <f>IFERROR(LEFT(INDEX(tblLocations[ItemCode],MATCH("R4-02-C",tblLocations[LocationID],0))&amp;"",MapLabelChars),"")</f>
        <v/>
      </c>
      <c r="W9" s="11">
        <f>IFERROR(LEFT(INDEX(tblLocations[ItemCode],MATCH("R4-03-C",tblLocations[LocationID],0))&amp;"",MapLabelChars),"")</f>
        <v/>
      </c>
      <c r="X9" s="11">
        <f>IFERROR(LEFT(INDEX(tblLocations[ItemCode],MATCH("R4-04-C",tblLocations[LocationID],0))&amp;"",MapLabelChars),"")</f>
        <v/>
      </c>
      <c r="Y9" s="11">
        <f>IFERROR(LEFT(INDEX(tblLocations[ItemCode],MATCH("R4-05-C",tblLocations[LocationID],0))&amp;"",MapLabelChars),"")</f>
        <v/>
      </c>
      <c r="Z9" s="11">
        <f>IFERROR(LEFT(INDEX(tblLocations[ItemCode],MATCH("R4-06-C",tblLocations[LocationID],0))&amp;"",MapLabelChars),"")</f>
        <v/>
      </c>
      <c r="AA9" s="11">
        <f>IFERROR(LEFT(INDEX(tblLocations[ItemCode],MATCH("R4-07-C",tblLocations[LocationID],0))&amp;"",MapLabelChars),"")</f>
        <v/>
      </c>
      <c r="AB9" s="11">
        <f>IFERROR(LEFT(INDEX(tblLocations[ItemCode],MATCH("R4-08-C",tblLocations[LocationID],0))&amp;"",MapLabelChars),"")</f>
        <v/>
      </c>
      <c r="AC9" s="11">
        <f>IFERROR(LEFT(INDEX(tblLocations[ItemCode],MATCH("R4-09-C",tblLocations[LocationID],0))&amp;"",MapLabelChars),"")</f>
        <v/>
      </c>
      <c r="AD9" s="11">
        <f>IFERROR(LEFT(INDEX(tblLocations[ItemCode],MATCH("R4-10-C",tblLocations[LocationID],0))&amp;"",MapLabelChars),"")</f>
        <v/>
      </c>
      <c r="AE9" s="11">
        <f>IFERROR(LEFT(INDEX(tblLocations[ItemCode],MATCH("R4-11-C",tblLocations[LocationID],0))&amp;"",MapLabelChars),"")</f>
        <v/>
      </c>
      <c r="AF9" s="11">
        <f>IFERROR(LEFT(INDEX(tblLocations[ItemCode],MATCH("R4-12-C",tblLocations[LocationID],0))&amp;"",MapLabelChars),"")</f>
        <v/>
      </c>
      <c r="AG9" s="11">
        <f>IFERROR(LEFT(INDEX(tblLocations[ItemCode],MATCH("R4-13-C",tblLocations[LocationID],0))&amp;"",MapLabelChars),"")</f>
        <v/>
      </c>
      <c r="AH9" s="11">
        <f>IFERROR(LEFT(INDEX(tblLocations[ItemCode],MATCH("R4-14-C",tblLocations[LocationID],0))&amp;"",MapLabelChars),"")</f>
        <v/>
      </c>
      <c r="AI9" s="11">
        <f>IFERROR(LEFT(INDEX(tblLocations[ItemCode],MATCH("R4-15-C",tblLocations[LocationID],0))&amp;"",MapLabelChars),"")</f>
        <v/>
      </c>
      <c r="AJ9" s="11">
        <f>IFERROR(LEFT(INDEX(tblLocations[ItemCode],MATCH("R4-16-C",tblLocations[LocationID],0))&amp;"",MapLabelChars),"")</f>
        <v/>
      </c>
      <c r="AL9" s="17" t="n"/>
      <c r="AM9" s="18" t="n"/>
      <c r="AO9" s="14" t="inlineStr">
        <is>
          <t>FLM  Films and Wrap</t>
        </is>
      </c>
    </row>
    <row r="10" ht="15" customHeight="1">
      <c r="B10" s="11">
        <f>IFERROR(LEFT(INDEX(tblLocations[ItemCode],MATCH("L3-16-D",tblLocations[LocationID],0))&amp;"",MapLabelChars),"")</f>
        <v/>
      </c>
      <c r="C10" s="11">
        <f>IFERROR(LEFT(INDEX(tblLocations[ItemCode],MATCH("L3-15-D",tblLocations[LocationID],0))&amp;"",MapLabelChars),"")</f>
        <v/>
      </c>
      <c r="D10" s="11">
        <f>IFERROR(LEFT(INDEX(tblLocations[ItemCode],MATCH("L3-14-D",tblLocations[LocationID],0))&amp;"",MapLabelChars),"")</f>
        <v/>
      </c>
      <c r="E10" s="11">
        <f>IFERROR(LEFT(INDEX(tblLocations[ItemCode],MATCH("L3-13-D",tblLocations[LocationID],0))&amp;"",MapLabelChars),"")</f>
        <v/>
      </c>
      <c r="F10" s="11">
        <f>IFERROR(LEFT(INDEX(tblLocations[ItemCode],MATCH("L3-12-D",tblLocations[LocationID],0))&amp;"",MapLabelChars),"")</f>
        <v/>
      </c>
      <c r="G10" s="11">
        <f>IFERROR(LEFT(INDEX(tblLocations[ItemCode],MATCH("L3-11-D",tblLocations[LocationID],0))&amp;"",MapLabelChars),"")</f>
        <v/>
      </c>
      <c r="H10" s="11">
        <f>IFERROR(LEFT(INDEX(tblLocations[ItemCode],MATCH("L3-10-D",tblLocations[LocationID],0))&amp;"",MapLabelChars),"")</f>
        <v/>
      </c>
      <c r="I10" s="11">
        <f>IFERROR(LEFT(INDEX(tblLocations[ItemCode],MATCH("L3-09-D",tblLocations[LocationID],0))&amp;"",MapLabelChars),"")</f>
        <v/>
      </c>
      <c r="J10" s="11">
        <f>IFERROR(LEFT(INDEX(tblLocations[ItemCode],MATCH("L3-08-D",tblLocations[LocationID],0))&amp;"",MapLabelChars),"")</f>
        <v/>
      </c>
      <c r="K10" s="11">
        <f>IFERROR(LEFT(INDEX(tblLocations[ItemCode],MATCH("L3-07-D",tblLocations[LocationID],0))&amp;"",MapLabelChars),"")</f>
        <v/>
      </c>
      <c r="L10" s="11">
        <f>IFERROR(LEFT(INDEX(tblLocations[ItemCode],MATCH("L3-06-D",tblLocations[LocationID],0))&amp;"",MapLabelChars),"")</f>
        <v/>
      </c>
      <c r="M10" s="11">
        <f>IFERROR(LEFT(INDEX(tblLocations[ItemCode],MATCH("L3-05-D",tblLocations[LocationID],0))&amp;"",MapLabelChars),"")</f>
        <v/>
      </c>
      <c r="N10" s="11">
        <f>IFERROR(LEFT(INDEX(tblLocations[ItemCode],MATCH("L3-04-D",tblLocations[LocationID],0))&amp;"",MapLabelChars),"")</f>
        <v/>
      </c>
      <c r="O10" s="11">
        <f>IFERROR(LEFT(INDEX(tblLocations[ItemCode],MATCH("L3-03-D",tblLocations[LocationID],0))&amp;"",MapLabelChars),"")</f>
        <v/>
      </c>
      <c r="P10" s="11">
        <f>IFERROR(LEFT(INDEX(tblLocations[ItemCode],MATCH("L3-02-D",tblLocations[LocationID],0))&amp;"",MapLabelChars),"")</f>
        <v/>
      </c>
      <c r="Q10" s="11">
        <f>IFERROR(LEFT(INDEX(tblLocations[ItemCode],MATCH("L3-01-D",tblLocations[LocationID],0))&amp;"",MapLabelChars),"")</f>
        <v/>
      </c>
      <c r="U10" s="11">
        <f>IFERROR(LEFT(INDEX(tblLocations[ItemCode],MATCH("R4-01-D",tblLocations[LocationID],0))&amp;"",MapLabelChars),"")</f>
        <v/>
      </c>
      <c r="V10" s="11">
        <f>IFERROR(LEFT(INDEX(tblLocations[ItemCode],MATCH("R4-02-D",tblLocations[LocationID],0))&amp;"",MapLabelChars),"")</f>
        <v/>
      </c>
      <c r="W10" s="11">
        <f>IFERROR(LEFT(INDEX(tblLocations[ItemCode],MATCH("R4-03-D",tblLocations[LocationID],0))&amp;"",MapLabelChars),"")</f>
        <v/>
      </c>
      <c r="X10" s="11">
        <f>IFERROR(LEFT(INDEX(tblLocations[ItemCode],MATCH("R4-04-D",tblLocations[LocationID],0))&amp;"",MapLabelChars),"")</f>
        <v/>
      </c>
      <c r="Y10" s="11">
        <f>IFERROR(LEFT(INDEX(tblLocations[ItemCode],MATCH("R4-05-D",tblLocations[LocationID],0))&amp;"",MapLabelChars),"")</f>
        <v/>
      </c>
      <c r="Z10" s="11">
        <f>IFERROR(LEFT(INDEX(tblLocations[ItemCode],MATCH("R4-06-D",tblLocations[LocationID],0))&amp;"",MapLabelChars),"")</f>
        <v/>
      </c>
      <c r="AA10" s="11">
        <f>IFERROR(LEFT(INDEX(tblLocations[ItemCode],MATCH("R4-07-D",tblLocations[LocationID],0))&amp;"",MapLabelChars),"")</f>
        <v/>
      </c>
      <c r="AB10" s="11">
        <f>IFERROR(LEFT(INDEX(tblLocations[ItemCode],MATCH("R4-08-D",tblLocations[LocationID],0))&amp;"",MapLabelChars),"")</f>
        <v/>
      </c>
      <c r="AC10" s="11">
        <f>IFERROR(LEFT(INDEX(tblLocations[ItemCode],MATCH("R4-09-D",tblLocations[LocationID],0))&amp;"",MapLabelChars),"")</f>
        <v/>
      </c>
      <c r="AD10" s="11">
        <f>IFERROR(LEFT(INDEX(tblLocations[ItemCode],MATCH("R4-10-D",tblLocations[LocationID],0))&amp;"",MapLabelChars),"")</f>
        <v/>
      </c>
      <c r="AE10" s="11">
        <f>IFERROR(LEFT(INDEX(tblLocations[ItemCode],MATCH("R4-11-D",tblLocations[LocationID],0))&amp;"",MapLabelChars),"")</f>
        <v/>
      </c>
      <c r="AF10" s="11">
        <f>IFERROR(LEFT(INDEX(tblLocations[ItemCode],MATCH("R4-12-D",tblLocations[LocationID],0))&amp;"",MapLabelChars),"")</f>
        <v/>
      </c>
      <c r="AG10" s="11">
        <f>IFERROR(LEFT(INDEX(tblLocations[ItemCode],MATCH("R4-13-D",tblLocations[LocationID],0))&amp;"",MapLabelChars),"")</f>
        <v/>
      </c>
      <c r="AH10" s="11">
        <f>IFERROR(LEFT(INDEX(tblLocations[ItemCode],MATCH("R4-14-D",tblLocations[LocationID],0))&amp;"",MapLabelChars),"")</f>
        <v/>
      </c>
      <c r="AI10" s="11">
        <f>IFERROR(LEFT(INDEX(tblLocations[ItemCode],MATCH("R4-15-D",tblLocations[LocationID],0))&amp;"",MapLabelChars),"")</f>
        <v/>
      </c>
      <c r="AJ10" s="11">
        <f>IFERROR(LEFT(INDEX(tblLocations[ItemCode],MATCH("R4-16-D",tblLocations[LocationID],0))&amp;"",MapLabelChars),"")</f>
        <v/>
      </c>
      <c r="AL10" s="19" t="n"/>
      <c r="AM10" s="20" t="n"/>
      <c r="AO10" s="14" t="inlineStr">
        <is>
          <t>LBL  Labels and Packing</t>
        </is>
      </c>
    </row>
    <row r="11" ht="15" customHeight="1">
      <c r="B11" s="7" t="inlineStr">
        <is>
          <t>L2  Boxes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U11" s="7" t="inlineStr">
        <is>
          <t>R3  Bags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</row>
    <row r="12" ht="15" customHeight="1">
      <c r="B12" s="11">
        <f>IFERROR(LEFT(INDEX(tblLocations[ItemCode],MATCH("L2-16-A",tblLocations[LocationID],0))&amp;"",MapLabelChars),"")</f>
        <v/>
      </c>
      <c r="C12" s="11">
        <f>IFERROR(LEFT(INDEX(tblLocations[ItemCode],MATCH("L2-15-A",tblLocations[LocationID],0))&amp;"",MapLabelChars),"")</f>
        <v/>
      </c>
      <c r="D12" s="11">
        <f>IFERROR(LEFT(INDEX(tblLocations[ItemCode],MATCH("L2-14-A",tblLocations[LocationID],0))&amp;"",MapLabelChars),"")</f>
        <v/>
      </c>
      <c r="E12" s="11">
        <f>IFERROR(LEFT(INDEX(tblLocations[ItemCode],MATCH("L2-13-A",tblLocations[LocationID],0))&amp;"",MapLabelChars),"")</f>
        <v/>
      </c>
      <c r="F12" s="11">
        <f>IFERROR(LEFT(INDEX(tblLocations[ItemCode],MATCH("L2-12-A",tblLocations[LocationID],0))&amp;"",MapLabelChars),"")</f>
        <v/>
      </c>
      <c r="G12" s="11">
        <f>IFERROR(LEFT(INDEX(tblLocations[ItemCode],MATCH("L2-11-A",tblLocations[LocationID],0))&amp;"",MapLabelChars),"")</f>
        <v/>
      </c>
      <c r="H12" s="11">
        <f>IFERROR(LEFT(INDEX(tblLocations[ItemCode],MATCH("L2-10-A",tblLocations[LocationID],0))&amp;"",MapLabelChars),"")</f>
        <v/>
      </c>
      <c r="I12" s="11">
        <f>IFERROR(LEFT(INDEX(tblLocations[ItemCode],MATCH("L2-09-A",tblLocations[LocationID],0))&amp;"",MapLabelChars),"")</f>
        <v/>
      </c>
      <c r="J12" s="11">
        <f>IFERROR(LEFT(INDEX(tblLocations[ItemCode],MATCH("L2-08-A",tblLocations[LocationID],0))&amp;"",MapLabelChars),"")</f>
        <v/>
      </c>
      <c r="K12" s="11">
        <f>IFERROR(LEFT(INDEX(tblLocations[ItemCode],MATCH("L2-07-A",tblLocations[LocationID],0))&amp;"",MapLabelChars),"")</f>
        <v/>
      </c>
      <c r="L12" s="11">
        <f>IFERROR(LEFT(INDEX(tblLocations[ItemCode],MATCH("L2-06-A",tblLocations[LocationID],0))&amp;"",MapLabelChars),"")</f>
        <v/>
      </c>
      <c r="M12" s="11">
        <f>IFERROR(LEFT(INDEX(tblLocations[ItemCode],MATCH("L2-05-A",tblLocations[LocationID],0))&amp;"",MapLabelChars),"")</f>
        <v/>
      </c>
      <c r="N12" s="11">
        <f>IFERROR(LEFT(INDEX(tblLocations[ItemCode],MATCH("L2-04-A",tblLocations[LocationID],0))&amp;"",MapLabelChars),"")</f>
        <v/>
      </c>
      <c r="O12" s="11">
        <f>IFERROR(LEFT(INDEX(tblLocations[ItemCode],MATCH("L2-03-A",tblLocations[LocationID],0))&amp;"",MapLabelChars),"")</f>
        <v/>
      </c>
      <c r="P12" s="11">
        <f>IFERROR(LEFT(INDEX(tblLocations[ItemCode],MATCH("L2-02-A",tblLocations[LocationID],0))&amp;"",MapLabelChars),"")</f>
        <v/>
      </c>
      <c r="Q12" s="11">
        <f>IFERROR(LEFT(INDEX(tblLocations[ItemCode],MATCH("L2-01-A",tblLocations[LocationID],0))&amp;"",MapLabelChars),"")</f>
        <v/>
      </c>
      <c r="U12" s="21">
        <f>IFERROR(LEFT(INDEX(tblLocations[ItemCode],MATCH("R3-01-A",tblLocations[LocationID],0))&amp;"",MapLabelChars),"")</f>
        <v/>
      </c>
      <c r="V12" s="21">
        <f>IFERROR(LEFT(INDEX(tblLocations[ItemCode],MATCH("R3-02-A",tblLocations[LocationID],0))&amp;"",MapLabelChars),"")</f>
        <v/>
      </c>
      <c r="W12" s="21">
        <f>IFERROR(LEFT(INDEX(tblLocations[ItemCode],MATCH("R3-03-A",tblLocations[LocationID],0))&amp;"",MapLabelChars),"")</f>
        <v/>
      </c>
      <c r="X12" s="21">
        <f>IFERROR(LEFT(INDEX(tblLocations[ItemCode],MATCH("R3-04-A",tblLocations[LocationID],0))&amp;"",MapLabelChars),"")</f>
        <v/>
      </c>
      <c r="Y12" s="21">
        <f>IFERROR(LEFT(INDEX(tblLocations[ItemCode],MATCH("R3-05-A",tblLocations[LocationID],0))&amp;"",MapLabelChars),"")</f>
        <v/>
      </c>
      <c r="Z12" s="21">
        <f>IFERROR(LEFT(INDEX(tblLocations[ItemCode],MATCH("R3-06-A",tblLocations[LocationID],0))&amp;"",MapLabelChars),"")</f>
        <v/>
      </c>
      <c r="AA12" s="21">
        <f>IFERROR(LEFT(INDEX(tblLocations[ItemCode],MATCH("R3-07-A",tblLocations[LocationID],0))&amp;"",MapLabelChars),"")</f>
        <v/>
      </c>
      <c r="AB12" s="21">
        <f>IFERROR(LEFT(INDEX(tblLocations[ItemCode],MATCH("R3-08-A",tblLocations[LocationID],0))&amp;"",MapLabelChars),"")</f>
        <v/>
      </c>
      <c r="AC12" s="21">
        <f>IFERROR(LEFT(INDEX(tblLocations[ItemCode],MATCH("R3-09-A",tblLocations[LocationID],0))&amp;"",MapLabelChars),"")</f>
        <v/>
      </c>
      <c r="AD12" s="21">
        <f>IFERROR(LEFT(INDEX(tblLocations[ItemCode],MATCH("R3-10-A",tblLocations[LocationID],0))&amp;"",MapLabelChars),"")</f>
        <v/>
      </c>
      <c r="AE12" s="21">
        <f>IFERROR(LEFT(INDEX(tblLocations[ItemCode],MATCH("R3-11-A",tblLocations[LocationID],0))&amp;"",MapLabelChars),"")</f>
        <v/>
      </c>
      <c r="AF12" s="21">
        <f>IFERROR(LEFT(INDEX(tblLocations[ItemCode],MATCH("R3-12-A",tblLocations[LocationID],0))&amp;"",MapLabelChars),"")</f>
        <v/>
      </c>
      <c r="AG12" s="21">
        <f>IFERROR(LEFT(INDEX(tblLocations[ItemCode],MATCH("R3-13-A",tblLocations[LocationID],0))&amp;"",MapLabelChars),"")</f>
        <v/>
      </c>
      <c r="AH12" s="21">
        <f>IFERROR(LEFT(INDEX(tblLocations[ItemCode],MATCH("R3-14-A",tblLocations[LocationID],0))&amp;"",MapLabelChars),"")</f>
        <v/>
      </c>
      <c r="AI12" s="21">
        <f>IFERROR(LEFT(INDEX(tblLocations[ItemCode],MATCH("R3-15-A",tblLocations[LocationID],0))&amp;"",MapLabelChars),"")</f>
        <v/>
      </c>
      <c r="AJ12" s="21">
        <f>IFERROR(LEFT(INDEX(tblLocations[ItemCode],MATCH("R3-16-A",tblLocations[LocationID],0))&amp;"",MapLabelChars),"")</f>
        <v/>
      </c>
      <c r="AL12" s="10" t="inlineStr">
        <is>
          <t>KEY</t>
        </is>
      </c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</row>
    <row r="13" ht="15" customHeight="1">
      <c r="B13" s="11">
        <f>IFERROR(LEFT(INDEX(tblLocations[ItemCode],MATCH("L2-16-B",tblLocations[LocationID],0))&amp;"",MapLabelChars),"")</f>
        <v/>
      </c>
      <c r="C13" s="11">
        <f>IFERROR(LEFT(INDEX(tblLocations[ItemCode],MATCH("L2-15-B",tblLocations[LocationID],0))&amp;"",MapLabelChars),"")</f>
        <v/>
      </c>
      <c r="D13" s="11">
        <f>IFERROR(LEFT(INDEX(tblLocations[ItemCode],MATCH("L2-14-B",tblLocations[LocationID],0))&amp;"",MapLabelChars),"")</f>
        <v/>
      </c>
      <c r="E13" s="11">
        <f>IFERROR(LEFT(INDEX(tblLocations[ItemCode],MATCH("L2-13-B",tblLocations[LocationID],0))&amp;"",MapLabelChars),"")</f>
        <v/>
      </c>
      <c r="F13" s="11">
        <f>IFERROR(LEFT(INDEX(tblLocations[ItemCode],MATCH("L2-12-B",tblLocations[LocationID],0))&amp;"",MapLabelChars),"")</f>
        <v/>
      </c>
      <c r="G13" s="11">
        <f>IFERROR(LEFT(INDEX(tblLocations[ItemCode],MATCH("L2-11-B",tblLocations[LocationID],0))&amp;"",MapLabelChars),"")</f>
        <v/>
      </c>
      <c r="H13" s="11">
        <f>IFERROR(LEFT(INDEX(tblLocations[ItemCode],MATCH("L2-10-B",tblLocations[LocationID],0))&amp;"",MapLabelChars),"")</f>
        <v/>
      </c>
      <c r="I13" s="11">
        <f>IFERROR(LEFT(INDEX(tblLocations[ItemCode],MATCH("L2-09-B",tblLocations[LocationID],0))&amp;"",MapLabelChars),"")</f>
        <v/>
      </c>
      <c r="J13" s="11">
        <f>IFERROR(LEFT(INDEX(tblLocations[ItemCode],MATCH("L2-08-B",tblLocations[LocationID],0))&amp;"",MapLabelChars),"")</f>
        <v/>
      </c>
      <c r="K13" s="11">
        <f>IFERROR(LEFT(INDEX(tblLocations[ItemCode],MATCH("L2-07-B",tblLocations[LocationID],0))&amp;"",MapLabelChars),"")</f>
        <v/>
      </c>
      <c r="L13" s="11">
        <f>IFERROR(LEFT(INDEX(tblLocations[ItemCode],MATCH("L2-06-B",tblLocations[LocationID],0))&amp;"",MapLabelChars),"")</f>
        <v/>
      </c>
      <c r="M13" s="11">
        <f>IFERROR(LEFT(INDEX(tblLocations[ItemCode],MATCH("L2-05-B",tblLocations[LocationID],0))&amp;"",MapLabelChars),"")</f>
        <v/>
      </c>
      <c r="N13" s="11">
        <f>IFERROR(LEFT(INDEX(tblLocations[ItemCode],MATCH("L2-04-B",tblLocations[LocationID],0))&amp;"",MapLabelChars),"")</f>
        <v/>
      </c>
      <c r="O13" s="11">
        <f>IFERROR(LEFT(INDEX(tblLocations[ItemCode],MATCH("L2-03-B",tblLocations[LocationID],0))&amp;"",MapLabelChars),"")</f>
        <v/>
      </c>
      <c r="P13" s="11">
        <f>IFERROR(LEFT(INDEX(tblLocations[ItemCode],MATCH("L2-02-B",tblLocations[LocationID],0))&amp;"",MapLabelChars),"")</f>
        <v/>
      </c>
      <c r="Q13" s="11">
        <f>IFERROR(LEFT(INDEX(tblLocations[ItemCode],MATCH("L2-01-B",tblLocations[LocationID],0))&amp;"",MapLabelChars),"")</f>
        <v/>
      </c>
      <c r="U13" s="21">
        <f>IFERROR(LEFT(INDEX(tblLocations[ItemCode],MATCH("R3-01-B",tblLocations[LocationID],0))&amp;"",MapLabelChars),"")</f>
        <v/>
      </c>
      <c r="V13" s="21">
        <f>IFERROR(LEFT(INDEX(tblLocations[ItemCode],MATCH("R3-02-B",tblLocations[LocationID],0))&amp;"",MapLabelChars),"")</f>
        <v/>
      </c>
      <c r="W13" s="21">
        <f>IFERROR(LEFT(INDEX(tblLocations[ItemCode],MATCH("R3-03-B",tblLocations[LocationID],0))&amp;"",MapLabelChars),"")</f>
        <v/>
      </c>
      <c r="X13" s="21">
        <f>IFERROR(LEFT(INDEX(tblLocations[ItemCode],MATCH("R3-04-B",tblLocations[LocationID],0))&amp;"",MapLabelChars),"")</f>
        <v/>
      </c>
      <c r="Y13" s="21">
        <f>IFERROR(LEFT(INDEX(tblLocations[ItemCode],MATCH("R3-05-B",tblLocations[LocationID],0))&amp;"",MapLabelChars),"")</f>
        <v/>
      </c>
      <c r="Z13" s="21">
        <f>IFERROR(LEFT(INDEX(tblLocations[ItemCode],MATCH("R3-06-B",tblLocations[LocationID],0))&amp;"",MapLabelChars),"")</f>
        <v/>
      </c>
      <c r="AA13" s="21">
        <f>IFERROR(LEFT(INDEX(tblLocations[ItemCode],MATCH("R3-07-B",tblLocations[LocationID],0))&amp;"",MapLabelChars),"")</f>
        <v/>
      </c>
      <c r="AB13" s="21">
        <f>IFERROR(LEFT(INDEX(tblLocations[ItemCode],MATCH("R3-08-B",tblLocations[LocationID],0))&amp;"",MapLabelChars),"")</f>
        <v/>
      </c>
      <c r="AC13" s="21">
        <f>IFERROR(LEFT(INDEX(tblLocations[ItemCode],MATCH("R3-09-B",tblLocations[LocationID],0))&amp;"",MapLabelChars),"")</f>
        <v/>
      </c>
      <c r="AD13" s="21">
        <f>IFERROR(LEFT(INDEX(tblLocations[ItemCode],MATCH("R3-10-B",tblLocations[LocationID],0))&amp;"",MapLabelChars),"")</f>
        <v/>
      </c>
      <c r="AE13" s="21">
        <f>IFERROR(LEFT(INDEX(tblLocations[ItemCode],MATCH("R3-11-B",tblLocations[LocationID],0))&amp;"",MapLabelChars),"")</f>
        <v/>
      </c>
      <c r="AF13" s="21">
        <f>IFERROR(LEFT(INDEX(tblLocations[ItemCode],MATCH("R3-12-B",tblLocations[LocationID],0))&amp;"",MapLabelChars),"")</f>
        <v/>
      </c>
      <c r="AG13" s="21">
        <f>IFERROR(LEFT(INDEX(tblLocations[ItemCode],MATCH("R3-13-B",tblLocations[LocationID],0))&amp;"",MapLabelChars),"")</f>
        <v/>
      </c>
      <c r="AH13" s="21">
        <f>IFERROR(LEFT(INDEX(tblLocations[ItemCode],MATCH("R3-14-B",tblLocations[LocationID],0))&amp;"",MapLabelChars),"")</f>
        <v/>
      </c>
      <c r="AI13" s="21">
        <f>IFERROR(LEFT(INDEX(tblLocations[ItemCode],MATCH("R3-15-B",tblLocations[LocationID],0))&amp;"",MapLabelChars),"")</f>
        <v/>
      </c>
      <c r="AJ13" s="21">
        <f>IFERROR(LEFT(INDEX(tblLocations[ItemCode],MATCH("R3-16-B",tblLocations[LocationID],0))&amp;"",MapLabelChars),"")</f>
        <v/>
      </c>
      <c r="AL13" s="12" t="n"/>
      <c r="AO13" s="14" t="inlineStr">
        <is>
          <t>Pallet in place</t>
        </is>
      </c>
    </row>
    <row r="14" ht="15" customHeight="1">
      <c r="B14" s="11">
        <f>IFERROR(LEFT(INDEX(tblLocations[ItemCode],MATCH("L2-16-C",tblLocations[LocationID],0))&amp;"",MapLabelChars),"")</f>
        <v/>
      </c>
      <c r="C14" s="11">
        <f>IFERROR(LEFT(INDEX(tblLocations[ItemCode],MATCH("L2-15-C",tblLocations[LocationID],0))&amp;"",MapLabelChars),"")</f>
        <v/>
      </c>
      <c r="D14" s="11">
        <f>IFERROR(LEFT(INDEX(tblLocations[ItemCode],MATCH("L2-14-C",tblLocations[LocationID],0))&amp;"",MapLabelChars),"")</f>
        <v/>
      </c>
      <c r="E14" s="11">
        <f>IFERROR(LEFT(INDEX(tblLocations[ItemCode],MATCH("L2-13-C",tblLocations[LocationID],0))&amp;"",MapLabelChars),"")</f>
        <v/>
      </c>
      <c r="F14" s="11">
        <f>IFERROR(LEFT(INDEX(tblLocations[ItemCode],MATCH("L2-12-C",tblLocations[LocationID],0))&amp;"",MapLabelChars),"")</f>
        <v/>
      </c>
      <c r="G14" s="11">
        <f>IFERROR(LEFT(INDEX(tblLocations[ItemCode],MATCH("L2-11-C",tblLocations[LocationID],0))&amp;"",MapLabelChars),"")</f>
        <v/>
      </c>
      <c r="H14" s="11">
        <f>IFERROR(LEFT(INDEX(tblLocations[ItemCode],MATCH("L2-10-C",tblLocations[LocationID],0))&amp;"",MapLabelChars),"")</f>
        <v/>
      </c>
      <c r="I14" s="11">
        <f>IFERROR(LEFT(INDEX(tblLocations[ItemCode],MATCH("L2-09-C",tblLocations[LocationID],0))&amp;"",MapLabelChars),"")</f>
        <v/>
      </c>
      <c r="J14" s="11">
        <f>IFERROR(LEFT(INDEX(tblLocations[ItemCode],MATCH("L2-08-C",tblLocations[LocationID],0))&amp;"",MapLabelChars),"")</f>
        <v/>
      </c>
      <c r="K14" s="11">
        <f>IFERROR(LEFT(INDEX(tblLocations[ItemCode],MATCH("L2-07-C",tblLocations[LocationID],0))&amp;"",MapLabelChars),"")</f>
        <v/>
      </c>
      <c r="L14" s="11">
        <f>IFERROR(LEFT(INDEX(tblLocations[ItemCode],MATCH("L2-06-C",tblLocations[LocationID],0))&amp;"",MapLabelChars),"")</f>
        <v/>
      </c>
      <c r="M14" s="11">
        <f>IFERROR(LEFT(INDEX(tblLocations[ItemCode],MATCH("L2-05-C",tblLocations[LocationID],0))&amp;"",MapLabelChars),"")</f>
        <v/>
      </c>
      <c r="N14" s="11">
        <f>IFERROR(LEFT(INDEX(tblLocations[ItemCode],MATCH("L2-04-C",tblLocations[LocationID],0))&amp;"",MapLabelChars),"")</f>
        <v/>
      </c>
      <c r="O14" s="11">
        <f>IFERROR(LEFT(INDEX(tblLocations[ItemCode],MATCH("L2-03-C",tblLocations[LocationID],0))&amp;"",MapLabelChars),"")</f>
        <v/>
      </c>
      <c r="P14" s="11">
        <f>IFERROR(LEFT(INDEX(tblLocations[ItemCode],MATCH("L2-02-C",tblLocations[LocationID],0))&amp;"",MapLabelChars),"")</f>
        <v/>
      </c>
      <c r="Q14" s="11">
        <f>IFERROR(LEFT(INDEX(tblLocations[ItemCode],MATCH("L2-01-C",tblLocations[LocationID],0))&amp;"",MapLabelChars),"")</f>
        <v/>
      </c>
      <c r="U14" s="21">
        <f>IFERROR(LEFT(INDEX(tblLocations[ItemCode],MATCH("R3-01-C",tblLocations[LocationID],0))&amp;"",MapLabelChars),"")</f>
        <v/>
      </c>
      <c r="V14" s="21">
        <f>IFERROR(LEFT(INDEX(tblLocations[ItemCode],MATCH("R3-02-C",tblLocations[LocationID],0))&amp;"",MapLabelChars),"")</f>
        <v/>
      </c>
      <c r="W14" s="21">
        <f>IFERROR(LEFT(INDEX(tblLocations[ItemCode],MATCH("R3-03-C",tblLocations[LocationID],0))&amp;"",MapLabelChars),"")</f>
        <v/>
      </c>
      <c r="X14" s="21">
        <f>IFERROR(LEFT(INDEX(tblLocations[ItemCode],MATCH("R3-04-C",tblLocations[LocationID],0))&amp;"",MapLabelChars),"")</f>
        <v/>
      </c>
      <c r="Y14" s="21">
        <f>IFERROR(LEFT(INDEX(tblLocations[ItemCode],MATCH("R3-05-C",tblLocations[LocationID],0))&amp;"",MapLabelChars),"")</f>
        <v/>
      </c>
      <c r="Z14" s="21">
        <f>IFERROR(LEFT(INDEX(tblLocations[ItemCode],MATCH("R3-06-C",tblLocations[LocationID],0))&amp;"",MapLabelChars),"")</f>
        <v/>
      </c>
      <c r="AA14" s="21">
        <f>IFERROR(LEFT(INDEX(tblLocations[ItemCode],MATCH("R3-07-C",tblLocations[LocationID],0))&amp;"",MapLabelChars),"")</f>
        <v/>
      </c>
      <c r="AB14" s="21">
        <f>IFERROR(LEFT(INDEX(tblLocations[ItemCode],MATCH("R3-08-C",tblLocations[LocationID],0))&amp;"",MapLabelChars),"")</f>
        <v/>
      </c>
      <c r="AC14" s="21">
        <f>IFERROR(LEFT(INDEX(tblLocations[ItemCode],MATCH("R3-09-C",tblLocations[LocationID],0))&amp;"",MapLabelChars),"")</f>
        <v/>
      </c>
      <c r="AD14" s="21">
        <f>IFERROR(LEFT(INDEX(tblLocations[ItemCode],MATCH("R3-10-C",tblLocations[LocationID],0))&amp;"",MapLabelChars),"")</f>
        <v/>
      </c>
      <c r="AE14" s="21">
        <f>IFERROR(LEFT(INDEX(tblLocations[ItemCode],MATCH("R3-11-C",tblLocations[LocationID],0))&amp;"",MapLabelChars),"")</f>
        <v/>
      </c>
      <c r="AF14" s="21">
        <f>IFERROR(LEFT(INDEX(tblLocations[ItemCode],MATCH("R3-12-C",tblLocations[LocationID],0))&amp;"",MapLabelChars),"")</f>
        <v/>
      </c>
      <c r="AG14" s="21">
        <f>IFERROR(LEFT(INDEX(tblLocations[ItemCode],MATCH("R3-13-C",tblLocations[LocationID],0))&amp;"",MapLabelChars),"")</f>
        <v/>
      </c>
      <c r="AH14" s="21">
        <f>IFERROR(LEFT(INDEX(tblLocations[ItemCode],MATCH("R3-14-C",tblLocations[LocationID],0))&amp;"",MapLabelChars),"")</f>
        <v/>
      </c>
      <c r="AI14" s="21">
        <f>IFERROR(LEFT(INDEX(tblLocations[ItemCode],MATCH("R3-15-C",tblLocations[LocationID],0))&amp;"",MapLabelChars),"")</f>
        <v/>
      </c>
      <c r="AJ14" s="21">
        <f>IFERROR(LEFT(INDEX(tblLocations[ItemCode],MATCH("R3-16-C",tblLocations[LocationID],0))&amp;"",MapLabelChars),"")</f>
        <v/>
      </c>
      <c r="AL14" s="13" t="n"/>
      <c r="AO14" s="14" t="inlineStr">
        <is>
          <t>Free space kept for that zone</t>
        </is>
      </c>
    </row>
    <row r="15" ht="15" customHeight="1">
      <c r="B15" s="11">
        <f>IFERROR(LEFT(INDEX(tblLocations[ItemCode],MATCH("L2-16-D",tblLocations[LocationID],0))&amp;"",MapLabelChars),"")</f>
        <v/>
      </c>
      <c r="C15" s="11">
        <f>IFERROR(LEFT(INDEX(tblLocations[ItemCode],MATCH("L2-15-D",tblLocations[LocationID],0))&amp;"",MapLabelChars),"")</f>
        <v/>
      </c>
      <c r="D15" s="11">
        <f>IFERROR(LEFT(INDEX(tblLocations[ItemCode],MATCH("L2-14-D",tblLocations[LocationID],0))&amp;"",MapLabelChars),"")</f>
        <v/>
      </c>
      <c r="E15" s="11">
        <f>IFERROR(LEFT(INDEX(tblLocations[ItemCode],MATCH("L2-13-D",tblLocations[LocationID],0))&amp;"",MapLabelChars),"")</f>
        <v/>
      </c>
      <c r="F15" s="11">
        <f>IFERROR(LEFT(INDEX(tblLocations[ItemCode],MATCH("L2-12-D",tblLocations[LocationID],0))&amp;"",MapLabelChars),"")</f>
        <v/>
      </c>
      <c r="G15" s="11">
        <f>IFERROR(LEFT(INDEX(tblLocations[ItemCode],MATCH("L2-11-D",tblLocations[LocationID],0))&amp;"",MapLabelChars),"")</f>
        <v/>
      </c>
      <c r="H15" s="11">
        <f>IFERROR(LEFT(INDEX(tblLocations[ItemCode],MATCH("L2-10-D",tblLocations[LocationID],0))&amp;"",MapLabelChars),"")</f>
        <v/>
      </c>
      <c r="I15" s="11">
        <f>IFERROR(LEFT(INDEX(tblLocations[ItemCode],MATCH("L2-09-D",tblLocations[LocationID],0))&amp;"",MapLabelChars),"")</f>
        <v/>
      </c>
      <c r="J15" s="11">
        <f>IFERROR(LEFT(INDEX(tblLocations[ItemCode],MATCH("L2-08-D",tblLocations[LocationID],0))&amp;"",MapLabelChars),"")</f>
        <v/>
      </c>
      <c r="K15" s="11">
        <f>IFERROR(LEFT(INDEX(tblLocations[ItemCode],MATCH("L2-07-D",tblLocations[LocationID],0))&amp;"",MapLabelChars),"")</f>
        <v/>
      </c>
      <c r="L15" s="11">
        <f>IFERROR(LEFT(INDEX(tblLocations[ItemCode],MATCH("L2-06-D",tblLocations[LocationID],0))&amp;"",MapLabelChars),"")</f>
        <v/>
      </c>
      <c r="M15" s="11">
        <f>IFERROR(LEFT(INDEX(tblLocations[ItemCode],MATCH("L2-05-D",tblLocations[LocationID],0))&amp;"",MapLabelChars),"")</f>
        <v/>
      </c>
      <c r="N15" s="11">
        <f>IFERROR(LEFT(INDEX(tblLocations[ItemCode],MATCH("L2-04-D",tblLocations[LocationID],0))&amp;"",MapLabelChars),"")</f>
        <v/>
      </c>
      <c r="O15" s="11">
        <f>IFERROR(LEFT(INDEX(tblLocations[ItemCode],MATCH("L2-03-D",tblLocations[LocationID],0))&amp;"",MapLabelChars),"")</f>
        <v/>
      </c>
      <c r="P15" s="11">
        <f>IFERROR(LEFT(INDEX(tblLocations[ItemCode],MATCH("L2-02-D",tblLocations[LocationID],0))&amp;"",MapLabelChars),"")</f>
        <v/>
      </c>
      <c r="Q15" s="11">
        <f>IFERROR(LEFT(INDEX(tblLocations[ItemCode],MATCH("L2-01-D",tblLocations[LocationID],0))&amp;"",MapLabelChars),"")</f>
        <v/>
      </c>
      <c r="U15" s="21">
        <f>IFERROR(LEFT(INDEX(tblLocations[ItemCode],MATCH("R3-01-D",tblLocations[LocationID],0))&amp;"",MapLabelChars),"")</f>
        <v/>
      </c>
      <c r="V15" s="21">
        <f>IFERROR(LEFT(INDEX(tblLocations[ItemCode],MATCH("R3-02-D",tblLocations[LocationID],0))&amp;"",MapLabelChars),"")</f>
        <v/>
      </c>
      <c r="W15" s="21">
        <f>IFERROR(LEFT(INDEX(tblLocations[ItemCode],MATCH("R3-03-D",tblLocations[LocationID],0))&amp;"",MapLabelChars),"")</f>
        <v/>
      </c>
      <c r="X15" s="21">
        <f>IFERROR(LEFT(INDEX(tblLocations[ItemCode],MATCH("R3-04-D",tblLocations[LocationID],0))&amp;"",MapLabelChars),"")</f>
        <v/>
      </c>
      <c r="Y15" s="21">
        <f>IFERROR(LEFT(INDEX(tblLocations[ItemCode],MATCH("R3-05-D",tblLocations[LocationID],0))&amp;"",MapLabelChars),"")</f>
        <v/>
      </c>
      <c r="Z15" s="21">
        <f>IFERROR(LEFT(INDEX(tblLocations[ItemCode],MATCH("R3-06-D",tblLocations[LocationID],0))&amp;"",MapLabelChars),"")</f>
        <v/>
      </c>
      <c r="AA15" s="21">
        <f>IFERROR(LEFT(INDEX(tblLocations[ItemCode],MATCH("R3-07-D",tblLocations[LocationID],0))&amp;"",MapLabelChars),"")</f>
        <v/>
      </c>
      <c r="AB15" s="21">
        <f>IFERROR(LEFT(INDEX(tblLocations[ItemCode],MATCH("R3-08-D",tblLocations[LocationID],0))&amp;"",MapLabelChars),"")</f>
        <v/>
      </c>
      <c r="AC15" s="21">
        <f>IFERROR(LEFT(INDEX(tblLocations[ItemCode],MATCH("R3-09-D",tblLocations[LocationID],0))&amp;"",MapLabelChars),"")</f>
        <v/>
      </c>
      <c r="AD15" s="21">
        <f>IFERROR(LEFT(INDEX(tblLocations[ItemCode],MATCH("R3-10-D",tblLocations[LocationID],0))&amp;"",MapLabelChars),"")</f>
        <v/>
      </c>
      <c r="AE15" s="21">
        <f>IFERROR(LEFT(INDEX(tblLocations[ItemCode],MATCH("R3-11-D",tblLocations[LocationID],0))&amp;"",MapLabelChars),"")</f>
        <v/>
      </c>
      <c r="AF15" s="21">
        <f>IFERROR(LEFT(INDEX(tblLocations[ItemCode],MATCH("R3-12-D",tblLocations[LocationID],0))&amp;"",MapLabelChars),"")</f>
        <v/>
      </c>
      <c r="AG15" s="21">
        <f>IFERROR(LEFT(INDEX(tblLocations[ItemCode],MATCH("R3-13-D",tblLocations[LocationID],0))&amp;"",MapLabelChars),"")</f>
        <v/>
      </c>
      <c r="AH15" s="21">
        <f>IFERROR(LEFT(INDEX(tblLocations[ItemCode],MATCH("R3-14-D",tblLocations[LocationID],0))&amp;"",MapLabelChars),"")</f>
        <v/>
      </c>
      <c r="AI15" s="21">
        <f>IFERROR(LEFT(INDEX(tblLocations[ItemCode],MATCH("R3-15-D",tblLocations[LocationID],0))&amp;"",MapLabelChars),"")</f>
        <v/>
      </c>
      <c r="AJ15" s="21">
        <f>IFERROR(LEFT(INDEX(tblLocations[ItemCode],MATCH("R3-16-D",tblLocations[LocationID],0))&amp;"",MapLabelChars),"")</f>
        <v/>
      </c>
      <c r="AL15" s="22" t="n"/>
      <c r="AO15" s="14" t="inlineStr">
        <is>
          <t>Not in any zone</t>
        </is>
      </c>
    </row>
    <row r="16" ht="15" customHeight="1">
      <c r="B16" s="7" t="inlineStr">
        <is>
          <t>L1  Boxes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U16" s="7" t="inlineStr">
        <is>
          <t>R2  Films and Wrap</t>
        </is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L16" s="23" t="n"/>
      <c r="AO16" s="14" t="inlineStr">
        <is>
          <t>Not ours (someone else's)</t>
        </is>
      </c>
    </row>
    <row r="17" ht="15" customHeight="1">
      <c r="B17" s="11">
        <f>IFERROR(LEFT(INDEX(tblLocations[ItemCode],MATCH("L1-16-A",tblLocations[LocationID],0))&amp;"",MapLabelChars),"")</f>
        <v/>
      </c>
      <c r="C17" s="11">
        <f>IFERROR(LEFT(INDEX(tblLocations[ItemCode],MATCH("L1-15-A",tblLocations[LocationID],0))&amp;"",MapLabelChars),"")</f>
        <v/>
      </c>
      <c r="D17" s="11">
        <f>IFERROR(LEFT(INDEX(tblLocations[ItemCode],MATCH("L1-14-A",tblLocations[LocationID],0))&amp;"",MapLabelChars),"")</f>
        <v/>
      </c>
      <c r="E17" s="11">
        <f>IFERROR(LEFT(INDEX(tblLocations[ItemCode],MATCH("L1-13-A",tblLocations[LocationID],0))&amp;"",MapLabelChars),"")</f>
        <v/>
      </c>
      <c r="F17" s="11">
        <f>IFERROR(LEFT(INDEX(tblLocations[ItemCode],MATCH("L1-12-A",tblLocations[LocationID],0))&amp;"",MapLabelChars),"")</f>
        <v/>
      </c>
      <c r="G17" s="11">
        <f>IFERROR(LEFT(INDEX(tblLocations[ItemCode],MATCH("L1-11-A",tblLocations[LocationID],0))&amp;"",MapLabelChars),"")</f>
        <v/>
      </c>
      <c r="H17" s="11">
        <f>IFERROR(LEFT(INDEX(tblLocations[ItemCode],MATCH("L1-10-A",tblLocations[LocationID],0))&amp;"",MapLabelChars),"")</f>
        <v/>
      </c>
      <c r="I17" s="11">
        <f>IFERROR(LEFT(INDEX(tblLocations[ItemCode],MATCH("L1-09-A",tblLocations[LocationID],0))&amp;"",MapLabelChars),"")</f>
        <v/>
      </c>
      <c r="J17" s="11">
        <f>IFERROR(LEFT(INDEX(tblLocations[ItemCode],MATCH("L1-08-A",tblLocations[LocationID],0))&amp;"",MapLabelChars),"")</f>
        <v/>
      </c>
      <c r="K17" s="11">
        <f>IFERROR(LEFT(INDEX(tblLocations[ItemCode],MATCH("L1-07-A",tblLocations[LocationID],0))&amp;"",MapLabelChars),"")</f>
        <v/>
      </c>
      <c r="L17" s="11">
        <f>IFERROR(LEFT(INDEX(tblLocations[ItemCode],MATCH("L1-06-A",tblLocations[LocationID],0))&amp;"",MapLabelChars),"")</f>
        <v/>
      </c>
      <c r="M17" s="11">
        <f>IFERROR(LEFT(INDEX(tblLocations[ItemCode],MATCH("L1-05-A",tblLocations[LocationID],0))&amp;"",MapLabelChars),"")</f>
        <v/>
      </c>
      <c r="N17" s="11">
        <f>IFERROR(LEFT(INDEX(tblLocations[ItemCode],MATCH("L1-04-A",tblLocations[LocationID],0))&amp;"",MapLabelChars),"")</f>
        <v/>
      </c>
      <c r="O17" s="11">
        <f>IFERROR(LEFT(INDEX(tblLocations[ItemCode],MATCH("L1-03-A",tblLocations[LocationID],0))&amp;"",MapLabelChars),"")</f>
        <v/>
      </c>
      <c r="P17" s="11">
        <f>IFERROR(LEFT(INDEX(tblLocations[ItemCode],MATCH("L1-02-A",tblLocations[LocationID],0))&amp;"",MapLabelChars),"")</f>
        <v/>
      </c>
      <c r="Q17" s="11">
        <f>IFERROR(LEFT(INDEX(tblLocations[ItemCode],MATCH("L1-01-A",tblLocations[LocationID],0))&amp;"",MapLabelChars),"")</f>
        <v/>
      </c>
      <c r="U17" s="24">
        <f>IFERROR(LEFT(INDEX(tblLocations[ItemCode],MATCH("R2-01-A",tblLocations[LocationID],0))&amp;"",MapLabelChars),"")</f>
        <v/>
      </c>
      <c r="V17" s="24">
        <f>IFERROR(LEFT(INDEX(tblLocations[ItemCode],MATCH("R2-02-A",tblLocations[LocationID],0))&amp;"",MapLabelChars),"")</f>
        <v/>
      </c>
      <c r="W17" s="24">
        <f>IFERROR(LEFT(INDEX(tblLocations[ItemCode],MATCH("R2-03-A",tblLocations[LocationID],0))&amp;"",MapLabelChars),"")</f>
        <v/>
      </c>
      <c r="X17" s="24">
        <f>IFERROR(LEFT(INDEX(tblLocations[ItemCode],MATCH("R2-04-A",tblLocations[LocationID],0))&amp;"",MapLabelChars),"")</f>
        <v/>
      </c>
      <c r="Y17" s="24">
        <f>IFERROR(LEFT(INDEX(tblLocations[ItemCode],MATCH("R2-05-A",tblLocations[LocationID],0))&amp;"",MapLabelChars),"")</f>
        <v/>
      </c>
      <c r="Z17" s="24">
        <f>IFERROR(LEFT(INDEX(tblLocations[ItemCode],MATCH("R2-06-A",tblLocations[LocationID],0))&amp;"",MapLabelChars),"")</f>
        <v/>
      </c>
      <c r="AA17" s="24">
        <f>IFERROR(LEFT(INDEX(tblLocations[ItemCode],MATCH("R2-07-A",tblLocations[LocationID],0))&amp;"",MapLabelChars),"")</f>
        <v/>
      </c>
      <c r="AB17" s="24">
        <f>IFERROR(LEFT(INDEX(tblLocations[ItemCode],MATCH("R2-08-A",tblLocations[LocationID],0))&amp;"",MapLabelChars),"")</f>
        <v/>
      </c>
      <c r="AC17" s="24">
        <f>IFERROR(LEFT(INDEX(tblLocations[ItemCode],MATCH("R2-09-A",tblLocations[LocationID],0))&amp;"",MapLabelChars),"")</f>
        <v/>
      </c>
      <c r="AD17" s="24">
        <f>IFERROR(LEFT(INDEX(tblLocations[ItemCode],MATCH("R2-10-A",tblLocations[LocationID],0))&amp;"",MapLabelChars),"")</f>
        <v/>
      </c>
      <c r="AE17" s="24">
        <f>IFERROR(LEFT(INDEX(tblLocations[ItemCode],MATCH("R2-11-A",tblLocations[LocationID],0))&amp;"",MapLabelChars),"")</f>
        <v/>
      </c>
      <c r="AF17" s="24">
        <f>IFERROR(LEFT(INDEX(tblLocations[ItemCode],MATCH("R2-12-A",tblLocations[LocationID],0))&amp;"",MapLabelChars),"")</f>
        <v/>
      </c>
      <c r="AG17" s="24">
        <f>IFERROR(LEFT(INDEX(tblLocations[ItemCode],MATCH("R2-13-A",tblLocations[LocationID],0))&amp;"",MapLabelChars),"")</f>
        <v/>
      </c>
      <c r="AH17" s="24">
        <f>IFERROR(LEFT(INDEX(tblLocations[ItemCode],MATCH("R2-14-A",tblLocations[LocationID],0))&amp;"",MapLabelChars),"")</f>
        <v/>
      </c>
      <c r="AI17" s="24">
        <f>IFERROR(LEFT(INDEX(tblLocations[ItemCode],MATCH("R2-15-A",tblLocations[LocationID],0))&amp;"",MapLabelChars),"")</f>
        <v/>
      </c>
      <c r="AJ17" s="24">
        <f>IFERROR(LEFT(INDEX(tblLocations[ItemCode],MATCH("R2-16-A",tblLocations[LocationID],0))&amp;"",MapLabelChars),"")</f>
        <v/>
      </c>
      <c r="AL17" s="25" t="n"/>
      <c r="AO17" s="14" t="inlineStr">
        <is>
          <t>Wrong zone</t>
        </is>
      </c>
    </row>
    <row r="18" ht="15" customHeight="1">
      <c r="B18" s="11">
        <f>IFERROR(LEFT(INDEX(tblLocations[ItemCode],MATCH("L1-16-B",tblLocations[LocationID],0))&amp;"",MapLabelChars),"")</f>
        <v/>
      </c>
      <c r="C18" s="11">
        <f>IFERROR(LEFT(INDEX(tblLocations[ItemCode],MATCH("L1-15-B",tblLocations[LocationID],0))&amp;"",MapLabelChars),"")</f>
        <v/>
      </c>
      <c r="D18" s="11">
        <f>IFERROR(LEFT(INDEX(tblLocations[ItemCode],MATCH("L1-14-B",tblLocations[LocationID],0))&amp;"",MapLabelChars),"")</f>
        <v/>
      </c>
      <c r="E18" s="11">
        <f>IFERROR(LEFT(INDEX(tblLocations[ItemCode],MATCH("L1-13-B",tblLocations[LocationID],0))&amp;"",MapLabelChars),"")</f>
        <v/>
      </c>
      <c r="F18" s="11">
        <f>IFERROR(LEFT(INDEX(tblLocations[ItemCode],MATCH("L1-12-B",tblLocations[LocationID],0))&amp;"",MapLabelChars),"")</f>
        <v/>
      </c>
      <c r="G18" s="11">
        <f>IFERROR(LEFT(INDEX(tblLocations[ItemCode],MATCH("L1-11-B",tblLocations[LocationID],0))&amp;"",MapLabelChars),"")</f>
        <v/>
      </c>
      <c r="H18" s="11">
        <f>IFERROR(LEFT(INDEX(tblLocations[ItemCode],MATCH("L1-10-B",tblLocations[LocationID],0))&amp;"",MapLabelChars),"")</f>
        <v/>
      </c>
      <c r="I18" s="11">
        <f>IFERROR(LEFT(INDEX(tblLocations[ItemCode],MATCH("L1-09-B",tblLocations[LocationID],0))&amp;"",MapLabelChars),"")</f>
        <v/>
      </c>
      <c r="J18" s="11">
        <f>IFERROR(LEFT(INDEX(tblLocations[ItemCode],MATCH("L1-08-B",tblLocations[LocationID],0))&amp;"",MapLabelChars),"")</f>
        <v/>
      </c>
      <c r="K18" s="11">
        <f>IFERROR(LEFT(INDEX(tblLocations[ItemCode],MATCH("L1-07-B",tblLocations[LocationID],0))&amp;"",MapLabelChars),"")</f>
        <v/>
      </c>
      <c r="L18" s="11">
        <f>IFERROR(LEFT(INDEX(tblLocations[ItemCode],MATCH("L1-06-B",tblLocations[LocationID],0))&amp;"",MapLabelChars),"")</f>
        <v/>
      </c>
      <c r="M18" s="11">
        <f>IFERROR(LEFT(INDEX(tblLocations[ItemCode],MATCH("L1-05-B",tblLocations[LocationID],0))&amp;"",MapLabelChars),"")</f>
        <v/>
      </c>
      <c r="N18" s="11">
        <f>IFERROR(LEFT(INDEX(tblLocations[ItemCode],MATCH("L1-04-B",tblLocations[LocationID],0))&amp;"",MapLabelChars),"")</f>
        <v/>
      </c>
      <c r="O18" s="11">
        <f>IFERROR(LEFT(INDEX(tblLocations[ItemCode],MATCH("L1-03-B",tblLocations[LocationID],0))&amp;"",MapLabelChars),"")</f>
        <v/>
      </c>
      <c r="P18" s="11">
        <f>IFERROR(LEFT(INDEX(tblLocations[ItemCode],MATCH("L1-02-B",tblLocations[LocationID],0))&amp;"",MapLabelChars),"")</f>
        <v/>
      </c>
      <c r="Q18" s="11">
        <f>IFERROR(LEFT(INDEX(tblLocations[ItemCode],MATCH("L1-01-B",tblLocations[LocationID],0))&amp;"",MapLabelChars),"")</f>
        <v/>
      </c>
      <c r="U18" s="24">
        <f>IFERROR(LEFT(INDEX(tblLocations[ItemCode],MATCH("R2-01-B",tblLocations[LocationID],0))&amp;"",MapLabelChars),"")</f>
        <v/>
      </c>
      <c r="V18" s="24">
        <f>IFERROR(LEFT(INDEX(tblLocations[ItemCode],MATCH("R2-02-B",tblLocations[LocationID],0))&amp;"",MapLabelChars),"")</f>
        <v/>
      </c>
      <c r="W18" s="24">
        <f>IFERROR(LEFT(INDEX(tblLocations[ItemCode],MATCH("R2-03-B",tblLocations[LocationID],0))&amp;"",MapLabelChars),"")</f>
        <v/>
      </c>
      <c r="X18" s="24">
        <f>IFERROR(LEFT(INDEX(tblLocations[ItemCode],MATCH("R2-04-B",tblLocations[LocationID],0))&amp;"",MapLabelChars),"")</f>
        <v/>
      </c>
      <c r="Y18" s="24">
        <f>IFERROR(LEFT(INDEX(tblLocations[ItemCode],MATCH("R2-05-B",tblLocations[LocationID],0))&amp;"",MapLabelChars),"")</f>
        <v/>
      </c>
      <c r="Z18" s="24">
        <f>IFERROR(LEFT(INDEX(tblLocations[ItemCode],MATCH("R2-06-B",tblLocations[LocationID],0))&amp;"",MapLabelChars),"")</f>
        <v/>
      </c>
      <c r="AA18" s="24">
        <f>IFERROR(LEFT(INDEX(tblLocations[ItemCode],MATCH("R2-07-B",tblLocations[LocationID],0))&amp;"",MapLabelChars),"")</f>
        <v/>
      </c>
      <c r="AB18" s="24">
        <f>IFERROR(LEFT(INDEX(tblLocations[ItemCode],MATCH("R2-08-B",tblLocations[LocationID],0))&amp;"",MapLabelChars),"")</f>
        <v/>
      </c>
      <c r="AC18" s="24">
        <f>IFERROR(LEFT(INDEX(tblLocations[ItemCode],MATCH("R2-09-B",tblLocations[LocationID],0))&amp;"",MapLabelChars),"")</f>
        <v/>
      </c>
      <c r="AD18" s="24">
        <f>IFERROR(LEFT(INDEX(tblLocations[ItemCode],MATCH("R2-10-B",tblLocations[LocationID],0))&amp;"",MapLabelChars),"")</f>
        <v/>
      </c>
      <c r="AE18" s="24">
        <f>IFERROR(LEFT(INDEX(tblLocations[ItemCode],MATCH("R2-11-B",tblLocations[LocationID],0))&amp;"",MapLabelChars),"")</f>
        <v/>
      </c>
      <c r="AF18" s="24">
        <f>IFERROR(LEFT(INDEX(tblLocations[ItemCode],MATCH("R2-12-B",tblLocations[LocationID],0))&amp;"",MapLabelChars),"")</f>
        <v/>
      </c>
      <c r="AG18" s="24">
        <f>IFERROR(LEFT(INDEX(tblLocations[ItemCode],MATCH("R2-13-B",tblLocations[LocationID],0))&amp;"",MapLabelChars),"")</f>
        <v/>
      </c>
      <c r="AH18" s="24">
        <f>IFERROR(LEFT(INDEX(tblLocations[ItemCode],MATCH("R2-14-B",tblLocations[LocationID],0))&amp;"",MapLabelChars),"")</f>
        <v/>
      </c>
      <c r="AI18" s="24">
        <f>IFERROR(LEFT(INDEX(tblLocations[ItemCode],MATCH("R2-15-B",tblLocations[LocationID],0))&amp;"",MapLabelChars),"")</f>
        <v/>
      </c>
      <c r="AJ18" s="24">
        <f>IFERROR(LEFT(INDEX(tblLocations[ItemCode],MATCH("R2-16-B",tblLocations[LocationID],0))&amp;"",MapLabelChars),"")</f>
        <v/>
      </c>
      <c r="AL18" s="26" t="n"/>
      <c r="AO18" s="14" t="inlineStr">
        <is>
          <t>Selected, being moved</t>
        </is>
      </c>
    </row>
    <row r="19" ht="15" customHeight="1">
      <c r="B19" s="11">
        <f>IFERROR(LEFT(INDEX(tblLocations[ItemCode],MATCH("L1-16-C",tblLocations[LocationID],0))&amp;"",MapLabelChars),"")</f>
        <v/>
      </c>
      <c r="C19" s="11">
        <f>IFERROR(LEFT(INDEX(tblLocations[ItemCode],MATCH("L1-15-C",tblLocations[LocationID],0))&amp;"",MapLabelChars),"")</f>
        <v/>
      </c>
      <c r="D19" s="11">
        <f>IFERROR(LEFT(INDEX(tblLocations[ItemCode],MATCH("L1-14-C",tblLocations[LocationID],0))&amp;"",MapLabelChars),"")</f>
        <v/>
      </c>
      <c r="E19" s="11">
        <f>IFERROR(LEFT(INDEX(tblLocations[ItemCode],MATCH("L1-13-C",tblLocations[LocationID],0))&amp;"",MapLabelChars),"")</f>
        <v/>
      </c>
      <c r="F19" s="11">
        <f>IFERROR(LEFT(INDEX(tblLocations[ItemCode],MATCH("L1-12-C",tblLocations[LocationID],0))&amp;"",MapLabelChars),"")</f>
        <v/>
      </c>
      <c r="G19" s="11">
        <f>IFERROR(LEFT(INDEX(tblLocations[ItemCode],MATCH("L1-11-C",tblLocations[LocationID],0))&amp;"",MapLabelChars),"")</f>
        <v/>
      </c>
      <c r="H19" s="11">
        <f>IFERROR(LEFT(INDEX(tblLocations[ItemCode],MATCH("L1-10-C",tblLocations[LocationID],0))&amp;"",MapLabelChars),"")</f>
        <v/>
      </c>
      <c r="I19" s="11">
        <f>IFERROR(LEFT(INDEX(tblLocations[ItemCode],MATCH("L1-09-C",tblLocations[LocationID],0))&amp;"",MapLabelChars),"")</f>
        <v/>
      </c>
      <c r="J19" s="11">
        <f>IFERROR(LEFT(INDEX(tblLocations[ItemCode],MATCH("L1-08-C",tblLocations[LocationID],0))&amp;"",MapLabelChars),"")</f>
        <v/>
      </c>
      <c r="K19" s="11">
        <f>IFERROR(LEFT(INDEX(tblLocations[ItemCode],MATCH("L1-07-C",tblLocations[LocationID],0))&amp;"",MapLabelChars),"")</f>
        <v/>
      </c>
      <c r="L19" s="11">
        <f>IFERROR(LEFT(INDEX(tblLocations[ItemCode],MATCH("L1-06-C",tblLocations[LocationID],0))&amp;"",MapLabelChars),"")</f>
        <v/>
      </c>
      <c r="M19" s="11">
        <f>IFERROR(LEFT(INDEX(tblLocations[ItemCode],MATCH("L1-05-C",tblLocations[LocationID],0))&amp;"",MapLabelChars),"")</f>
        <v/>
      </c>
      <c r="N19" s="11">
        <f>IFERROR(LEFT(INDEX(tblLocations[ItemCode],MATCH("L1-04-C",tblLocations[LocationID],0))&amp;"",MapLabelChars),"")</f>
        <v/>
      </c>
      <c r="O19" s="11">
        <f>IFERROR(LEFT(INDEX(tblLocations[ItemCode],MATCH("L1-03-C",tblLocations[LocationID],0))&amp;"",MapLabelChars),"")</f>
        <v/>
      </c>
      <c r="P19" s="11">
        <f>IFERROR(LEFT(INDEX(tblLocations[ItemCode],MATCH("L1-02-C",tblLocations[LocationID],0))&amp;"",MapLabelChars),"")</f>
        <v/>
      </c>
      <c r="Q19" s="11">
        <f>IFERROR(LEFT(INDEX(tblLocations[ItemCode],MATCH("L1-01-C",tblLocations[LocationID],0))&amp;"",MapLabelChars),"")</f>
        <v/>
      </c>
      <c r="U19" s="24">
        <f>IFERROR(LEFT(INDEX(tblLocations[ItemCode],MATCH("R2-01-C",tblLocations[LocationID],0))&amp;"",MapLabelChars),"")</f>
        <v/>
      </c>
      <c r="V19" s="24">
        <f>IFERROR(LEFT(INDEX(tblLocations[ItemCode],MATCH("R2-02-C",tblLocations[LocationID],0))&amp;"",MapLabelChars),"")</f>
        <v/>
      </c>
      <c r="W19" s="24">
        <f>IFERROR(LEFT(INDEX(tblLocations[ItemCode],MATCH("R2-03-C",tblLocations[LocationID],0))&amp;"",MapLabelChars),"")</f>
        <v/>
      </c>
      <c r="X19" s="24">
        <f>IFERROR(LEFT(INDEX(tblLocations[ItemCode],MATCH("R2-04-C",tblLocations[LocationID],0))&amp;"",MapLabelChars),"")</f>
        <v/>
      </c>
      <c r="Y19" s="24">
        <f>IFERROR(LEFT(INDEX(tblLocations[ItemCode],MATCH("R2-05-C",tblLocations[LocationID],0))&amp;"",MapLabelChars),"")</f>
        <v/>
      </c>
      <c r="Z19" s="24">
        <f>IFERROR(LEFT(INDEX(tblLocations[ItemCode],MATCH("R2-06-C",tblLocations[LocationID],0))&amp;"",MapLabelChars),"")</f>
        <v/>
      </c>
      <c r="AA19" s="24">
        <f>IFERROR(LEFT(INDEX(tblLocations[ItemCode],MATCH("R2-07-C",tblLocations[LocationID],0))&amp;"",MapLabelChars),"")</f>
        <v/>
      </c>
      <c r="AB19" s="24">
        <f>IFERROR(LEFT(INDEX(tblLocations[ItemCode],MATCH("R2-08-C",tblLocations[LocationID],0))&amp;"",MapLabelChars),"")</f>
        <v/>
      </c>
      <c r="AC19" s="24">
        <f>IFERROR(LEFT(INDEX(tblLocations[ItemCode],MATCH("R2-09-C",tblLocations[LocationID],0))&amp;"",MapLabelChars),"")</f>
        <v/>
      </c>
      <c r="AD19" s="24">
        <f>IFERROR(LEFT(INDEX(tblLocations[ItemCode],MATCH("R2-10-C",tblLocations[LocationID],0))&amp;"",MapLabelChars),"")</f>
        <v/>
      </c>
      <c r="AE19" s="24">
        <f>IFERROR(LEFT(INDEX(tblLocations[ItemCode],MATCH("R2-11-C",tblLocations[LocationID],0))&amp;"",MapLabelChars),"")</f>
        <v/>
      </c>
      <c r="AF19" s="24">
        <f>IFERROR(LEFT(INDEX(tblLocations[ItemCode],MATCH("R2-12-C",tblLocations[LocationID],0))&amp;"",MapLabelChars),"")</f>
        <v/>
      </c>
      <c r="AG19" s="24">
        <f>IFERROR(LEFT(INDEX(tblLocations[ItemCode],MATCH("R2-13-C",tblLocations[LocationID],0))&amp;"",MapLabelChars),"")</f>
        <v/>
      </c>
      <c r="AH19" s="24">
        <f>IFERROR(LEFT(INDEX(tblLocations[ItemCode],MATCH("R2-14-C",tblLocations[LocationID],0))&amp;"",MapLabelChars),"")</f>
        <v/>
      </c>
      <c r="AI19" s="24">
        <f>IFERROR(LEFT(INDEX(tblLocations[ItemCode],MATCH("R2-15-C",tblLocations[LocationID],0))&amp;"",MapLabelChars),"")</f>
        <v/>
      </c>
      <c r="AJ19" s="24">
        <f>IFERROR(LEFT(INDEX(tblLocations[ItemCode],MATCH("R2-16-C",tblLocations[LocationID],0))&amp;"",MapLabelChars),"")</f>
        <v/>
      </c>
      <c r="AL19" s="27" t="n"/>
      <c r="AO19" s="14" t="inlineStr">
        <is>
          <t>Low stock item</t>
        </is>
      </c>
    </row>
    <row r="20" ht="15" customHeight="1">
      <c r="B20" s="11">
        <f>IFERROR(LEFT(INDEX(tblLocations[ItemCode],MATCH("L1-16-D",tblLocations[LocationID],0))&amp;"",MapLabelChars),"")</f>
        <v/>
      </c>
      <c r="C20" s="11">
        <f>IFERROR(LEFT(INDEX(tblLocations[ItemCode],MATCH("L1-15-D",tblLocations[LocationID],0))&amp;"",MapLabelChars),"")</f>
        <v/>
      </c>
      <c r="D20" s="11">
        <f>IFERROR(LEFT(INDEX(tblLocations[ItemCode],MATCH("L1-14-D",tblLocations[LocationID],0))&amp;"",MapLabelChars),"")</f>
        <v/>
      </c>
      <c r="E20" s="11">
        <f>IFERROR(LEFT(INDEX(tblLocations[ItemCode],MATCH("L1-13-D",tblLocations[LocationID],0))&amp;"",MapLabelChars),"")</f>
        <v/>
      </c>
      <c r="F20" s="11">
        <f>IFERROR(LEFT(INDEX(tblLocations[ItemCode],MATCH("L1-12-D",tblLocations[LocationID],0))&amp;"",MapLabelChars),"")</f>
        <v/>
      </c>
      <c r="G20" s="11">
        <f>IFERROR(LEFT(INDEX(tblLocations[ItemCode],MATCH("L1-11-D",tblLocations[LocationID],0))&amp;"",MapLabelChars),"")</f>
        <v/>
      </c>
      <c r="H20" s="11">
        <f>IFERROR(LEFT(INDEX(tblLocations[ItemCode],MATCH("L1-10-D",tblLocations[LocationID],0))&amp;"",MapLabelChars),"")</f>
        <v/>
      </c>
      <c r="I20" s="11">
        <f>IFERROR(LEFT(INDEX(tblLocations[ItemCode],MATCH("L1-09-D",tblLocations[LocationID],0))&amp;"",MapLabelChars),"")</f>
        <v/>
      </c>
      <c r="J20" s="11">
        <f>IFERROR(LEFT(INDEX(tblLocations[ItemCode],MATCH("L1-08-D",tblLocations[LocationID],0))&amp;"",MapLabelChars),"")</f>
        <v/>
      </c>
      <c r="K20" s="11">
        <f>IFERROR(LEFT(INDEX(tblLocations[ItemCode],MATCH("L1-07-D",tblLocations[LocationID],0))&amp;"",MapLabelChars),"")</f>
        <v/>
      </c>
      <c r="L20" s="11">
        <f>IFERROR(LEFT(INDEX(tblLocations[ItemCode],MATCH("L1-06-D",tblLocations[LocationID],0))&amp;"",MapLabelChars),"")</f>
        <v/>
      </c>
      <c r="M20" s="11">
        <f>IFERROR(LEFT(INDEX(tblLocations[ItemCode],MATCH("L1-05-D",tblLocations[LocationID],0))&amp;"",MapLabelChars),"")</f>
        <v/>
      </c>
      <c r="N20" s="11">
        <f>IFERROR(LEFT(INDEX(tblLocations[ItemCode],MATCH("L1-04-D",tblLocations[LocationID],0))&amp;"",MapLabelChars),"")</f>
        <v/>
      </c>
      <c r="O20" s="11">
        <f>IFERROR(LEFT(INDEX(tblLocations[ItemCode],MATCH("L1-03-D",tblLocations[LocationID],0))&amp;"",MapLabelChars),"")</f>
        <v/>
      </c>
      <c r="P20" s="11">
        <f>IFERROR(LEFT(INDEX(tblLocations[ItemCode],MATCH("L1-02-D",tblLocations[LocationID],0))&amp;"",MapLabelChars),"")</f>
        <v/>
      </c>
      <c r="Q20" s="11">
        <f>IFERROR(LEFT(INDEX(tblLocations[ItemCode],MATCH("L1-01-D",tblLocations[LocationID],0))&amp;"",MapLabelChars),"")</f>
        <v/>
      </c>
      <c r="U20" s="24">
        <f>IFERROR(LEFT(INDEX(tblLocations[ItemCode],MATCH("R2-01-D",tblLocations[LocationID],0))&amp;"",MapLabelChars),"")</f>
        <v/>
      </c>
      <c r="V20" s="24">
        <f>IFERROR(LEFT(INDEX(tblLocations[ItemCode],MATCH("R2-02-D",tblLocations[LocationID],0))&amp;"",MapLabelChars),"")</f>
        <v/>
      </c>
      <c r="W20" s="24">
        <f>IFERROR(LEFT(INDEX(tblLocations[ItemCode],MATCH("R2-03-D",tblLocations[LocationID],0))&amp;"",MapLabelChars),"")</f>
        <v/>
      </c>
      <c r="X20" s="24">
        <f>IFERROR(LEFT(INDEX(tblLocations[ItemCode],MATCH("R2-04-D",tblLocations[LocationID],0))&amp;"",MapLabelChars),"")</f>
        <v/>
      </c>
      <c r="Y20" s="24">
        <f>IFERROR(LEFT(INDEX(tblLocations[ItemCode],MATCH("R2-05-D",tblLocations[LocationID],0))&amp;"",MapLabelChars),"")</f>
        <v/>
      </c>
      <c r="Z20" s="24">
        <f>IFERROR(LEFT(INDEX(tblLocations[ItemCode],MATCH("R2-06-D",tblLocations[LocationID],0))&amp;"",MapLabelChars),"")</f>
        <v/>
      </c>
      <c r="AA20" s="24">
        <f>IFERROR(LEFT(INDEX(tblLocations[ItemCode],MATCH("R2-07-D",tblLocations[LocationID],0))&amp;"",MapLabelChars),"")</f>
        <v/>
      </c>
      <c r="AB20" s="24">
        <f>IFERROR(LEFT(INDEX(tblLocations[ItemCode],MATCH("R2-08-D",tblLocations[LocationID],0))&amp;"",MapLabelChars),"")</f>
        <v/>
      </c>
      <c r="AC20" s="24">
        <f>IFERROR(LEFT(INDEX(tblLocations[ItemCode],MATCH("R2-09-D",tblLocations[LocationID],0))&amp;"",MapLabelChars),"")</f>
        <v/>
      </c>
      <c r="AD20" s="24">
        <f>IFERROR(LEFT(INDEX(tblLocations[ItemCode],MATCH("R2-10-D",tblLocations[LocationID],0))&amp;"",MapLabelChars),"")</f>
        <v/>
      </c>
      <c r="AE20" s="24">
        <f>IFERROR(LEFT(INDEX(tblLocations[ItemCode],MATCH("R2-11-D",tblLocations[LocationID],0))&amp;"",MapLabelChars),"")</f>
        <v/>
      </c>
      <c r="AF20" s="24">
        <f>IFERROR(LEFT(INDEX(tblLocations[ItemCode],MATCH("R2-12-D",tblLocations[LocationID],0))&amp;"",MapLabelChars),"")</f>
        <v/>
      </c>
      <c r="AG20" s="24">
        <f>IFERROR(LEFT(INDEX(tblLocations[ItemCode],MATCH("R2-13-D",tblLocations[LocationID],0))&amp;"",MapLabelChars),"")</f>
        <v/>
      </c>
      <c r="AH20" s="24">
        <f>IFERROR(LEFT(INDEX(tblLocations[ItemCode],MATCH("R2-14-D",tblLocations[LocationID],0))&amp;"",MapLabelChars),"")</f>
        <v/>
      </c>
      <c r="AI20" s="24">
        <f>IFERROR(LEFT(INDEX(tblLocations[ItemCode],MATCH("R2-15-D",tblLocations[LocationID],0))&amp;"",MapLabelChars),"")</f>
        <v/>
      </c>
      <c r="AJ20" s="24">
        <f>IFERROR(LEFT(INDEX(tblLocations[ItemCode],MATCH("R2-16-D",tblLocations[LocationID],0))&amp;"",MapLabelChars),"")</f>
        <v/>
      </c>
    </row>
    <row r="21" ht="15" customHeight="1">
      <c r="B21" s="7" t="inlineStr">
        <is>
          <t>XL  Not ours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U21" s="7" t="inlineStr">
        <is>
          <t>R1  Labels and Packing</t>
        </is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L21" s="10" t="inlineStr">
        <is>
          <t>LIVE COUNTS</t>
        </is>
      </c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</row>
    <row r="22" ht="15" customHeight="1">
      <c r="B22" s="28" t="inlineStr">
        <is>
          <t>NOT OURS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U22" s="29">
        <f>IFERROR(LEFT(INDEX(tblLocations[ItemCode],MATCH("R1-01-A",tblLocations[LocationID],0))&amp;"",MapLabelChars),"")</f>
        <v/>
      </c>
      <c r="V22" s="29">
        <f>IFERROR(LEFT(INDEX(tblLocations[ItemCode],MATCH("R1-02-A",tblLocations[LocationID],0))&amp;"",MapLabelChars),"")</f>
        <v/>
      </c>
      <c r="W22" s="29">
        <f>IFERROR(LEFT(INDEX(tblLocations[ItemCode],MATCH("R1-03-A",tblLocations[LocationID],0))&amp;"",MapLabelChars),"")</f>
        <v/>
      </c>
      <c r="X22" s="29">
        <f>IFERROR(LEFT(INDEX(tblLocations[ItemCode],MATCH("R1-04-A",tblLocations[LocationID],0))&amp;"",MapLabelChars),"")</f>
        <v/>
      </c>
      <c r="Y22" s="29">
        <f>IFERROR(LEFT(INDEX(tblLocations[ItemCode],MATCH("R1-05-A",tblLocations[LocationID],0))&amp;"",MapLabelChars),"")</f>
        <v/>
      </c>
      <c r="Z22" s="29">
        <f>IFERROR(LEFT(INDEX(tblLocations[ItemCode],MATCH("R1-06-A",tblLocations[LocationID],0))&amp;"",MapLabelChars),"")</f>
        <v/>
      </c>
      <c r="AA22" s="29">
        <f>IFERROR(LEFT(INDEX(tblLocations[ItemCode],MATCH("R1-07-A",tblLocations[LocationID],0))&amp;"",MapLabelChars),"")</f>
        <v/>
      </c>
      <c r="AB22" s="29">
        <f>IFERROR(LEFT(INDEX(tblLocations[ItemCode],MATCH("R1-08-A",tblLocations[LocationID],0))&amp;"",MapLabelChars),"")</f>
        <v/>
      </c>
      <c r="AC22" s="29">
        <f>IFERROR(LEFT(INDEX(tblLocations[ItemCode],MATCH("R1-09-A",tblLocations[LocationID],0))&amp;"",MapLabelChars),"")</f>
        <v/>
      </c>
      <c r="AD22" s="29">
        <f>IFERROR(LEFT(INDEX(tblLocations[ItemCode],MATCH("R1-10-A",tblLocations[LocationID],0))&amp;"",MapLabelChars),"")</f>
        <v/>
      </c>
      <c r="AE22" s="29">
        <f>IFERROR(LEFT(INDEX(tblLocations[ItemCode],MATCH("R1-11-A",tblLocations[LocationID],0))&amp;"",MapLabelChars),"")</f>
        <v/>
      </c>
      <c r="AF22" s="29">
        <f>IFERROR(LEFT(INDEX(tblLocations[ItemCode],MATCH("R1-12-A",tblLocations[LocationID],0))&amp;"",MapLabelChars),"")</f>
        <v/>
      </c>
      <c r="AG22" s="29">
        <f>IFERROR(LEFT(INDEX(tblLocations[ItemCode],MATCH("R1-13-A",tblLocations[LocationID],0))&amp;"",MapLabelChars),"")</f>
        <v/>
      </c>
      <c r="AH22" s="29">
        <f>IFERROR(LEFT(INDEX(tblLocations[ItemCode],MATCH("R1-14-A",tblLocations[LocationID],0))&amp;"",MapLabelChars),"")</f>
        <v/>
      </c>
      <c r="AI22" s="29">
        <f>IFERROR(LEFT(INDEX(tblLocations[ItemCode],MATCH("R1-15-A",tblLocations[LocationID],0))&amp;"",MapLabelChars),"")</f>
        <v/>
      </c>
      <c r="AJ22" s="29">
        <f>IFERROR(LEFT(INDEX(tblLocations[ItemCode],MATCH("R1-16-A",tblLocations[LocationID],0))&amp;"",MapLabelChars),"")</f>
        <v/>
      </c>
      <c r="AL22" s="30">
        <f>ROWS(tblLocations[LocationID])</f>
        <v/>
      </c>
      <c r="AO22" s="14" t="inlineStr">
        <is>
          <t>Positions</t>
        </is>
      </c>
    </row>
    <row r="23" ht="15" customHeight="1"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U23" s="7" t="inlineStr">
        <is>
          <t>XR  Not ours</t>
        </is>
      </c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L23" s="30">
        <f>COUNTIF(tblLocations[ItemCode],"?*")</f>
        <v/>
      </c>
      <c r="AO23" s="14" t="inlineStr">
        <is>
          <t>Pallets placed</t>
        </is>
      </c>
    </row>
    <row r="24" ht="15" customHeight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U24" s="28" t="inlineStr">
        <is>
          <t>NOT OURS</t>
        </is>
      </c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L24" s="30">
        <f>ROWS(tblLocations[LocationID])-COUNTIF(tblLocations[ItemCode],"?*")</f>
        <v/>
      </c>
      <c r="AO24" s="14" t="inlineStr">
        <is>
          <t>Free</t>
        </is>
      </c>
    </row>
    <row r="25" ht="15" customHeight="1"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</row>
    <row r="26" ht="15" customHeight="1"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</row>
    <row r="27" ht="15" customHeight="1"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</row>
    <row r="28" ht="15" customHeight="1"/>
    <row r="29" ht="15" customHeight="1">
      <c r="B29" s="31" t="inlineStr">
        <is>
          <t>FIRE EXIT</t>
        </is>
      </c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</row>
  </sheetData>
  <mergeCells count="37">
    <mergeCell ref="AO10:AU10"/>
    <mergeCell ref="AP1:AU1"/>
    <mergeCell ref="AO22:AU22"/>
    <mergeCell ref="AO9:AU9"/>
    <mergeCell ref="B4:AJ4"/>
    <mergeCell ref="B22:Q27"/>
    <mergeCell ref="B6:Q6"/>
    <mergeCell ref="U23:AJ23"/>
    <mergeCell ref="AL24:AN24"/>
    <mergeCell ref="R6:T27"/>
    <mergeCell ref="A1:AO1"/>
    <mergeCell ref="AL23:AN23"/>
    <mergeCell ref="AO17:AU17"/>
    <mergeCell ref="AO8:AU8"/>
    <mergeCell ref="B16:Q16"/>
    <mergeCell ref="AL6:AU6"/>
    <mergeCell ref="AO16:AU16"/>
    <mergeCell ref="AO7:AU7"/>
    <mergeCell ref="U6:AJ6"/>
    <mergeCell ref="AO23:AU23"/>
    <mergeCell ref="AO13:AU13"/>
    <mergeCell ref="AL22:AN22"/>
    <mergeCell ref="B21:Q21"/>
    <mergeCell ref="B11:Q11"/>
    <mergeCell ref="B29:AJ29"/>
    <mergeCell ref="U11:AJ11"/>
    <mergeCell ref="AO19:AU19"/>
    <mergeCell ref="AO15:AU15"/>
    <mergeCell ref="U24:AJ27"/>
    <mergeCell ref="A2:AU2"/>
    <mergeCell ref="U16:AJ16"/>
    <mergeCell ref="AO24:AU24"/>
    <mergeCell ref="AO18:AU18"/>
    <mergeCell ref="AO14:AU14"/>
    <mergeCell ref="AL21:AU21"/>
    <mergeCell ref="AL12:AU12"/>
    <mergeCell ref="U21:AJ21"/>
  </mergeCells>
  <conditionalFormatting sqref="B17:Q20">
    <cfRule type="expression" priority="1" dxfId="0">
      <formula>LEN(B17)&gt;0</formula>
    </cfRule>
  </conditionalFormatting>
  <conditionalFormatting sqref="B12:Q15">
    <cfRule type="expression" priority="2" dxfId="0">
      <formula>LEN(B12)&gt;0</formula>
    </cfRule>
  </conditionalFormatting>
  <conditionalFormatting sqref="B7:Q10">
    <cfRule type="expression" priority="3" dxfId="0">
      <formula>LEN(B7)&gt;0</formula>
    </cfRule>
  </conditionalFormatting>
  <conditionalFormatting sqref="U22:AJ22">
    <cfRule type="expression" priority="4" dxfId="1">
      <formula>LEN(U22)&gt;0</formula>
    </cfRule>
  </conditionalFormatting>
  <conditionalFormatting sqref="U17:AJ20">
    <cfRule type="expression" priority="5" dxfId="2">
      <formula>LEN(U17)&gt;0</formula>
    </cfRule>
  </conditionalFormatting>
  <conditionalFormatting sqref="U12:AJ15">
    <cfRule type="expression" priority="6" dxfId="3">
      <formula>LEN(U12)&gt;0</formula>
    </cfRule>
  </conditionalFormatting>
  <conditionalFormatting sqref="U7:AJ10">
    <cfRule type="expression" priority="7" dxfId="0">
      <formula>LEN(U7)&gt;0</formula>
    </cfRule>
  </conditionalFormatting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/>
  </sheetPr>
  <dimension ref="A1:T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9" customWidth="1" min="9" max="9"/>
    <col width="10" customWidth="1" min="10" max="10"/>
    <col width="10" customWidth="1" min="11" max="11"/>
    <col width="3" customWidth="1" min="12" max="12"/>
    <col width="8" customWidth="1" min="13" max="13"/>
    <col width="20" customWidth="1" min="14" max="14"/>
    <col width="10" customWidth="1" min="15" max="15"/>
    <col width="9" customWidth="1" min="16" max="16"/>
    <col width="9" customWidth="1" min="17" max="17"/>
    <col width="9" customWidth="1" min="18" max="18"/>
    <col width="16" customWidth="1" min="19" max="19"/>
    <col width="3" customWidth="1" min="20" max="20"/>
  </cols>
  <sheetData>
    <row r="1" ht="30" customHeight="1">
      <c r="A1" s="33" t="inlineStr">
        <is>
          <t>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30" customHeight="1">
      <c r="A2" s="34" t="inlineStr">
        <is>
          <t>All figures are live formulas from Items and Locations - they work with or without macros.</t>
        </is>
      </c>
    </row>
    <row r="4" ht="20" customHeight="1">
      <c r="A4" s="5" t="inlineStr">
        <is>
          <t>Positions</t>
        </is>
      </c>
      <c r="B4" s="6" t="n"/>
      <c r="C4" s="5" t="inlineStr">
        <is>
          <t>Pallets placed</t>
        </is>
      </c>
      <c r="D4" s="6" t="n"/>
      <c r="E4" s="5" t="inlineStr">
        <is>
          <t>Free positions</t>
        </is>
      </c>
      <c r="F4" s="6" t="n"/>
      <c r="G4" s="5" t="inlineStr">
        <is>
          <t>% used</t>
        </is>
      </c>
      <c r="H4" s="6" t="n"/>
      <c r="I4" s="5" t="inlineStr">
        <is>
          <t>Wrong-zone pallets</t>
        </is>
      </c>
      <c r="J4" s="6" t="n"/>
      <c r="K4" s="6" t="n"/>
      <c r="M4" s="5" t="inlineStr">
        <is>
          <t>Low-stock items</t>
        </is>
      </c>
      <c r="N4" s="6" t="n"/>
      <c r="O4" s="6" t="n"/>
    </row>
    <row r="5" ht="36" customHeight="1">
      <c r="A5" s="35">
        <f>ROWS(tblLocations[LocationID])</f>
        <v/>
      </c>
      <c r="B5" s="36" t="n"/>
      <c r="C5" s="35">
        <f>COUNTIF(tblLocations[ItemCode],"?*")</f>
        <v/>
      </c>
      <c r="D5" s="36" t="n"/>
      <c r="E5" s="35">
        <f>ROWS(tblLocations[LocationID])-COUNTIF(tblLocations[ItemCode],"?*")</f>
        <v/>
      </c>
      <c r="F5" s="36" t="n"/>
      <c r="G5" s="37">
        <f>IFERROR(COUNTIF(tblLocations[ItemCode],"?*")/ROWS(tblLocations[LocationID]),0)</f>
        <v/>
      </c>
      <c r="H5" s="36" t="n"/>
      <c r="I5" s="35">
        <f>SUM(J9:J68)</f>
        <v/>
      </c>
      <c r="J5" s="36" t="n"/>
      <c r="K5" s="36" t="n"/>
      <c r="M5" s="35">
        <f>COUNTIF(tblItems[LowStock],"LOW")</f>
        <v/>
      </c>
      <c r="N5" s="36" t="n"/>
      <c r="O5" s="36" t="n"/>
    </row>
    <row r="7">
      <c r="A7" s="38" t="inlineStr">
        <is>
          <t>Stock by item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M7" s="38" t="inlineStr">
        <is>
          <t>Space by zone</t>
        </is>
      </c>
      <c r="N7" s="39" t="n"/>
      <c r="O7" s="39" t="n"/>
      <c r="P7" s="39" t="n"/>
      <c r="Q7" s="39" t="n"/>
      <c r="R7" s="39" t="n"/>
      <c r="S7" s="39" t="n"/>
    </row>
    <row r="8" ht="28" customHeight="1">
      <c r="A8" s="40" t="inlineStr">
        <is>
          <t>Item</t>
        </is>
      </c>
      <c r="B8" s="40" t="inlineStr">
        <is>
          <t>Description</t>
        </is>
      </c>
      <c r="C8" s="40" t="inlineStr">
        <is>
          <t>Zone</t>
        </is>
      </c>
      <c r="D8" s="40" t="inlineStr">
        <is>
          <t>On hand (units)</t>
        </is>
      </c>
      <c r="E8" s="40" t="inlineStr">
        <is>
          <t>Units / pallet</t>
        </is>
      </c>
      <c r="F8" s="40" t="inlineStr">
        <is>
          <t>Pallets needed</t>
        </is>
      </c>
      <c r="G8" s="40" t="inlineStr">
        <is>
          <t>Pallets placed</t>
        </is>
      </c>
      <c r="H8" s="40" t="inlineStr">
        <is>
          <t>Units on pallets</t>
        </is>
      </c>
      <c r="I8" s="40" t="inlineStr">
        <is>
          <t>In zone</t>
        </is>
      </c>
      <c r="J8" s="40" t="inlineStr">
        <is>
          <t>Wrong zone</t>
        </is>
      </c>
      <c r="K8" s="40" t="inlineStr">
        <is>
          <t>Status</t>
        </is>
      </c>
      <c r="M8" s="40" t="inlineStr">
        <is>
          <t>Zone</t>
        </is>
      </c>
      <c r="N8" s="40" t="inlineStr">
        <is>
          <t>Name</t>
        </is>
      </c>
      <c r="O8" s="40" t="inlineStr">
        <is>
          <t>Capacity</t>
        </is>
      </c>
      <c r="P8" s="40" t="inlineStr">
        <is>
          <t>Used</t>
        </is>
      </c>
      <c r="Q8" s="40" t="inlineStr">
        <is>
          <t>Free</t>
        </is>
      </c>
      <c r="R8" s="40" t="inlineStr">
        <is>
          <t>% used</t>
        </is>
      </c>
      <c r="S8" s="40" t="inlineStr">
        <is>
          <t>Next free (nearest bay)</t>
        </is>
      </c>
    </row>
    <row r="9">
      <c r="A9" s="41">
        <f>IFERROR(INDEX(tblItems[ItemCode],1)&amp;"","")</f>
        <v/>
      </c>
      <c r="B9" s="42">
        <f>IF($A9="","",INDEX(tblItems[Description],1)&amp;"")</f>
        <v/>
      </c>
      <c r="C9" s="41">
        <f>IF($A9="","",INDEX(tblItems[Zone],1)&amp;"")</f>
        <v/>
      </c>
      <c r="D9" s="43">
        <f>IF($A9="","",N(INDEX(tblItems[OnHandUnits],1)))</f>
        <v/>
      </c>
      <c r="E9" s="41">
        <f>IF($A9="","",N(INDEX(tblItems[UnitsPerPallet],1)))</f>
        <v/>
      </c>
      <c r="F9" s="41">
        <f>IF($A9="","",INDEX(tblItems[PalletsNeeded],1))</f>
        <v/>
      </c>
      <c r="G9" s="41">
        <f>IF($A9="","",COUNTIF(tblLocations[ItemCode],$A9))</f>
        <v/>
      </c>
      <c r="H9" s="43">
        <f>IF($A9="","",SUMIFS(tblLocations[UnitsOnPallet],tblLocations[ItemCode],$A9)+COUNTIFS(tblLocations[ItemCode],$A9,tblLocations[UnitsOnPallet],"")*$E9)</f>
        <v/>
      </c>
      <c r="I9" s="41">
        <f>IF($A9="","",COUNTIFS(tblLocations[ItemCode],$A9,tblLocations[Zone],$C9))</f>
        <v/>
      </c>
      <c r="J9" s="41">
        <f>IF($A9="","",COUNTIFS(tblLocations[ItemCode],$A9,tblLocations[Zone],"&lt;&gt;"&amp;$C9,tblLocations[Zone],"?*"))</f>
        <v/>
      </c>
      <c r="K9" s="41">
        <f>IF($A9="","",IF(INDEX(tblItems[LowStock],1)="LOW","LOW",IF(INDEX(tblItems[Mismatch],1)="Yes","CHECK",IF($J9&gt;0,"WRONG ZONE","OK"))))</f>
        <v/>
      </c>
      <c r="M9" s="41">
        <f>IFERROR(INDEX(tblZones[Code],1)&amp;"","")</f>
        <v/>
      </c>
      <c r="N9" s="42">
        <f>IFERROR(INDEX(tblZones[Name],1)&amp;"","")</f>
        <v/>
      </c>
      <c r="O9" s="41">
        <f>IF($M9="","",COUNTIFS(tblLocations[Zone],$M9))</f>
        <v/>
      </c>
      <c r="P9" s="41">
        <f>IF($M9="","",COUNTIFS(tblLocations[Zone],$M9,tblLocations[ItemCode],"?*"))</f>
        <v/>
      </c>
      <c r="Q9" s="41">
        <f>IF($M9="","",O9-P9)</f>
        <v/>
      </c>
      <c r="R9" s="44">
        <f>IF($M9="","",IF(O9=0,0,P9/O9))</f>
        <v/>
      </c>
      <c r="S9" s="41">
        <f t="array" ref="S9">IF($M9="","",IF(O9=0,"",IF(Q9=0,"Full",INDEX(tblLocations[LocationID],MATCH(MIN(IF((tblLocations[Zone]=$M9)*(tblLocations[ItemCode]=""),(tblLocations[MapRow]+tblLocations[Depth])*1000+tblLocations[MapRow])),IF((tblLocations[Zone]=$M9)*(tblLocations[ItemCode]=""),(tblLocations[MapRow]+tblLocations[Depth])*1000+tblLocations[MapRow]),0)))))</f>
        <v/>
      </c>
    </row>
    <row r="10">
      <c r="A10" s="45">
        <f>IFERROR(INDEX(tblItems[ItemCode],2)&amp;"","")</f>
        <v/>
      </c>
      <c r="B10" s="46">
        <f>IF($A10="","",INDEX(tblItems[Description],2)&amp;"")</f>
        <v/>
      </c>
      <c r="C10" s="45">
        <f>IF($A10="","",INDEX(tblItems[Zone],2)&amp;"")</f>
        <v/>
      </c>
      <c r="D10" s="47">
        <f>IF($A10="","",N(INDEX(tblItems[OnHandUnits],2)))</f>
        <v/>
      </c>
      <c r="E10" s="45">
        <f>IF($A10="","",N(INDEX(tblItems[UnitsPerPallet],2)))</f>
        <v/>
      </c>
      <c r="F10" s="45">
        <f>IF($A10="","",INDEX(tblItems[PalletsNeeded],2))</f>
        <v/>
      </c>
      <c r="G10" s="45">
        <f>IF($A10="","",COUNTIF(tblLocations[ItemCode],$A10))</f>
        <v/>
      </c>
      <c r="H10" s="47">
        <f>IF($A10="","",SUMIFS(tblLocations[UnitsOnPallet],tblLocations[ItemCode],$A10)+COUNTIFS(tblLocations[ItemCode],$A10,tblLocations[UnitsOnPallet],"")*$E10)</f>
        <v/>
      </c>
      <c r="I10" s="45">
        <f>IF($A10="","",COUNTIFS(tblLocations[ItemCode],$A10,tblLocations[Zone],$C10))</f>
        <v/>
      </c>
      <c r="J10" s="45">
        <f>IF($A10="","",COUNTIFS(tblLocations[ItemCode],$A10,tblLocations[Zone],"&lt;&gt;"&amp;$C10,tblLocations[Zone],"?*"))</f>
        <v/>
      </c>
      <c r="K10" s="45">
        <f>IF($A10="","",IF(INDEX(tblItems[LowStock],2)="LOW","LOW",IF(INDEX(tblItems[Mismatch],2)="Yes","CHECK",IF($J10&gt;0,"WRONG ZONE","OK"))))</f>
        <v/>
      </c>
      <c r="M10" s="45">
        <f>IFERROR(INDEX(tblZones[Code],2)&amp;"","")</f>
        <v/>
      </c>
      <c r="N10" s="46">
        <f>IFERROR(INDEX(tblZones[Name],2)&amp;"","")</f>
        <v/>
      </c>
      <c r="O10" s="45">
        <f>IF($M10="","",COUNTIFS(tblLocations[Zone],$M10))</f>
        <v/>
      </c>
      <c r="P10" s="45">
        <f>IF($M10="","",COUNTIFS(tblLocations[Zone],$M10,tblLocations[ItemCode],"?*"))</f>
        <v/>
      </c>
      <c r="Q10" s="45">
        <f>IF($M10="","",O10-P10)</f>
        <v/>
      </c>
      <c r="R10" s="48">
        <f>IF($M10="","",IF(O10=0,0,P10/O10))</f>
        <v/>
      </c>
      <c r="S10" s="45">
        <f t="array" ref="S10">IF($M10="","",IF(O10=0,"",IF(Q10=0,"Full",INDEX(tblLocations[LocationID],MATCH(MIN(IF((tblLocations[Zone]=$M10)*(tblLocations[ItemCode]=""),(tblLocations[MapRow]+tblLocations[Depth])*1000+tblLocations[MapRow])),IF((tblLocations[Zone]=$M10)*(tblLocations[ItemCode]=""),(tblLocations[MapRow]+tblLocations[Depth])*1000+tblLocations[MapRow]),0)))))</f>
        <v/>
      </c>
    </row>
    <row r="11">
      <c r="A11" s="41">
        <f>IFERROR(INDEX(tblItems[ItemCode],3)&amp;"","")</f>
        <v/>
      </c>
      <c r="B11" s="42">
        <f>IF($A11="","",INDEX(tblItems[Description],3)&amp;"")</f>
        <v/>
      </c>
      <c r="C11" s="41">
        <f>IF($A11="","",INDEX(tblItems[Zone],3)&amp;"")</f>
        <v/>
      </c>
      <c r="D11" s="43">
        <f>IF($A11="","",N(INDEX(tblItems[OnHandUnits],3)))</f>
        <v/>
      </c>
      <c r="E11" s="41">
        <f>IF($A11="","",N(INDEX(tblItems[UnitsPerPallet],3)))</f>
        <v/>
      </c>
      <c r="F11" s="41">
        <f>IF($A11="","",INDEX(tblItems[PalletsNeeded],3))</f>
        <v/>
      </c>
      <c r="G11" s="41">
        <f>IF($A11="","",COUNTIF(tblLocations[ItemCode],$A11))</f>
        <v/>
      </c>
      <c r="H11" s="43">
        <f>IF($A11="","",SUMIFS(tblLocations[UnitsOnPallet],tblLocations[ItemCode],$A11)+COUNTIFS(tblLocations[ItemCode],$A11,tblLocations[UnitsOnPallet],"")*$E11)</f>
        <v/>
      </c>
      <c r="I11" s="41">
        <f>IF($A11="","",COUNTIFS(tblLocations[ItemCode],$A11,tblLocations[Zone],$C11))</f>
        <v/>
      </c>
      <c r="J11" s="41">
        <f>IF($A11="","",COUNTIFS(tblLocations[ItemCode],$A11,tblLocations[Zone],"&lt;&gt;"&amp;$C11,tblLocations[Zone],"?*"))</f>
        <v/>
      </c>
      <c r="K11" s="41">
        <f>IF($A11="","",IF(INDEX(tblItems[LowStock],3)="LOW","LOW",IF(INDEX(tblItems[Mismatch],3)="Yes","CHECK",IF($J11&gt;0,"WRONG ZONE","OK"))))</f>
        <v/>
      </c>
      <c r="M11" s="41">
        <f>IFERROR(INDEX(tblZones[Code],3)&amp;"","")</f>
        <v/>
      </c>
      <c r="N11" s="42">
        <f>IFERROR(INDEX(tblZones[Name],3)&amp;"","")</f>
        <v/>
      </c>
      <c r="O11" s="41">
        <f>IF($M11="","",COUNTIFS(tblLocations[Zone],$M11))</f>
        <v/>
      </c>
      <c r="P11" s="41">
        <f>IF($M11="","",COUNTIFS(tblLocations[Zone],$M11,tblLocations[ItemCode],"?*"))</f>
        <v/>
      </c>
      <c r="Q11" s="41">
        <f>IF($M11="","",O11-P11)</f>
        <v/>
      </c>
      <c r="R11" s="44">
        <f>IF($M11="","",IF(O11=0,0,P11/O11))</f>
        <v/>
      </c>
      <c r="S11" s="41">
        <f t="array" ref="S11">IF($M11="","",IF(O11=0,"",IF(Q11=0,"Full",INDEX(tblLocations[LocationID],MATCH(MIN(IF((tblLocations[Zone]=$M11)*(tblLocations[ItemCode]=""),(tblLocations[MapRow]+tblLocations[Depth])*1000+tblLocations[MapRow])),IF((tblLocations[Zone]=$M11)*(tblLocations[ItemCode]=""),(tblLocations[MapRow]+tblLocations[Depth])*1000+tblLocations[MapRow]),0)))))</f>
        <v/>
      </c>
    </row>
    <row r="12">
      <c r="A12" s="45">
        <f>IFERROR(INDEX(tblItems[ItemCode],4)&amp;"","")</f>
        <v/>
      </c>
      <c r="B12" s="46">
        <f>IF($A12="","",INDEX(tblItems[Description],4)&amp;"")</f>
        <v/>
      </c>
      <c r="C12" s="45">
        <f>IF($A12="","",INDEX(tblItems[Zone],4)&amp;"")</f>
        <v/>
      </c>
      <c r="D12" s="47">
        <f>IF($A12="","",N(INDEX(tblItems[OnHandUnits],4)))</f>
        <v/>
      </c>
      <c r="E12" s="45">
        <f>IF($A12="","",N(INDEX(tblItems[UnitsPerPallet],4)))</f>
        <v/>
      </c>
      <c r="F12" s="45">
        <f>IF($A12="","",INDEX(tblItems[PalletsNeeded],4))</f>
        <v/>
      </c>
      <c r="G12" s="45">
        <f>IF($A12="","",COUNTIF(tblLocations[ItemCode],$A12))</f>
        <v/>
      </c>
      <c r="H12" s="47">
        <f>IF($A12="","",SUMIFS(tblLocations[UnitsOnPallet],tblLocations[ItemCode],$A12)+COUNTIFS(tblLocations[ItemCode],$A12,tblLocations[UnitsOnPallet],"")*$E12)</f>
        <v/>
      </c>
      <c r="I12" s="45">
        <f>IF($A12="","",COUNTIFS(tblLocations[ItemCode],$A12,tblLocations[Zone],$C12))</f>
        <v/>
      </c>
      <c r="J12" s="45">
        <f>IF($A12="","",COUNTIFS(tblLocations[ItemCode],$A12,tblLocations[Zone],"&lt;&gt;"&amp;$C12,tblLocations[Zone],"?*"))</f>
        <v/>
      </c>
      <c r="K12" s="45">
        <f>IF($A12="","",IF(INDEX(tblItems[LowStock],4)="LOW","LOW",IF(INDEX(tblItems[Mismatch],4)="Yes","CHECK",IF($J12&gt;0,"WRONG ZONE","OK"))))</f>
        <v/>
      </c>
      <c r="M12" s="45">
        <f>IFERROR(INDEX(tblZones[Code],4)&amp;"","")</f>
        <v/>
      </c>
      <c r="N12" s="46">
        <f>IFERROR(INDEX(tblZones[Name],4)&amp;"","")</f>
        <v/>
      </c>
      <c r="O12" s="45">
        <f>IF($M12="","",COUNTIFS(tblLocations[Zone],$M12))</f>
        <v/>
      </c>
      <c r="P12" s="45">
        <f>IF($M12="","",COUNTIFS(tblLocations[Zone],$M12,tblLocations[ItemCode],"?*"))</f>
        <v/>
      </c>
      <c r="Q12" s="45">
        <f>IF($M12="","",O12-P12)</f>
        <v/>
      </c>
      <c r="R12" s="48">
        <f>IF($M12="","",IF(O12=0,0,P12/O12))</f>
        <v/>
      </c>
      <c r="S12" s="45">
        <f t="array" ref="S12">IF($M12="","",IF(O12=0,"",IF(Q12=0,"Full",INDEX(tblLocations[LocationID],MATCH(MIN(IF((tblLocations[Zone]=$M12)*(tblLocations[ItemCode]=""),(tblLocations[MapRow]+tblLocations[Depth])*1000+tblLocations[MapRow])),IF((tblLocations[Zone]=$M12)*(tblLocations[ItemCode]=""),(tblLocations[MapRow]+tblLocations[Depth])*1000+tblLocations[MapRow]),0)))))</f>
        <v/>
      </c>
    </row>
    <row r="13">
      <c r="A13" s="41">
        <f>IFERROR(INDEX(tblItems[ItemCode],5)&amp;"","")</f>
        <v/>
      </c>
      <c r="B13" s="42">
        <f>IF($A13="","",INDEX(tblItems[Description],5)&amp;"")</f>
        <v/>
      </c>
      <c r="C13" s="41">
        <f>IF($A13="","",INDEX(tblItems[Zone],5)&amp;"")</f>
        <v/>
      </c>
      <c r="D13" s="43">
        <f>IF($A13="","",N(INDEX(tblItems[OnHandUnits],5)))</f>
        <v/>
      </c>
      <c r="E13" s="41">
        <f>IF($A13="","",N(INDEX(tblItems[UnitsPerPallet],5)))</f>
        <v/>
      </c>
      <c r="F13" s="41">
        <f>IF($A13="","",INDEX(tblItems[PalletsNeeded],5))</f>
        <v/>
      </c>
      <c r="G13" s="41">
        <f>IF($A13="","",COUNTIF(tblLocations[ItemCode],$A13))</f>
        <v/>
      </c>
      <c r="H13" s="43">
        <f>IF($A13="","",SUMIFS(tblLocations[UnitsOnPallet],tblLocations[ItemCode],$A13)+COUNTIFS(tblLocations[ItemCode],$A13,tblLocations[UnitsOnPallet],"")*$E13)</f>
        <v/>
      </c>
      <c r="I13" s="41">
        <f>IF($A13="","",COUNTIFS(tblLocations[ItemCode],$A13,tblLocations[Zone],$C13))</f>
        <v/>
      </c>
      <c r="J13" s="41">
        <f>IF($A13="","",COUNTIFS(tblLocations[ItemCode],$A13,tblLocations[Zone],"&lt;&gt;"&amp;$C13,tblLocations[Zone],"?*"))</f>
        <v/>
      </c>
      <c r="K13" s="41">
        <f>IF($A13="","",IF(INDEX(tblItems[LowStock],5)="LOW","LOW",IF(INDEX(tblItems[Mismatch],5)="Yes","CHECK",IF($J13&gt;0,"WRONG ZONE","OK"))))</f>
        <v/>
      </c>
      <c r="M13" s="41">
        <f>IFERROR(INDEX(tblZones[Code],5)&amp;"","")</f>
        <v/>
      </c>
      <c r="N13" s="42">
        <f>IFERROR(INDEX(tblZones[Name],5)&amp;"","")</f>
        <v/>
      </c>
      <c r="O13" s="41">
        <f>IF($M13="","",COUNTIFS(tblLocations[Zone],$M13))</f>
        <v/>
      </c>
      <c r="P13" s="41">
        <f>IF($M13="","",COUNTIFS(tblLocations[Zone],$M13,tblLocations[ItemCode],"?*"))</f>
        <v/>
      </c>
      <c r="Q13" s="41">
        <f>IF($M13="","",O13-P13)</f>
        <v/>
      </c>
      <c r="R13" s="44">
        <f>IF($M13="","",IF(O13=0,0,P13/O13))</f>
        <v/>
      </c>
      <c r="S13" s="41">
        <f t="array" ref="S13">IF($M13="","",IF(O13=0,"",IF(Q13=0,"Full",INDEX(tblLocations[LocationID],MATCH(MIN(IF((tblLocations[Zone]=$M13)*(tblLocations[ItemCode]=""),(tblLocations[MapRow]+tblLocations[Depth])*1000+tblLocations[MapRow])),IF((tblLocations[Zone]=$M13)*(tblLocations[ItemCode]=""),(tblLocations[MapRow]+tblLocations[Depth])*1000+tblLocations[MapRow]),0)))))</f>
        <v/>
      </c>
    </row>
    <row r="14">
      <c r="A14" s="45">
        <f>IFERROR(INDEX(tblItems[ItemCode],6)&amp;"","")</f>
        <v/>
      </c>
      <c r="B14" s="46">
        <f>IF($A14="","",INDEX(tblItems[Description],6)&amp;"")</f>
        <v/>
      </c>
      <c r="C14" s="45">
        <f>IF($A14="","",INDEX(tblItems[Zone],6)&amp;"")</f>
        <v/>
      </c>
      <c r="D14" s="47">
        <f>IF($A14="","",N(INDEX(tblItems[OnHandUnits],6)))</f>
        <v/>
      </c>
      <c r="E14" s="45">
        <f>IF($A14="","",N(INDEX(tblItems[UnitsPerPallet],6)))</f>
        <v/>
      </c>
      <c r="F14" s="45">
        <f>IF($A14="","",INDEX(tblItems[PalletsNeeded],6))</f>
        <v/>
      </c>
      <c r="G14" s="45">
        <f>IF($A14="","",COUNTIF(tblLocations[ItemCode],$A14))</f>
        <v/>
      </c>
      <c r="H14" s="47">
        <f>IF($A14="","",SUMIFS(tblLocations[UnitsOnPallet],tblLocations[ItemCode],$A14)+COUNTIFS(tblLocations[ItemCode],$A14,tblLocations[UnitsOnPallet],"")*$E14)</f>
        <v/>
      </c>
      <c r="I14" s="45">
        <f>IF($A14="","",COUNTIFS(tblLocations[ItemCode],$A14,tblLocations[Zone],$C14))</f>
        <v/>
      </c>
      <c r="J14" s="45">
        <f>IF($A14="","",COUNTIFS(tblLocations[ItemCode],$A14,tblLocations[Zone],"&lt;&gt;"&amp;$C14,tblLocations[Zone],"?*"))</f>
        <v/>
      </c>
      <c r="K14" s="45">
        <f>IF($A14="","",IF(INDEX(tblItems[LowStock],6)="LOW","LOW",IF(INDEX(tblItems[Mismatch],6)="Yes","CHECK",IF($J14&gt;0,"WRONG ZONE","OK"))))</f>
        <v/>
      </c>
      <c r="M14" s="45">
        <f>IFERROR(INDEX(tblZones[Code],6)&amp;"","")</f>
        <v/>
      </c>
      <c r="N14" s="46">
        <f>IFERROR(INDEX(tblZones[Name],6)&amp;"","")</f>
        <v/>
      </c>
      <c r="O14" s="45">
        <f>IF($M14="","",COUNTIFS(tblLocations[Zone],$M14))</f>
        <v/>
      </c>
      <c r="P14" s="45">
        <f>IF($M14="","",COUNTIFS(tblLocations[Zone],$M14,tblLocations[ItemCode],"?*"))</f>
        <v/>
      </c>
      <c r="Q14" s="45">
        <f>IF($M14="","",O14-P14)</f>
        <v/>
      </c>
      <c r="R14" s="48">
        <f>IF($M14="","",IF(O14=0,0,P14/O14))</f>
        <v/>
      </c>
      <c r="S14" s="45">
        <f t="array" ref="S14">IF($M14="","",IF(O14=0,"",IF(Q14=0,"Full",INDEX(tblLocations[LocationID],MATCH(MIN(IF((tblLocations[Zone]=$M14)*(tblLocations[ItemCode]=""),(tblLocations[MapRow]+tblLocations[Depth])*1000+tblLocations[MapRow])),IF((tblLocations[Zone]=$M14)*(tblLocations[ItemCode]=""),(tblLocations[MapRow]+tblLocations[Depth])*1000+tblLocations[MapRow]),0)))))</f>
        <v/>
      </c>
    </row>
    <row r="15">
      <c r="A15" s="41">
        <f>IFERROR(INDEX(tblItems[ItemCode],7)&amp;"","")</f>
        <v/>
      </c>
      <c r="B15" s="42">
        <f>IF($A15="","",INDEX(tblItems[Description],7)&amp;"")</f>
        <v/>
      </c>
      <c r="C15" s="41">
        <f>IF($A15="","",INDEX(tblItems[Zone],7)&amp;"")</f>
        <v/>
      </c>
      <c r="D15" s="43">
        <f>IF($A15="","",N(INDEX(tblItems[OnHandUnits],7)))</f>
        <v/>
      </c>
      <c r="E15" s="41">
        <f>IF($A15="","",N(INDEX(tblItems[UnitsPerPallet],7)))</f>
        <v/>
      </c>
      <c r="F15" s="41">
        <f>IF($A15="","",INDEX(tblItems[PalletsNeeded],7))</f>
        <v/>
      </c>
      <c r="G15" s="41">
        <f>IF($A15="","",COUNTIF(tblLocations[ItemCode],$A15))</f>
        <v/>
      </c>
      <c r="H15" s="43">
        <f>IF($A15="","",SUMIFS(tblLocations[UnitsOnPallet],tblLocations[ItemCode],$A15)+COUNTIFS(tblLocations[ItemCode],$A15,tblLocations[UnitsOnPallet],"")*$E15)</f>
        <v/>
      </c>
      <c r="I15" s="41">
        <f>IF($A15="","",COUNTIFS(tblLocations[ItemCode],$A15,tblLocations[Zone],$C15))</f>
        <v/>
      </c>
      <c r="J15" s="41">
        <f>IF($A15="","",COUNTIFS(tblLocations[ItemCode],$A15,tblLocations[Zone],"&lt;&gt;"&amp;$C15,tblLocations[Zone],"?*"))</f>
        <v/>
      </c>
      <c r="K15" s="41">
        <f>IF($A15="","",IF(INDEX(tblItems[LowStock],7)="LOW","LOW",IF(INDEX(tblItems[Mismatch],7)="Yes","CHECK",IF($J15&gt;0,"WRONG ZONE","OK"))))</f>
        <v/>
      </c>
      <c r="M15" s="41">
        <f>IFERROR(INDEX(tblZones[Code],7)&amp;"","")</f>
        <v/>
      </c>
      <c r="N15" s="42">
        <f>IFERROR(INDEX(tblZones[Name],7)&amp;"","")</f>
        <v/>
      </c>
      <c r="O15" s="41">
        <f>IF($M15="","",COUNTIFS(tblLocations[Zone],$M15))</f>
        <v/>
      </c>
      <c r="P15" s="41">
        <f>IF($M15="","",COUNTIFS(tblLocations[Zone],$M15,tblLocations[ItemCode],"?*"))</f>
        <v/>
      </c>
      <c r="Q15" s="41">
        <f>IF($M15="","",O15-P15)</f>
        <v/>
      </c>
      <c r="R15" s="44">
        <f>IF($M15="","",IF(O15=0,0,P15/O15))</f>
        <v/>
      </c>
      <c r="S15" s="41">
        <f t="array" ref="S15">IF($M15="","",IF(O15=0,"",IF(Q15=0,"Full",INDEX(tblLocations[LocationID],MATCH(MIN(IF((tblLocations[Zone]=$M15)*(tblLocations[ItemCode]=""),(tblLocations[MapRow]+tblLocations[Depth])*1000+tblLocations[MapRow])),IF((tblLocations[Zone]=$M15)*(tblLocations[ItemCode]=""),(tblLocations[MapRow]+tblLocations[Depth])*1000+tblLocations[MapRow]),0)))))</f>
        <v/>
      </c>
    </row>
    <row r="16">
      <c r="A16" s="45">
        <f>IFERROR(INDEX(tblItems[ItemCode],8)&amp;"","")</f>
        <v/>
      </c>
      <c r="B16" s="46">
        <f>IF($A16="","",INDEX(tblItems[Description],8)&amp;"")</f>
        <v/>
      </c>
      <c r="C16" s="45">
        <f>IF($A16="","",INDEX(tblItems[Zone],8)&amp;"")</f>
        <v/>
      </c>
      <c r="D16" s="47">
        <f>IF($A16="","",N(INDEX(tblItems[OnHandUnits],8)))</f>
        <v/>
      </c>
      <c r="E16" s="45">
        <f>IF($A16="","",N(INDEX(tblItems[UnitsPerPallet],8)))</f>
        <v/>
      </c>
      <c r="F16" s="45">
        <f>IF($A16="","",INDEX(tblItems[PalletsNeeded],8))</f>
        <v/>
      </c>
      <c r="G16" s="45">
        <f>IF($A16="","",COUNTIF(tblLocations[ItemCode],$A16))</f>
        <v/>
      </c>
      <c r="H16" s="47">
        <f>IF($A16="","",SUMIFS(tblLocations[UnitsOnPallet],tblLocations[ItemCode],$A16)+COUNTIFS(tblLocations[ItemCode],$A16,tblLocations[UnitsOnPallet],"")*$E16)</f>
        <v/>
      </c>
      <c r="I16" s="45">
        <f>IF($A16="","",COUNTIFS(tblLocations[ItemCode],$A16,tblLocations[Zone],$C16))</f>
        <v/>
      </c>
      <c r="J16" s="45">
        <f>IF($A16="","",COUNTIFS(tblLocations[ItemCode],$A16,tblLocations[Zone],"&lt;&gt;"&amp;$C16,tblLocations[Zone],"?*"))</f>
        <v/>
      </c>
      <c r="K16" s="45">
        <f>IF($A16="","",IF(INDEX(tblItems[LowStock],8)="LOW","LOW",IF(INDEX(tblItems[Mismatch],8)="Yes","CHECK",IF($J16&gt;0,"WRONG ZONE","OK"))))</f>
        <v/>
      </c>
      <c r="M16" s="45">
        <f>IFERROR(INDEX(tblZones[Code],8)&amp;"","")</f>
        <v/>
      </c>
      <c r="N16" s="46">
        <f>IFERROR(INDEX(tblZones[Name],8)&amp;"","")</f>
        <v/>
      </c>
      <c r="O16" s="45">
        <f>IF($M16="","",COUNTIFS(tblLocations[Zone],$M16))</f>
        <v/>
      </c>
      <c r="P16" s="45">
        <f>IF($M16="","",COUNTIFS(tblLocations[Zone],$M16,tblLocations[ItemCode],"?*"))</f>
        <v/>
      </c>
      <c r="Q16" s="45">
        <f>IF($M16="","",O16-P16)</f>
        <v/>
      </c>
      <c r="R16" s="48">
        <f>IF($M16="","",IF(O16=0,0,P16/O16))</f>
        <v/>
      </c>
      <c r="S16" s="45">
        <f t="array" ref="S16">IF($M16="","",IF(O16=0,"",IF(Q16=0,"Full",INDEX(tblLocations[LocationID],MATCH(MIN(IF((tblLocations[Zone]=$M16)*(tblLocations[ItemCode]=""),(tblLocations[MapRow]+tblLocations[Depth])*1000+tblLocations[MapRow])),IF((tblLocations[Zone]=$M16)*(tblLocations[ItemCode]=""),(tblLocations[MapRow]+tblLocations[Depth])*1000+tblLocations[MapRow]),0)))))</f>
        <v/>
      </c>
    </row>
    <row r="17">
      <c r="A17" s="41">
        <f>IFERROR(INDEX(tblItems[ItemCode],9)&amp;"","")</f>
        <v/>
      </c>
      <c r="B17" s="42">
        <f>IF($A17="","",INDEX(tblItems[Description],9)&amp;"")</f>
        <v/>
      </c>
      <c r="C17" s="41">
        <f>IF($A17="","",INDEX(tblItems[Zone],9)&amp;"")</f>
        <v/>
      </c>
      <c r="D17" s="43">
        <f>IF($A17="","",N(INDEX(tblItems[OnHandUnits],9)))</f>
        <v/>
      </c>
      <c r="E17" s="41">
        <f>IF($A17="","",N(INDEX(tblItems[UnitsPerPallet],9)))</f>
        <v/>
      </c>
      <c r="F17" s="41">
        <f>IF($A17="","",INDEX(tblItems[PalletsNeeded],9))</f>
        <v/>
      </c>
      <c r="G17" s="41">
        <f>IF($A17="","",COUNTIF(tblLocations[ItemCode],$A17))</f>
        <v/>
      </c>
      <c r="H17" s="43">
        <f>IF($A17="","",SUMIFS(tblLocations[UnitsOnPallet],tblLocations[ItemCode],$A17)+COUNTIFS(tblLocations[ItemCode],$A17,tblLocations[UnitsOnPallet],"")*$E17)</f>
        <v/>
      </c>
      <c r="I17" s="41">
        <f>IF($A17="","",COUNTIFS(tblLocations[ItemCode],$A17,tblLocations[Zone],$C17))</f>
        <v/>
      </c>
      <c r="J17" s="41">
        <f>IF($A17="","",COUNTIFS(tblLocations[ItemCode],$A17,tblLocations[Zone],"&lt;&gt;"&amp;$C17,tblLocations[Zone],"?*"))</f>
        <v/>
      </c>
      <c r="K17" s="41">
        <f>IF($A17="","",IF(INDEX(tblItems[LowStock],9)="LOW","LOW",IF(INDEX(tblItems[Mismatch],9)="Yes","CHECK",IF($J17&gt;0,"WRONG ZONE","OK"))))</f>
        <v/>
      </c>
      <c r="M17" s="41">
        <f>IFERROR(INDEX(tblZones[Code],9)&amp;"","")</f>
        <v/>
      </c>
      <c r="N17" s="42">
        <f>IFERROR(INDEX(tblZones[Name],9)&amp;"","")</f>
        <v/>
      </c>
      <c r="O17" s="41">
        <f>IF($M17="","",COUNTIFS(tblLocations[Zone],$M17))</f>
        <v/>
      </c>
      <c r="P17" s="41">
        <f>IF($M17="","",COUNTIFS(tblLocations[Zone],$M17,tblLocations[ItemCode],"?*"))</f>
        <v/>
      </c>
      <c r="Q17" s="41">
        <f>IF($M17="","",O17-P17)</f>
        <v/>
      </c>
      <c r="R17" s="44">
        <f>IF($M17="","",IF(O17=0,0,P17/O17))</f>
        <v/>
      </c>
      <c r="S17" s="41">
        <f t="array" ref="S17">IF($M17="","",IF(O17=0,"",IF(Q17=0,"Full",INDEX(tblLocations[LocationID],MATCH(MIN(IF((tblLocations[Zone]=$M17)*(tblLocations[ItemCode]=""),(tblLocations[MapRow]+tblLocations[Depth])*1000+tblLocations[MapRow])),IF((tblLocations[Zone]=$M17)*(tblLocations[ItemCode]=""),(tblLocations[MapRow]+tblLocations[Depth])*1000+tblLocations[MapRow]),0)))))</f>
        <v/>
      </c>
    </row>
    <row r="18">
      <c r="A18" s="45">
        <f>IFERROR(INDEX(tblItems[ItemCode],10)&amp;"","")</f>
        <v/>
      </c>
      <c r="B18" s="46">
        <f>IF($A18="","",INDEX(tblItems[Description],10)&amp;"")</f>
        <v/>
      </c>
      <c r="C18" s="45">
        <f>IF($A18="","",INDEX(tblItems[Zone],10)&amp;"")</f>
        <v/>
      </c>
      <c r="D18" s="47">
        <f>IF($A18="","",N(INDEX(tblItems[OnHandUnits],10)))</f>
        <v/>
      </c>
      <c r="E18" s="45">
        <f>IF($A18="","",N(INDEX(tblItems[UnitsPerPallet],10)))</f>
        <v/>
      </c>
      <c r="F18" s="45">
        <f>IF($A18="","",INDEX(tblItems[PalletsNeeded],10))</f>
        <v/>
      </c>
      <c r="G18" s="45">
        <f>IF($A18="","",COUNTIF(tblLocations[ItemCode],$A18))</f>
        <v/>
      </c>
      <c r="H18" s="47">
        <f>IF($A18="","",SUMIFS(tblLocations[UnitsOnPallet],tblLocations[ItemCode],$A18)+COUNTIFS(tblLocations[ItemCode],$A18,tblLocations[UnitsOnPallet],"")*$E18)</f>
        <v/>
      </c>
      <c r="I18" s="45">
        <f>IF($A18="","",COUNTIFS(tblLocations[ItemCode],$A18,tblLocations[Zone],$C18))</f>
        <v/>
      </c>
      <c r="J18" s="45">
        <f>IF($A18="","",COUNTIFS(tblLocations[ItemCode],$A18,tblLocations[Zone],"&lt;&gt;"&amp;$C18,tblLocations[Zone],"?*"))</f>
        <v/>
      </c>
      <c r="K18" s="45">
        <f>IF($A18="","",IF(INDEX(tblItems[LowStock],10)="LOW","LOW",IF(INDEX(tblItems[Mismatch],10)="Yes","CHECK",IF($J18&gt;0,"WRONG ZONE","OK"))))</f>
        <v/>
      </c>
      <c r="M18" s="45">
        <f>IFERROR(INDEX(tblZones[Code],10)&amp;"","")</f>
        <v/>
      </c>
      <c r="N18" s="46">
        <f>IFERROR(INDEX(tblZones[Name],10)&amp;"","")</f>
        <v/>
      </c>
      <c r="O18" s="45">
        <f>IF($M18="","",COUNTIFS(tblLocations[Zone],$M18))</f>
        <v/>
      </c>
      <c r="P18" s="45">
        <f>IF($M18="","",COUNTIFS(tblLocations[Zone],$M18,tblLocations[ItemCode],"?*"))</f>
        <v/>
      </c>
      <c r="Q18" s="45">
        <f>IF($M18="","",O18-P18)</f>
        <v/>
      </c>
      <c r="R18" s="48">
        <f>IF($M18="","",IF(O18=0,0,P18/O18))</f>
        <v/>
      </c>
      <c r="S18" s="45">
        <f t="array" ref="S18">IF($M18="","",IF(O18=0,"",IF(Q18=0,"Full",INDEX(tblLocations[LocationID],MATCH(MIN(IF((tblLocations[Zone]=$M18)*(tblLocations[ItemCode]=""),(tblLocations[MapRow]+tblLocations[Depth])*1000+tblLocations[MapRow])),IF((tblLocations[Zone]=$M18)*(tblLocations[ItemCode]=""),(tblLocations[MapRow]+tblLocations[Depth])*1000+tblLocations[MapRow]),0)))))</f>
        <v/>
      </c>
    </row>
    <row r="19">
      <c r="A19" s="41">
        <f>IFERROR(INDEX(tblItems[ItemCode],11)&amp;"","")</f>
        <v/>
      </c>
      <c r="B19" s="42">
        <f>IF($A19="","",INDEX(tblItems[Description],11)&amp;"")</f>
        <v/>
      </c>
      <c r="C19" s="41">
        <f>IF($A19="","",INDEX(tblItems[Zone],11)&amp;"")</f>
        <v/>
      </c>
      <c r="D19" s="43">
        <f>IF($A19="","",N(INDEX(tblItems[OnHandUnits],11)))</f>
        <v/>
      </c>
      <c r="E19" s="41">
        <f>IF($A19="","",N(INDEX(tblItems[UnitsPerPallet],11)))</f>
        <v/>
      </c>
      <c r="F19" s="41">
        <f>IF($A19="","",INDEX(tblItems[PalletsNeeded],11))</f>
        <v/>
      </c>
      <c r="G19" s="41">
        <f>IF($A19="","",COUNTIF(tblLocations[ItemCode],$A19))</f>
        <v/>
      </c>
      <c r="H19" s="43">
        <f>IF($A19="","",SUMIFS(tblLocations[UnitsOnPallet],tblLocations[ItemCode],$A19)+COUNTIFS(tblLocations[ItemCode],$A19,tblLocations[UnitsOnPallet],"")*$E19)</f>
        <v/>
      </c>
      <c r="I19" s="41">
        <f>IF($A19="","",COUNTIFS(tblLocations[ItemCode],$A19,tblLocations[Zone],$C19))</f>
        <v/>
      </c>
      <c r="J19" s="41">
        <f>IF($A19="","",COUNTIFS(tblLocations[ItemCode],$A19,tblLocations[Zone],"&lt;&gt;"&amp;$C19,tblLocations[Zone],"?*"))</f>
        <v/>
      </c>
      <c r="K19" s="41">
        <f>IF($A19="","",IF(INDEX(tblItems[LowStock],11)="LOW","LOW",IF(INDEX(tblItems[Mismatch],11)="Yes","CHECK",IF($J19&gt;0,"WRONG ZONE","OK"))))</f>
        <v/>
      </c>
      <c r="M19" s="41" t="inlineStr">
        <is>
          <t>(none)</t>
        </is>
      </c>
      <c r="N19" s="42" t="inlineStr">
        <is>
          <t>Outside any zone</t>
        </is>
      </c>
      <c r="O19" s="41">
        <f>IF(FALSE,"",COUNTIFS(tblLocations[Zone],""))</f>
        <v/>
      </c>
      <c r="P19" s="41">
        <f>IF(FALSE,"",COUNTIFS(tblLocations[Zone],"",tblLocations[ItemCode],"?*"))</f>
        <v/>
      </c>
      <c r="Q19" s="41">
        <f>IF(FALSE,"",O19-P19)</f>
        <v/>
      </c>
      <c r="R19" s="44">
        <f>IF(FALSE,"",IF(O19=0,0,P19/O19))</f>
        <v/>
      </c>
      <c r="S19" s="41">
        <f t="array" ref="S19">IF(FALSE,"",IF(O19=0,"",IF(Q19=0,"Full",INDEX(tblLocations[LocationID],MATCH(MIN(IF((tblLocations[Zone]="")*(tblLocations[ItemCode]=""),(tblLocations[MapRow]+tblLocations[Depth])*1000+tblLocations[MapRow])),IF((tblLocations[Zone]="")*(tblLocations[ItemCode]=""),(tblLocations[MapRow]+tblLocations[Depth])*1000+tblLocations[MapRow]),0)))))</f>
        <v/>
      </c>
    </row>
    <row r="20">
      <c r="A20" s="45">
        <f>IFERROR(INDEX(tblItems[ItemCode],12)&amp;"","")</f>
        <v/>
      </c>
      <c r="B20" s="46">
        <f>IF($A20="","",INDEX(tblItems[Description],12)&amp;"")</f>
        <v/>
      </c>
      <c r="C20" s="45">
        <f>IF($A20="","",INDEX(tblItems[Zone],12)&amp;"")</f>
        <v/>
      </c>
      <c r="D20" s="47">
        <f>IF($A20="","",N(INDEX(tblItems[OnHandUnits],12)))</f>
        <v/>
      </c>
      <c r="E20" s="45">
        <f>IF($A20="","",N(INDEX(tblItems[UnitsPerPallet],12)))</f>
        <v/>
      </c>
      <c r="F20" s="45">
        <f>IF($A20="","",INDEX(tblItems[PalletsNeeded],12))</f>
        <v/>
      </c>
      <c r="G20" s="45">
        <f>IF($A20="","",COUNTIF(tblLocations[ItemCode],$A20))</f>
        <v/>
      </c>
      <c r="H20" s="47">
        <f>IF($A20="","",SUMIFS(tblLocations[UnitsOnPallet],tblLocations[ItemCode],$A20)+COUNTIFS(tblLocations[ItemCode],$A20,tblLocations[UnitsOnPallet],"")*$E20)</f>
        <v/>
      </c>
      <c r="I20" s="45">
        <f>IF($A20="","",COUNTIFS(tblLocations[ItemCode],$A20,tblLocations[Zone],$C20))</f>
        <v/>
      </c>
      <c r="J20" s="45">
        <f>IF($A20="","",COUNTIFS(tblLocations[ItemCode],$A20,tblLocations[Zone],"&lt;&gt;"&amp;$C20,tblLocations[Zone],"?*"))</f>
        <v/>
      </c>
      <c r="K20" s="45">
        <f>IF($A20="","",IF(INDEX(tblItems[LowStock],12)="LOW","LOW",IF(INDEX(tblItems[Mismatch],12)="Yes","CHECK",IF($J20&gt;0,"WRONG ZONE","OK"))))</f>
        <v/>
      </c>
      <c r="M20" s="49" t="inlineStr">
        <is>
          <t>Total</t>
        </is>
      </c>
      <c r="N20" s="50" t="n"/>
      <c r="O20" s="51">
        <f>SUM(O9:O19)</f>
        <v/>
      </c>
      <c r="P20" s="51">
        <f>SUM(P9:P19)</f>
        <v/>
      </c>
      <c r="Q20" s="51">
        <f>SUM(Q9:Q19)</f>
        <v/>
      </c>
      <c r="R20" s="52">
        <f>IF(O20=0,0,P20/O20)</f>
        <v/>
      </c>
      <c r="S20" s="50" t="n"/>
    </row>
    <row r="21">
      <c r="A21" s="41">
        <f>IFERROR(INDEX(tblItems[ItemCode],13)&amp;"","")</f>
        <v/>
      </c>
      <c r="B21" s="42">
        <f>IF($A21="","",INDEX(tblItems[Description],13)&amp;"")</f>
        <v/>
      </c>
      <c r="C21" s="41">
        <f>IF($A21="","",INDEX(tblItems[Zone],13)&amp;"")</f>
        <v/>
      </c>
      <c r="D21" s="43">
        <f>IF($A21="","",N(INDEX(tblItems[OnHandUnits],13)))</f>
        <v/>
      </c>
      <c r="E21" s="41">
        <f>IF($A21="","",N(INDEX(tblItems[UnitsPerPallet],13)))</f>
        <v/>
      </c>
      <c r="F21" s="41">
        <f>IF($A21="","",INDEX(tblItems[PalletsNeeded],13))</f>
        <v/>
      </c>
      <c r="G21" s="41">
        <f>IF($A21="","",COUNTIF(tblLocations[ItemCode],$A21))</f>
        <v/>
      </c>
      <c r="H21" s="43">
        <f>IF($A21="","",SUMIFS(tblLocations[UnitsOnPallet],tblLocations[ItemCode],$A21)+COUNTIFS(tblLocations[ItemCode],$A21,tblLocations[UnitsOnPallet],"")*$E21)</f>
        <v/>
      </c>
      <c r="I21" s="41">
        <f>IF($A21="","",COUNTIFS(tblLocations[ItemCode],$A21,tblLocations[Zone],$C21))</f>
        <v/>
      </c>
      <c r="J21" s="41">
        <f>IF($A21="","",COUNTIFS(tblLocations[ItemCode],$A21,tblLocations[Zone],"&lt;&gt;"&amp;$C21,tblLocations[Zone],"?*"))</f>
        <v/>
      </c>
      <c r="K21" s="41">
        <f>IF($A21="","",IF(INDEX(tblItems[LowStock],13)="LOW","LOW",IF(INDEX(tblItems[Mismatch],13)="Yes","CHECK",IF($J21&gt;0,"WRONG ZONE","OK"))))</f>
        <v/>
      </c>
    </row>
    <row r="22">
      <c r="A22" s="45">
        <f>IFERROR(INDEX(tblItems[ItemCode],14)&amp;"","")</f>
        <v/>
      </c>
      <c r="B22" s="46">
        <f>IF($A22="","",INDEX(tblItems[Description],14)&amp;"")</f>
        <v/>
      </c>
      <c r="C22" s="45">
        <f>IF($A22="","",INDEX(tblItems[Zone],14)&amp;"")</f>
        <v/>
      </c>
      <c r="D22" s="47">
        <f>IF($A22="","",N(INDEX(tblItems[OnHandUnits],14)))</f>
        <v/>
      </c>
      <c r="E22" s="45">
        <f>IF($A22="","",N(INDEX(tblItems[UnitsPerPallet],14)))</f>
        <v/>
      </c>
      <c r="F22" s="45">
        <f>IF($A22="","",INDEX(tblItems[PalletsNeeded],14))</f>
        <v/>
      </c>
      <c r="G22" s="45">
        <f>IF($A22="","",COUNTIF(tblLocations[ItemCode],$A22))</f>
        <v/>
      </c>
      <c r="H22" s="47">
        <f>IF($A22="","",SUMIFS(tblLocations[UnitsOnPallet],tblLocations[ItemCode],$A22)+COUNTIFS(tblLocations[ItemCode],$A22,tblLocations[UnitsOnPallet],"")*$E22)</f>
        <v/>
      </c>
      <c r="I22" s="45">
        <f>IF($A22="","",COUNTIFS(tblLocations[ItemCode],$A22,tblLocations[Zone],$C22))</f>
        <v/>
      </c>
      <c r="J22" s="45">
        <f>IF($A22="","",COUNTIFS(tblLocations[ItemCode],$A22,tblLocations[Zone],"&lt;&gt;"&amp;$C22,tblLocations[Zone],"?*"))</f>
        <v/>
      </c>
      <c r="K22" s="45">
        <f>IF($A22="","",IF(INDEX(tblItems[LowStock],14)="LOW","LOW",IF(INDEX(tblItems[Mismatch],14)="Yes","CHECK",IF($J22&gt;0,"WRONG ZONE","OK"))))</f>
        <v/>
      </c>
    </row>
    <row r="23">
      <c r="A23" s="41">
        <f>IFERROR(INDEX(tblItems[ItemCode],15)&amp;"","")</f>
        <v/>
      </c>
      <c r="B23" s="42">
        <f>IF($A23="","",INDEX(tblItems[Description],15)&amp;"")</f>
        <v/>
      </c>
      <c r="C23" s="41">
        <f>IF($A23="","",INDEX(tblItems[Zone],15)&amp;"")</f>
        <v/>
      </c>
      <c r="D23" s="43">
        <f>IF($A23="","",N(INDEX(tblItems[OnHandUnits],15)))</f>
        <v/>
      </c>
      <c r="E23" s="41">
        <f>IF($A23="","",N(INDEX(tblItems[UnitsPerPallet],15)))</f>
        <v/>
      </c>
      <c r="F23" s="41">
        <f>IF($A23="","",INDEX(tblItems[PalletsNeeded],15))</f>
        <v/>
      </c>
      <c r="G23" s="41">
        <f>IF($A23="","",COUNTIF(tblLocations[ItemCode],$A23))</f>
        <v/>
      </c>
      <c r="H23" s="43">
        <f>IF($A23="","",SUMIFS(tblLocations[UnitsOnPallet],tblLocations[ItemCode],$A23)+COUNTIFS(tblLocations[ItemCode],$A23,tblLocations[UnitsOnPallet],"")*$E23)</f>
        <v/>
      </c>
      <c r="I23" s="41">
        <f>IF($A23="","",COUNTIFS(tblLocations[ItemCode],$A23,tblLocations[Zone],$C23))</f>
        <v/>
      </c>
      <c r="J23" s="41">
        <f>IF($A23="","",COUNTIFS(tblLocations[ItemCode],$A23,tblLocations[Zone],"&lt;&gt;"&amp;$C23,tblLocations[Zone],"?*"))</f>
        <v/>
      </c>
      <c r="K23" s="41">
        <f>IF($A23="","",IF(INDEX(tblItems[LowStock],15)="LOW","LOW",IF(INDEX(tblItems[Mismatch],15)="Yes","CHECK",IF($J23&gt;0,"WRONG ZONE","OK"))))</f>
        <v/>
      </c>
      <c r="M23" s="38" t="inlineStr">
        <is>
          <t>Low stock (at or below reorder level)</t>
        </is>
      </c>
      <c r="N23" s="39" t="n"/>
      <c r="O23" s="39" t="n"/>
      <c r="P23" s="39" t="n"/>
      <c r="Q23" s="39" t="n"/>
      <c r="R23" s="39" t="n"/>
      <c r="S23" s="39" t="n"/>
    </row>
    <row r="24">
      <c r="A24" s="45">
        <f>IFERROR(INDEX(tblItems[ItemCode],16)&amp;"","")</f>
        <v/>
      </c>
      <c r="B24" s="46">
        <f>IF($A24="","",INDEX(tblItems[Description],16)&amp;"")</f>
        <v/>
      </c>
      <c r="C24" s="45">
        <f>IF($A24="","",INDEX(tblItems[Zone],16)&amp;"")</f>
        <v/>
      </c>
      <c r="D24" s="47">
        <f>IF($A24="","",N(INDEX(tblItems[OnHandUnits],16)))</f>
        <v/>
      </c>
      <c r="E24" s="45">
        <f>IF($A24="","",N(INDEX(tblItems[UnitsPerPallet],16)))</f>
        <v/>
      </c>
      <c r="F24" s="45">
        <f>IF($A24="","",INDEX(tblItems[PalletsNeeded],16))</f>
        <v/>
      </c>
      <c r="G24" s="45">
        <f>IF($A24="","",COUNTIF(tblLocations[ItemCode],$A24))</f>
        <v/>
      </c>
      <c r="H24" s="47">
        <f>IF($A24="","",SUMIFS(tblLocations[UnitsOnPallet],tblLocations[ItemCode],$A24)+COUNTIFS(tblLocations[ItemCode],$A24,tblLocations[UnitsOnPallet],"")*$E24)</f>
        <v/>
      </c>
      <c r="I24" s="45">
        <f>IF($A24="","",COUNTIFS(tblLocations[ItemCode],$A24,tblLocations[Zone],$C24))</f>
        <v/>
      </c>
      <c r="J24" s="45">
        <f>IF($A24="","",COUNTIFS(tblLocations[ItemCode],$A24,tblLocations[Zone],"&lt;&gt;"&amp;$C24,tblLocations[Zone],"?*"))</f>
        <v/>
      </c>
      <c r="K24" s="45">
        <f>IF($A24="","",IF(INDEX(tblItems[LowStock],16)="LOW","LOW",IF(INDEX(tblItems[Mismatch],16)="Yes","CHECK",IF($J24&gt;0,"WRONG ZONE","OK"))))</f>
        <v/>
      </c>
      <c r="M24" s="53" t="inlineStr">
        <is>
          <t>Item</t>
        </is>
      </c>
      <c r="N24" s="53" t="inlineStr">
        <is>
          <t>Description</t>
        </is>
      </c>
      <c r="O24" s="53" t="inlineStr">
        <is>
          <t>Placed</t>
        </is>
      </c>
      <c r="P24" s="53" t="inlineStr">
        <is>
          <t>Reorder at</t>
        </is>
      </c>
    </row>
    <row r="25">
      <c r="A25" s="41">
        <f>IFERROR(INDEX(tblItems[ItemCode],17)&amp;"","")</f>
        <v/>
      </c>
      <c r="B25" s="42">
        <f>IF($A25="","",INDEX(tblItems[Description],17)&amp;"")</f>
        <v/>
      </c>
      <c r="C25" s="41">
        <f>IF($A25="","",INDEX(tblItems[Zone],17)&amp;"")</f>
        <v/>
      </c>
      <c r="D25" s="43">
        <f>IF($A25="","",N(INDEX(tblItems[OnHandUnits],17)))</f>
        <v/>
      </c>
      <c r="E25" s="41">
        <f>IF($A25="","",N(INDEX(tblItems[UnitsPerPallet],17)))</f>
        <v/>
      </c>
      <c r="F25" s="41">
        <f>IF($A25="","",INDEX(tblItems[PalletsNeeded],17))</f>
        <v/>
      </c>
      <c r="G25" s="41">
        <f>IF($A25="","",COUNTIF(tblLocations[ItemCode],$A25))</f>
        <v/>
      </c>
      <c r="H25" s="43">
        <f>IF($A25="","",SUMIFS(tblLocations[UnitsOnPallet],tblLocations[ItemCode],$A25)+COUNTIFS(tblLocations[ItemCode],$A25,tblLocations[UnitsOnPallet],"")*$E25)</f>
        <v/>
      </c>
      <c r="I25" s="41">
        <f>IF($A25="","",COUNTIFS(tblLocations[ItemCode],$A25,tblLocations[Zone],$C25))</f>
        <v/>
      </c>
      <c r="J25" s="41">
        <f>IF($A25="","",COUNTIFS(tblLocations[ItemCode],$A25,tblLocations[Zone],"&lt;&gt;"&amp;$C25,tblLocations[Zone],"?*"))</f>
        <v/>
      </c>
      <c r="K25" s="41">
        <f>IF($A25="","",IF(INDEX(tblItems[LowStock],17)="LOW","LOW",IF(INDEX(tblItems[Mismatch],17)="Yes","CHECK",IF($J25&gt;0,"WRONG ZONE","OK"))))</f>
        <v/>
      </c>
      <c r="M25" s="54">
        <f t="array" ref="M25">IFERROR(INDEX(tblItems[ItemCode],SMALL(IF(tblItems[LowStock]="LOW",ROW(tblItems[LowStock])-MIN(ROW(tblItems[LowStock]))+1),ROWS(M$25:M25))),"")</f>
        <v/>
      </c>
      <c r="N25" s="42">
        <f>IF(M25="","",INDEX(tblItems[Description],MATCH(M25,tblItems[ItemCode],0))&amp;"")</f>
        <v/>
      </c>
      <c r="O25" s="41">
        <f>IF(M25="","",INDEX(tblItems[PalletsPlaced],MATCH(M25,tblItems[ItemCode],0)))</f>
        <v/>
      </c>
      <c r="P25" s="41">
        <f>IF(M25="","",IF(INDEX(tblItems[ReorderPallets],MATCH(M25,tblItems[ItemCode],0))="",DefaultLowStock,INDEX(tblItems[ReorderPallets],MATCH(M25,tblItems[ItemCode],0))))</f>
        <v/>
      </c>
    </row>
    <row r="26">
      <c r="A26" s="45">
        <f>IFERROR(INDEX(tblItems[ItemCode],18)&amp;"","")</f>
        <v/>
      </c>
      <c r="B26" s="46">
        <f>IF($A26="","",INDEX(tblItems[Description],18)&amp;"")</f>
        <v/>
      </c>
      <c r="C26" s="45">
        <f>IF($A26="","",INDEX(tblItems[Zone],18)&amp;"")</f>
        <v/>
      </c>
      <c r="D26" s="47">
        <f>IF($A26="","",N(INDEX(tblItems[OnHandUnits],18)))</f>
        <v/>
      </c>
      <c r="E26" s="45">
        <f>IF($A26="","",N(INDEX(tblItems[UnitsPerPallet],18)))</f>
        <v/>
      </c>
      <c r="F26" s="45">
        <f>IF($A26="","",INDEX(tblItems[PalletsNeeded],18))</f>
        <v/>
      </c>
      <c r="G26" s="45">
        <f>IF($A26="","",COUNTIF(tblLocations[ItemCode],$A26))</f>
        <v/>
      </c>
      <c r="H26" s="47">
        <f>IF($A26="","",SUMIFS(tblLocations[UnitsOnPallet],tblLocations[ItemCode],$A26)+COUNTIFS(tblLocations[ItemCode],$A26,tblLocations[UnitsOnPallet],"")*$E26)</f>
        <v/>
      </c>
      <c r="I26" s="45">
        <f>IF($A26="","",COUNTIFS(tblLocations[ItemCode],$A26,tblLocations[Zone],$C26))</f>
        <v/>
      </c>
      <c r="J26" s="45">
        <f>IF($A26="","",COUNTIFS(tblLocations[ItemCode],$A26,tblLocations[Zone],"&lt;&gt;"&amp;$C26,tblLocations[Zone],"?*"))</f>
        <v/>
      </c>
      <c r="K26" s="45">
        <f>IF($A26="","",IF(INDEX(tblItems[LowStock],18)="LOW","LOW",IF(INDEX(tblItems[Mismatch],18)="Yes","CHECK",IF($J26&gt;0,"WRONG ZONE","OK"))))</f>
        <v/>
      </c>
      <c r="M26" s="54">
        <f t="array" ref="M26">IFERROR(INDEX(tblItems[ItemCode],SMALL(IF(tblItems[LowStock]="LOW",ROW(tblItems[LowStock])-MIN(ROW(tblItems[LowStock]))+1),ROWS(M$25:M26))),"")</f>
        <v/>
      </c>
      <c r="N26" s="42">
        <f>IF(M26="","",INDEX(tblItems[Description],MATCH(M26,tblItems[ItemCode],0))&amp;"")</f>
        <v/>
      </c>
      <c r="O26" s="41">
        <f>IF(M26="","",INDEX(tblItems[PalletsPlaced],MATCH(M26,tblItems[ItemCode],0)))</f>
        <v/>
      </c>
      <c r="P26" s="41">
        <f>IF(M26="","",IF(INDEX(tblItems[ReorderPallets],MATCH(M26,tblItems[ItemCode],0))="",DefaultLowStock,INDEX(tblItems[ReorderPallets],MATCH(M26,tblItems[ItemCode],0))))</f>
        <v/>
      </c>
    </row>
    <row r="27">
      <c r="A27" s="41">
        <f>IFERROR(INDEX(tblItems[ItemCode],19)&amp;"","")</f>
        <v/>
      </c>
      <c r="B27" s="42">
        <f>IF($A27="","",INDEX(tblItems[Description],19)&amp;"")</f>
        <v/>
      </c>
      <c r="C27" s="41">
        <f>IF($A27="","",INDEX(tblItems[Zone],19)&amp;"")</f>
        <v/>
      </c>
      <c r="D27" s="43">
        <f>IF($A27="","",N(INDEX(tblItems[OnHandUnits],19)))</f>
        <v/>
      </c>
      <c r="E27" s="41">
        <f>IF($A27="","",N(INDEX(tblItems[UnitsPerPallet],19)))</f>
        <v/>
      </c>
      <c r="F27" s="41">
        <f>IF($A27="","",INDEX(tblItems[PalletsNeeded],19))</f>
        <v/>
      </c>
      <c r="G27" s="41">
        <f>IF($A27="","",COUNTIF(tblLocations[ItemCode],$A27))</f>
        <v/>
      </c>
      <c r="H27" s="43">
        <f>IF($A27="","",SUMIFS(tblLocations[UnitsOnPallet],tblLocations[ItemCode],$A27)+COUNTIFS(tblLocations[ItemCode],$A27,tblLocations[UnitsOnPallet],"")*$E27)</f>
        <v/>
      </c>
      <c r="I27" s="41">
        <f>IF($A27="","",COUNTIFS(tblLocations[ItemCode],$A27,tblLocations[Zone],$C27))</f>
        <v/>
      </c>
      <c r="J27" s="41">
        <f>IF($A27="","",COUNTIFS(tblLocations[ItemCode],$A27,tblLocations[Zone],"&lt;&gt;"&amp;$C27,tblLocations[Zone],"?*"))</f>
        <v/>
      </c>
      <c r="K27" s="41">
        <f>IF($A27="","",IF(INDEX(tblItems[LowStock],19)="LOW","LOW",IF(INDEX(tblItems[Mismatch],19)="Yes","CHECK",IF($J27&gt;0,"WRONG ZONE","OK"))))</f>
        <v/>
      </c>
      <c r="M27" s="54">
        <f t="array" ref="M27">IFERROR(INDEX(tblItems[ItemCode],SMALL(IF(tblItems[LowStock]="LOW",ROW(tblItems[LowStock])-MIN(ROW(tblItems[LowStock]))+1),ROWS(M$25:M27))),"")</f>
        <v/>
      </c>
      <c r="N27" s="42">
        <f>IF(M27="","",INDEX(tblItems[Description],MATCH(M27,tblItems[ItemCode],0))&amp;"")</f>
        <v/>
      </c>
      <c r="O27" s="41">
        <f>IF(M27="","",INDEX(tblItems[PalletsPlaced],MATCH(M27,tblItems[ItemCode],0)))</f>
        <v/>
      </c>
      <c r="P27" s="41">
        <f>IF(M27="","",IF(INDEX(tblItems[ReorderPallets],MATCH(M27,tblItems[ItemCode],0))="",DefaultLowStock,INDEX(tblItems[ReorderPallets],MATCH(M27,tblItems[ItemCode],0))))</f>
        <v/>
      </c>
    </row>
    <row r="28">
      <c r="A28" s="45">
        <f>IFERROR(INDEX(tblItems[ItemCode],20)&amp;"","")</f>
        <v/>
      </c>
      <c r="B28" s="46">
        <f>IF($A28="","",INDEX(tblItems[Description],20)&amp;"")</f>
        <v/>
      </c>
      <c r="C28" s="45">
        <f>IF($A28="","",INDEX(tblItems[Zone],20)&amp;"")</f>
        <v/>
      </c>
      <c r="D28" s="47">
        <f>IF($A28="","",N(INDEX(tblItems[OnHandUnits],20)))</f>
        <v/>
      </c>
      <c r="E28" s="45">
        <f>IF($A28="","",N(INDEX(tblItems[UnitsPerPallet],20)))</f>
        <v/>
      </c>
      <c r="F28" s="45">
        <f>IF($A28="","",INDEX(tblItems[PalletsNeeded],20))</f>
        <v/>
      </c>
      <c r="G28" s="45">
        <f>IF($A28="","",COUNTIF(tblLocations[ItemCode],$A28))</f>
        <v/>
      </c>
      <c r="H28" s="47">
        <f>IF($A28="","",SUMIFS(tblLocations[UnitsOnPallet],tblLocations[ItemCode],$A28)+COUNTIFS(tblLocations[ItemCode],$A28,tblLocations[UnitsOnPallet],"")*$E28)</f>
        <v/>
      </c>
      <c r="I28" s="45">
        <f>IF($A28="","",COUNTIFS(tblLocations[ItemCode],$A28,tblLocations[Zone],$C28))</f>
        <v/>
      </c>
      <c r="J28" s="45">
        <f>IF($A28="","",COUNTIFS(tblLocations[ItemCode],$A28,tblLocations[Zone],"&lt;&gt;"&amp;$C28,tblLocations[Zone],"?*"))</f>
        <v/>
      </c>
      <c r="K28" s="45">
        <f>IF($A28="","",IF(INDEX(tblItems[LowStock],20)="LOW","LOW",IF(INDEX(tblItems[Mismatch],20)="Yes","CHECK",IF($J28&gt;0,"WRONG ZONE","OK"))))</f>
        <v/>
      </c>
      <c r="M28" s="54">
        <f t="array" ref="M28">IFERROR(INDEX(tblItems[ItemCode],SMALL(IF(tblItems[LowStock]="LOW",ROW(tblItems[LowStock])-MIN(ROW(tblItems[LowStock]))+1),ROWS(M$25:M28))),"")</f>
        <v/>
      </c>
      <c r="N28" s="42">
        <f>IF(M28="","",INDEX(tblItems[Description],MATCH(M28,tblItems[ItemCode],0))&amp;"")</f>
        <v/>
      </c>
      <c r="O28" s="41">
        <f>IF(M28="","",INDEX(tblItems[PalletsPlaced],MATCH(M28,tblItems[ItemCode],0)))</f>
        <v/>
      </c>
      <c r="P28" s="41">
        <f>IF(M28="","",IF(INDEX(tblItems[ReorderPallets],MATCH(M28,tblItems[ItemCode],0))="",DefaultLowStock,INDEX(tblItems[ReorderPallets],MATCH(M28,tblItems[ItemCode],0))))</f>
        <v/>
      </c>
    </row>
    <row r="29">
      <c r="A29" s="41">
        <f>IFERROR(INDEX(tblItems[ItemCode],21)&amp;"","")</f>
        <v/>
      </c>
      <c r="B29" s="42">
        <f>IF($A29="","",INDEX(tblItems[Description],21)&amp;"")</f>
        <v/>
      </c>
      <c r="C29" s="41">
        <f>IF($A29="","",INDEX(tblItems[Zone],21)&amp;"")</f>
        <v/>
      </c>
      <c r="D29" s="43">
        <f>IF($A29="","",N(INDEX(tblItems[OnHandUnits],21)))</f>
        <v/>
      </c>
      <c r="E29" s="41">
        <f>IF($A29="","",N(INDEX(tblItems[UnitsPerPallet],21)))</f>
        <v/>
      </c>
      <c r="F29" s="41">
        <f>IF($A29="","",INDEX(tblItems[PalletsNeeded],21))</f>
        <v/>
      </c>
      <c r="G29" s="41">
        <f>IF($A29="","",COUNTIF(tblLocations[ItemCode],$A29))</f>
        <v/>
      </c>
      <c r="H29" s="43">
        <f>IF($A29="","",SUMIFS(tblLocations[UnitsOnPallet],tblLocations[ItemCode],$A29)+COUNTIFS(tblLocations[ItemCode],$A29,tblLocations[UnitsOnPallet],"")*$E29)</f>
        <v/>
      </c>
      <c r="I29" s="41">
        <f>IF($A29="","",COUNTIFS(tblLocations[ItemCode],$A29,tblLocations[Zone],$C29))</f>
        <v/>
      </c>
      <c r="J29" s="41">
        <f>IF($A29="","",COUNTIFS(tblLocations[ItemCode],$A29,tblLocations[Zone],"&lt;&gt;"&amp;$C29,tblLocations[Zone],"?*"))</f>
        <v/>
      </c>
      <c r="K29" s="41">
        <f>IF($A29="","",IF(INDEX(tblItems[LowStock],21)="LOW","LOW",IF(INDEX(tblItems[Mismatch],21)="Yes","CHECK",IF($J29&gt;0,"WRONG ZONE","OK"))))</f>
        <v/>
      </c>
      <c r="M29" s="54">
        <f t="array" ref="M29">IFERROR(INDEX(tblItems[ItemCode],SMALL(IF(tblItems[LowStock]="LOW",ROW(tblItems[LowStock])-MIN(ROW(tblItems[LowStock]))+1),ROWS(M$25:M29))),"")</f>
        <v/>
      </c>
      <c r="N29" s="42">
        <f>IF(M29="","",INDEX(tblItems[Description],MATCH(M29,tblItems[ItemCode],0))&amp;"")</f>
        <v/>
      </c>
      <c r="O29" s="41">
        <f>IF(M29="","",INDEX(tblItems[PalletsPlaced],MATCH(M29,tblItems[ItemCode],0)))</f>
        <v/>
      </c>
      <c r="P29" s="41">
        <f>IF(M29="","",IF(INDEX(tblItems[ReorderPallets],MATCH(M29,tblItems[ItemCode],0))="",DefaultLowStock,INDEX(tblItems[ReorderPallets],MATCH(M29,tblItems[ItemCode],0))))</f>
        <v/>
      </c>
    </row>
    <row r="30">
      <c r="A30" s="45">
        <f>IFERROR(INDEX(tblItems[ItemCode],22)&amp;"","")</f>
        <v/>
      </c>
      <c r="B30" s="46">
        <f>IF($A30="","",INDEX(tblItems[Description],22)&amp;"")</f>
        <v/>
      </c>
      <c r="C30" s="45">
        <f>IF($A30="","",INDEX(tblItems[Zone],22)&amp;"")</f>
        <v/>
      </c>
      <c r="D30" s="47">
        <f>IF($A30="","",N(INDEX(tblItems[OnHandUnits],22)))</f>
        <v/>
      </c>
      <c r="E30" s="45">
        <f>IF($A30="","",N(INDEX(tblItems[UnitsPerPallet],22)))</f>
        <v/>
      </c>
      <c r="F30" s="45">
        <f>IF($A30="","",INDEX(tblItems[PalletsNeeded],22))</f>
        <v/>
      </c>
      <c r="G30" s="45">
        <f>IF($A30="","",COUNTIF(tblLocations[ItemCode],$A30))</f>
        <v/>
      </c>
      <c r="H30" s="47">
        <f>IF($A30="","",SUMIFS(tblLocations[UnitsOnPallet],tblLocations[ItemCode],$A30)+COUNTIFS(tblLocations[ItemCode],$A30,tblLocations[UnitsOnPallet],"")*$E30)</f>
        <v/>
      </c>
      <c r="I30" s="45">
        <f>IF($A30="","",COUNTIFS(tblLocations[ItemCode],$A30,tblLocations[Zone],$C30))</f>
        <v/>
      </c>
      <c r="J30" s="45">
        <f>IF($A30="","",COUNTIFS(tblLocations[ItemCode],$A30,tblLocations[Zone],"&lt;&gt;"&amp;$C30,tblLocations[Zone],"?*"))</f>
        <v/>
      </c>
      <c r="K30" s="45">
        <f>IF($A30="","",IF(INDEX(tblItems[LowStock],22)="LOW","LOW",IF(INDEX(tblItems[Mismatch],22)="Yes","CHECK",IF($J30&gt;0,"WRONG ZONE","OK"))))</f>
        <v/>
      </c>
      <c r="M30" s="54">
        <f t="array" ref="M30">IFERROR(INDEX(tblItems[ItemCode],SMALL(IF(tblItems[LowStock]="LOW",ROW(tblItems[LowStock])-MIN(ROW(tblItems[LowStock]))+1),ROWS(M$25:M30))),"")</f>
        <v/>
      </c>
      <c r="N30" s="42">
        <f>IF(M30="","",INDEX(tblItems[Description],MATCH(M30,tblItems[ItemCode],0))&amp;"")</f>
        <v/>
      </c>
      <c r="O30" s="41">
        <f>IF(M30="","",INDEX(tblItems[PalletsPlaced],MATCH(M30,tblItems[ItemCode],0)))</f>
        <v/>
      </c>
      <c r="P30" s="41">
        <f>IF(M30="","",IF(INDEX(tblItems[ReorderPallets],MATCH(M30,tblItems[ItemCode],0))="",DefaultLowStock,INDEX(tblItems[ReorderPallets],MATCH(M30,tblItems[ItemCode],0))))</f>
        <v/>
      </c>
    </row>
    <row r="31">
      <c r="A31" s="41">
        <f>IFERROR(INDEX(tblItems[ItemCode],23)&amp;"","")</f>
        <v/>
      </c>
      <c r="B31" s="42">
        <f>IF($A31="","",INDEX(tblItems[Description],23)&amp;"")</f>
        <v/>
      </c>
      <c r="C31" s="41">
        <f>IF($A31="","",INDEX(tblItems[Zone],23)&amp;"")</f>
        <v/>
      </c>
      <c r="D31" s="43">
        <f>IF($A31="","",N(INDEX(tblItems[OnHandUnits],23)))</f>
        <v/>
      </c>
      <c r="E31" s="41">
        <f>IF($A31="","",N(INDEX(tblItems[UnitsPerPallet],23)))</f>
        <v/>
      </c>
      <c r="F31" s="41">
        <f>IF($A31="","",INDEX(tblItems[PalletsNeeded],23))</f>
        <v/>
      </c>
      <c r="G31" s="41">
        <f>IF($A31="","",COUNTIF(tblLocations[ItemCode],$A31))</f>
        <v/>
      </c>
      <c r="H31" s="43">
        <f>IF($A31="","",SUMIFS(tblLocations[UnitsOnPallet],tblLocations[ItemCode],$A31)+COUNTIFS(tblLocations[ItemCode],$A31,tblLocations[UnitsOnPallet],"")*$E31)</f>
        <v/>
      </c>
      <c r="I31" s="41">
        <f>IF($A31="","",COUNTIFS(tblLocations[ItemCode],$A31,tblLocations[Zone],$C31))</f>
        <v/>
      </c>
      <c r="J31" s="41">
        <f>IF($A31="","",COUNTIFS(tblLocations[ItemCode],$A31,tblLocations[Zone],"&lt;&gt;"&amp;$C31,tblLocations[Zone],"?*"))</f>
        <v/>
      </c>
      <c r="K31" s="41">
        <f>IF($A31="","",IF(INDEX(tblItems[LowStock],23)="LOW","LOW",IF(INDEX(tblItems[Mismatch],23)="Yes","CHECK",IF($J31&gt;0,"WRONG ZONE","OK"))))</f>
        <v/>
      </c>
      <c r="M31" s="54">
        <f t="array" ref="M31">IFERROR(INDEX(tblItems[ItemCode],SMALL(IF(tblItems[LowStock]="LOW",ROW(tblItems[LowStock])-MIN(ROW(tblItems[LowStock]))+1),ROWS(M$25:M31))),"")</f>
        <v/>
      </c>
      <c r="N31" s="42">
        <f>IF(M31="","",INDEX(tblItems[Description],MATCH(M31,tblItems[ItemCode],0))&amp;"")</f>
        <v/>
      </c>
      <c r="O31" s="41">
        <f>IF(M31="","",INDEX(tblItems[PalletsPlaced],MATCH(M31,tblItems[ItemCode],0)))</f>
        <v/>
      </c>
      <c r="P31" s="41">
        <f>IF(M31="","",IF(INDEX(tblItems[ReorderPallets],MATCH(M31,tblItems[ItemCode],0))="",DefaultLowStock,INDEX(tblItems[ReorderPallets],MATCH(M31,tblItems[ItemCode],0))))</f>
        <v/>
      </c>
    </row>
    <row r="32">
      <c r="A32" s="45">
        <f>IFERROR(INDEX(tblItems[ItemCode],24)&amp;"","")</f>
        <v/>
      </c>
      <c r="B32" s="46">
        <f>IF($A32="","",INDEX(tblItems[Description],24)&amp;"")</f>
        <v/>
      </c>
      <c r="C32" s="45">
        <f>IF($A32="","",INDEX(tblItems[Zone],24)&amp;"")</f>
        <v/>
      </c>
      <c r="D32" s="47">
        <f>IF($A32="","",N(INDEX(tblItems[OnHandUnits],24)))</f>
        <v/>
      </c>
      <c r="E32" s="45">
        <f>IF($A32="","",N(INDEX(tblItems[UnitsPerPallet],24)))</f>
        <v/>
      </c>
      <c r="F32" s="45">
        <f>IF($A32="","",INDEX(tblItems[PalletsNeeded],24))</f>
        <v/>
      </c>
      <c r="G32" s="45">
        <f>IF($A32="","",COUNTIF(tblLocations[ItemCode],$A32))</f>
        <v/>
      </c>
      <c r="H32" s="47">
        <f>IF($A32="","",SUMIFS(tblLocations[UnitsOnPallet],tblLocations[ItemCode],$A32)+COUNTIFS(tblLocations[ItemCode],$A32,tblLocations[UnitsOnPallet],"")*$E32)</f>
        <v/>
      </c>
      <c r="I32" s="45">
        <f>IF($A32="","",COUNTIFS(tblLocations[ItemCode],$A32,tblLocations[Zone],$C32))</f>
        <v/>
      </c>
      <c r="J32" s="45">
        <f>IF($A32="","",COUNTIFS(tblLocations[ItemCode],$A32,tblLocations[Zone],"&lt;&gt;"&amp;$C32,tblLocations[Zone],"?*"))</f>
        <v/>
      </c>
      <c r="K32" s="45">
        <f>IF($A32="","",IF(INDEX(tblItems[LowStock],24)="LOW","LOW",IF(INDEX(tblItems[Mismatch],24)="Yes","CHECK",IF($J32&gt;0,"WRONG ZONE","OK"))))</f>
        <v/>
      </c>
      <c r="M32" s="54">
        <f t="array" ref="M32">IFERROR(INDEX(tblItems[ItemCode],SMALL(IF(tblItems[LowStock]="LOW",ROW(tblItems[LowStock])-MIN(ROW(tblItems[LowStock]))+1),ROWS(M$25:M32))),"")</f>
        <v/>
      </c>
      <c r="N32" s="42">
        <f>IF(M32="","",INDEX(tblItems[Description],MATCH(M32,tblItems[ItemCode],0))&amp;"")</f>
        <v/>
      </c>
      <c r="O32" s="41">
        <f>IF(M32="","",INDEX(tblItems[PalletsPlaced],MATCH(M32,tblItems[ItemCode],0)))</f>
        <v/>
      </c>
      <c r="P32" s="41">
        <f>IF(M32="","",IF(INDEX(tblItems[ReorderPallets],MATCH(M32,tblItems[ItemCode],0))="",DefaultLowStock,INDEX(tblItems[ReorderPallets],MATCH(M32,tblItems[ItemCode],0))))</f>
        <v/>
      </c>
    </row>
    <row r="33">
      <c r="A33" s="41">
        <f>IFERROR(INDEX(tblItems[ItemCode],25)&amp;"","")</f>
        <v/>
      </c>
      <c r="B33" s="42">
        <f>IF($A33="","",INDEX(tblItems[Description],25)&amp;"")</f>
        <v/>
      </c>
      <c r="C33" s="41">
        <f>IF($A33="","",INDEX(tblItems[Zone],25)&amp;"")</f>
        <v/>
      </c>
      <c r="D33" s="43">
        <f>IF($A33="","",N(INDEX(tblItems[OnHandUnits],25)))</f>
        <v/>
      </c>
      <c r="E33" s="41">
        <f>IF($A33="","",N(INDEX(tblItems[UnitsPerPallet],25)))</f>
        <v/>
      </c>
      <c r="F33" s="41">
        <f>IF($A33="","",INDEX(tblItems[PalletsNeeded],25))</f>
        <v/>
      </c>
      <c r="G33" s="41">
        <f>IF($A33="","",COUNTIF(tblLocations[ItemCode],$A33))</f>
        <v/>
      </c>
      <c r="H33" s="43">
        <f>IF($A33="","",SUMIFS(tblLocations[UnitsOnPallet],tblLocations[ItemCode],$A33)+COUNTIFS(tblLocations[ItemCode],$A33,tblLocations[UnitsOnPallet],"")*$E33)</f>
        <v/>
      </c>
      <c r="I33" s="41">
        <f>IF($A33="","",COUNTIFS(tblLocations[ItemCode],$A33,tblLocations[Zone],$C33))</f>
        <v/>
      </c>
      <c r="J33" s="41">
        <f>IF($A33="","",COUNTIFS(tblLocations[ItemCode],$A33,tblLocations[Zone],"&lt;&gt;"&amp;$C33,tblLocations[Zone],"?*"))</f>
        <v/>
      </c>
      <c r="K33" s="41">
        <f>IF($A33="","",IF(INDEX(tblItems[LowStock],25)="LOW","LOW",IF(INDEX(tblItems[Mismatch],25)="Yes","CHECK",IF($J33&gt;0,"WRONG ZONE","OK"))))</f>
        <v/>
      </c>
      <c r="M33" s="54">
        <f t="array" ref="M33">IFERROR(INDEX(tblItems[ItemCode],SMALL(IF(tblItems[LowStock]="LOW",ROW(tblItems[LowStock])-MIN(ROW(tblItems[LowStock]))+1),ROWS(M$25:M33))),"")</f>
        <v/>
      </c>
      <c r="N33" s="42">
        <f>IF(M33="","",INDEX(tblItems[Description],MATCH(M33,tblItems[ItemCode],0))&amp;"")</f>
        <v/>
      </c>
      <c r="O33" s="41">
        <f>IF(M33="","",INDEX(tblItems[PalletsPlaced],MATCH(M33,tblItems[ItemCode],0)))</f>
        <v/>
      </c>
      <c r="P33" s="41">
        <f>IF(M33="","",IF(INDEX(tblItems[ReorderPallets],MATCH(M33,tblItems[ItemCode],0))="",DefaultLowStock,INDEX(tblItems[ReorderPallets],MATCH(M33,tblItems[ItemCode],0))))</f>
        <v/>
      </c>
    </row>
    <row r="34">
      <c r="A34" s="45">
        <f>IFERROR(INDEX(tblItems[ItemCode],26)&amp;"","")</f>
        <v/>
      </c>
      <c r="B34" s="46">
        <f>IF($A34="","",INDEX(tblItems[Description],26)&amp;"")</f>
        <v/>
      </c>
      <c r="C34" s="45">
        <f>IF($A34="","",INDEX(tblItems[Zone],26)&amp;"")</f>
        <v/>
      </c>
      <c r="D34" s="47">
        <f>IF($A34="","",N(INDEX(tblItems[OnHandUnits],26)))</f>
        <v/>
      </c>
      <c r="E34" s="45">
        <f>IF($A34="","",N(INDEX(tblItems[UnitsPerPallet],26)))</f>
        <v/>
      </c>
      <c r="F34" s="45">
        <f>IF($A34="","",INDEX(tblItems[PalletsNeeded],26))</f>
        <v/>
      </c>
      <c r="G34" s="45">
        <f>IF($A34="","",COUNTIF(tblLocations[ItemCode],$A34))</f>
        <v/>
      </c>
      <c r="H34" s="47">
        <f>IF($A34="","",SUMIFS(tblLocations[UnitsOnPallet],tblLocations[ItemCode],$A34)+COUNTIFS(tblLocations[ItemCode],$A34,tblLocations[UnitsOnPallet],"")*$E34)</f>
        <v/>
      </c>
      <c r="I34" s="45">
        <f>IF($A34="","",COUNTIFS(tblLocations[ItemCode],$A34,tblLocations[Zone],$C34))</f>
        <v/>
      </c>
      <c r="J34" s="45">
        <f>IF($A34="","",COUNTIFS(tblLocations[ItemCode],$A34,tblLocations[Zone],"&lt;&gt;"&amp;$C34,tblLocations[Zone],"?*"))</f>
        <v/>
      </c>
      <c r="K34" s="45">
        <f>IF($A34="","",IF(INDEX(tblItems[LowStock],26)="LOW","LOW",IF(INDEX(tblItems[Mismatch],26)="Yes","CHECK",IF($J34&gt;0,"WRONG ZONE","OK"))))</f>
        <v/>
      </c>
      <c r="M34" s="54">
        <f t="array" ref="M34">IFERROR(INDEX(tblItems[ItemCode],SMALL(IF(tblItems[LowStock]="LOW",ROW(tblItems[LowStock])-MIN(ROW(tblItems[LowStock]))+1),ROWS(M$25:M34))),"")</f>
        <v/>
      </c>
      <c r="N34" s="42">
        <f>IF(M34="","",INDEX(tblItems[Description],MATCH(M34,tblItems[ItemCode],0))&amp;"")</f>
        <v/>
      </c>
      <c r="O34" s="41">
        <f>IF(M34="","",INDEX(tblItems[PalletsPlaced],MATCH(M34,tblItems[ItemCode],0)))</f>
        <v/>
      </c>
      <c r="P34" s="41">
        <f>IF(M34="","",IF(INDEX(tblItems[ReorderPallets],MATCH(M34,tblItems[ItemCode],0))="",DefaultLowStock,INDEX(tblItems[ReorderPallets],MATCH(M34,tblItems[ItemCode],0))))</f>
        <v/>
      </c>
    </row>
    <row r="35">
      <c r="A35" s="41">
        <f>IFERROR(INDEX(tblItems[ItemCode],27)&amp;"","")</f>
        <v/>
      </c>
      <c r="B35" s="42">
        <f>IF($A35="","",INDEX(tblItems[Description],27)&amp;"")</f>
        <v/>
      </c>
      <c r="C35" s="41">
        <f>IF($A35="","",INDEX(tblItems[Zone],27)&amp;"")</f>
        <v/>
      </c>
      <c r="D35" s="43">
        <f>IF($A35="","",N(INDEX(tblItems[OnHandUnits],27)))</f>
        <v/>
      </c>
      <c r="E35" s="41">
        <f>IF($A35="","",N(INDEX(tblItems[UnitsPerPallet],27)))</f>
        <v/>
      </c>
      <c r="F35" s="41">
        <f>IF($A35="","",INDEX(tblItems[PalletsNeeded],27))</f>
        <v/>
      </c>
      <c r="G35" s="41">
        <f>IF($A35="","",COUNTIF(tblLocations[ItemCode],$A35))</f>
        <v/>
      </c>
      <c r="H35" s="43">
        <f>IF($A35="","",SUMIFS(tblLocations[UnitsOnPallet],tblLocations[ItemCode],$A35)+COUNTIFS(tblLocations[ItemCode],$A35,tblLocations[UnitsOnPallet],"")*$E35)</f>
        <v/>
      </c>
      <c r="I35" s="41">
        <f>IF($A35="","",COUNTIFS(tblLocations[ItemCode],$A35,tblLocations[Zone],$C35))</f>
        <v/>
      </c>
      <c r="J35" s="41">
        <f>IF($A35="","",COUNTIFS(tblLocations[ItemCode],$A35,tblLocations[Zone],"&lt;&gt;"&amp;$C35,tblLocations[Zone],"?*"))</f>
        <v/>
      </c>
      <c r="K35" s="41">
        <f>IF($A35="","",IF(INDEX(tblItems[LowStock],27)="LOW","LOW",IF(INDEX(tblItems[Mismatch],27)="Yes","CHECK",IF($J35&gt;0,"WRONG ZONE","OK"))))</f>
        <v/>
      </c>
      <c r="M35" s="54">
        <f t="array" ref="M35">IFERROR(INDEX(tblItems[ItemCode],SMALL(IF(tblItems[LowStock]="LOW",ROW(tblItems[LowStock])-MIN(ROW(tblItems[LowStock]))+1),ROWS(M$25:M35))),"")</f>
        <v/>
      </c>
      <c r="N35" s="42">
        <f>IF(M35="","",INDEX(tblItems[Description],MATCH(M35,tblItems[ItemCode],0))&amp;"")</f>
        <v/>
      </c>
      <c r="O35" s="41">
        <f>IF(M35="","",INDEX(tblItems[PalletsPlaced],MATCH(M35,tblItems[ItemCode],0)))</f>
        <v/>
      </c>
      <c r="P35" s="41">
        <f>IF(M35="","",IF(INDEX(tblItems[ReorderPallets],MATCH(M35,tblItems[ItemCode],0))="",DefaultLowStock,INDEX(tblItems[ReorderPallets],MATCH(M35,tblItems[ItemCode],0))))</f>
        <v/>
      </c>
    </row>
    <row r="36">
      <c r="A36" s="45">
        <f>IFERROR(INDEX(tblItems[ItemCode],28)&amp;"","")</f>
        <v/>
      </c>
      <c r="B36" s="46">
        <f>IF($A36="","",INDEX(tblItems[Description],28)&amp;"")</f>
        <v/>
      </c>
      <c r="C36" s="45">
        <f>IF($A36="","",INDEX(tblItems[Zone],28)&amp;"")</f>
        <v/>
      </c>
      <c r="D36" s="47">
        <f>IF($A36="","",N(INDEX(tblItems[OnHandUnits],28)))</f>
        <v/>
      </c>
      <c r="E36" s="45">
        <f>IF($A36="","",N(INDEX(tblItems[UnitsPerPallet],28)))</f>
        <v/>
      </c>
      <c r="F36" s="45">
        <f>IF($A36="","",INDEX(tblItems[PalletsNeeded],28))</f>
        <v/>
      </c>
      <c r="G36" s="45">
        <f>IF($A36="","",COUNTIF(tblLocations[ItemCode],$A36))</f>
        <v/>
      </c>
      <c r="H36" s="47">
        <f>IF($A36="","",SUMIFS(tblLocations[UnitsOnPallet],tblLocations[ItemCode],$A36)+COUNTIFS(tblLocations[ItemCode],$A36,tblLocations[UnitsOnPallet],"")*$E36)</f>
        <v/>
      </c>
      <c r="I36" s="45">
        <f>IF($A36="","",COUNTIFS(tblLocations[ItemCode],$A36,tblLocations[Zone],$C36))</f>
        <v/>
      </c>
      <c r="J36" s="45">
        <f>IF($A36="","",COUNTIFS(tblLocations[ItemCode],$A36,tblLocations[Zone],"&lt;&gt;"&amp;$C36,tblLocations[Zone],"?*"))</f>
        <v/>
      </c>
      <c r="K36" s="45">
        <f>IF($A36="","",IF(INDEX(tblItems[LowStock],28)="LOW","LOW",IF(INDEX(tblItems[Mismatch],28)="Yes","CHECK",IF($J36&gt;0,"WRONG ZONE","OK"))))</f>
        <v/>
      </c>
      <c r="M36" s="54">
        <f t="array" ref="M36">IFERROR(INDEX(tblItems[ItemCode],SMALL(IF(tblItems[LowStock]="LOW",ROW(tblItems[LowStock])-MIN(ROW(tblItems[LowStock]))+1),ROWS(M$25:M36))),"")</f>
        <v/>
      </c>
      <c r="N36" s="42">
        <f>IF(M36="","",INDEX(tblItems[Description],MATCH(M36,tblItems[ItemCode],0))&amp;"")</f>
        <v/>
      </c>
      <c r="O36" s="41">
        <f>IF(M36="","",INDEX(tblItems[PalletsPlaced],MATCH(M36,tblItems[ItemCode],0)))</f>
        <v/>
      </c>
      <c r="P36" s="41">
        <f>IF(M36="","",IF(INDEX(tblItems[ReorderPallets],MATCH(M36,tblItems[ItemCode],0))="",DefaultLowStock,INDEX(tblItems[ReorderPallets],MATCH(M36,tblItems[ItemCode],0))))</f>
        <v/>
      </c>
    </row>
    <row r="37">
      <c r="A37" s="41">
        <f>IFERROR(INDEX(tblItems[ItemCode],29)&amp;"","")</f>
        <v/>
      </c>
      <c r="B37" s="42">
        <f>IF($A37="","",INDEX(tblItems[Description],29)&amp;"")</f>
        <v/>
      </c>
      <c r="C37" s="41">
        <f>IF($A37="","",INDEX(tblItems[Zone],29)&amp;"")</f>
        <v/>
      </c>
      <c r="D37" s="43">
        <f>IF($A37="","",N(INDEX(tblItems[OnHandUnits],29)))</f>
        <v/>
      </c>
      <c r="E37" s="41">
        <f>IF($A37="","",N(INDEX(tblItems[UnitsPerPallet],29)))</f>
        <v/>
      </c>
      <c r="F37" s="41">
        <f>IF($A37="","",INDEX(tblItems[PalletsNeeded],29))</f>
        <v/>
      </c>
      <c r="G37" s="41">
        <f>IF($A37="","",COUNTIF(tblLocations[ItemCode],$A37))</f>
        <v/>
      </c>
      <c r="H37" s="43">
        <f>IF($A37="","",SUMIFS(tblLocations[UnitsOnPallet],tblLocations[ItemCode],$A37)+COUNTIFS(tblLocations[ItemCode],$A37,tblLocations[UnitsOnPallet],"")*$E37)</f>
        <v/>
      </c>
      <c r="I37" s="41">
        <f>IF($A37="","",COUNTIFS(tblLocations[ItemCode],$A37,tblLocations[Zone],$C37))</f>
        <v/>
      </c>
      <c r="J37" s="41">
        <f>IF($A37="","",COUNTIFS(tblLocations[ItemCode],$A37,tblLocations[Zone],"&lt;&gt;"&amp;$C37,tblLocations[Zone],"?*"))</f>
        <v/>
      </c>
      <c r="K37" s="41">
        <f>IF($A37="","",IF(INDEX(tblItems[LowStock],29)="LOW","LOW",IF(INDEX(tblItems[Mismatch],29)="Yes","CHECK",IF($J37&gt;0,"WRONG ZONE","OK"))))</f>
        <v/>
      </c>
      <c r="M37" s="54">
        <f t="array" ref="M37">IFERROR(INDEX(tblItems[ItemCode],SMALL(IF(tblItems[LowStock]="LOW",ROW(tblItems[LowStock])-MIN(ROW(tblItems[LowStock]))+1),ROWS(M$25:M37))),"")</f>
        <v/>
      </c>
      <c r="N37" s="42">
        <f>IF(M37="","",INDEX(tblItems[Description],MATCH(M37,tblItems[ItemCode],0))&amp;"")</f>
        <v/>
      </c>
      <c r="O37" s="41">
        <f>IF(M37="","",INDEX(tblItems[PalletsPlaced],MATCH(M37,tblItems[ItemCode],0)))</f>
        <v/>
      </c>
      <c r="P37" s="41">
        <f>IF(M37="","",IF(INDEX(tblItems[ReorderPallets],MATCH(M37,tblItems[ItemCode],0))="",DefaultLowStock,INDEX(tblItems[ReorderPallets],MATCH(M37,tblItems[ItemCode],0))))</f>
        <v/>
      </c>
    </row>
    <row r="38">
      <c r="A38" s="45">
        <f>IFERROR(INDEX(tblItems[ItemCode],30)&amp;"","")</f>
        <v/>
      </c>
      <c r="B38" s="46">
        <f>IF($A38="","",INDEX(tblItems[Description],30)&amp;"")</f>
        <v/>
      </c>
      <c r="C38" s="45">
        <f>IF($A38="","",INDEX(tblItems[Zone],30)&amp;"")</f>
        <v/>
      </c>
      <c r="D38" s="47">
        <f>IF($A38="","",N(INDEX(tblItems[OnHandUnits],30)))</f>
        <v/>
      </c>
      <c r="E38" s="45">
        <f>IF($A38="","",N(INDEX(tblItems[UnitsPerPallet],30)))</f>
        <v/>
      </c>
      <c r="F38" s="45">
        <f>IF($A38="","",INDEX(tblItems[PalletsNeeded],30))</f>
        <v/>
      </c>
      <c r="G38" s="45">
        <f>IF($A38="","",COUNTIF(tblLocations[ItemCode],$A38))</f>
        <v/>
      </c>
      <c r="H38" s="47">
        <f>IF($A38="","",SUMIFS(tblLocations[UnitsOnPallet],tblLocations[ItemCode],$A38)+COUNTIFS(tblLocations[ItemCode],$A38,tblLocations[UnitsOnPallet],"")*$E38)</f>
        <v/>
      </c>
      <c r="I38" s="45">
        <f>IF($A38="","",COUNTIFS(tblLocations[ItemCode],$A38,tblLocations[Zone],$C38))</f>
        <v/>
      </c>
      <c r="J38" s="45">
        <f>IF($A38="","",COUNTIFS(tblLocations[ItemCode],$A38,tblLocations[Zone],"&lt;&gt;"&amp;$C38,tblLocations[Zone],"?*"))</f>
        <v/>
      </c>
      <c r="K38" s="45">
        <f>IF($A38="","",IF(INDEX(tblItems[LowStock],30)="LOW","LOW",IF(INDEX(tblItems[Mismatch],30)="Yes","CHECK",IF($J38&gt;0,"WRONG ZONE","OK"))))</f>
        <v/>
      </c>
      <c r="M38" s="54">
        <f t="array" ref="M38">IFERROR(INDEX(tblItems[ItemCode],SMALL(IF(tblItems[LowStock]="LOW",ROW(tblItems[LowStock])-MIN(ROW(tblItems[LowStock]))+1),ROWS(M$25:M38))),"")</f>
        <v/>
      </c>
      <c r="N38" s="42">
        <f>IF(M38="","",INDEX(tblItems[Description],MATCH(M38,tblItems[ItemCode],0))&amp;"")</f>
        <v/>
      </c>
      <c r="O38" s="41">
        <f>IF(M38="","",INDEX(tblItems[PalletsPlaced],MATCH(M38,tblItems[ItemCode],0)))</f>
        <v/>
      </c>
      <c r="P38" s="41">
        <f>IF(M38="","",IF(INDEX(tblItems[ReorderPallets],MATCH(M38,tblItems[ItemCode],0))="",DefaultLowStock,INDEX(tblItems[ReorderPallets],MATCH(M38,tblItems[ItemCode],0))))</f>
        <v/>
      </c>
    </row>
    <row r="39">
      <c r="A39" s="41">
        <f>IFERROR(INDEX(tblItems[ItemCode],31)&amp;"","")</f>
        <v/>
      </c>
      <c r="B39" s="42">
        <f>IF($A39="","",INDEX(tblItems[Description],31)&amp;"")</f>
        <v/>
      </c>
      <c r="C39" s="41">
        <f>IF($A39="","",INDEX(tblItems[Zone],31)&amp;"")</f>
        <v/>
      </c>
      <c r="D39" s="43">
        <f>IF($A39="","",N(INDEX(tblItems[OnHandUnits],31)))</f>
        <v/>
      </c>
      <c r="E39" s="41">
        <f>IF($A39="","",N(INDEX(tblItems[UnitsPerPallet],31)))</f>
        <v/>
      </c>
      <c r="F39" s="41">
        <f>IF($A39="","",INDEX(tblItems[PalletsNeeded],31))</f>
        <v/>
      </c>
      <c r="G39" s="41">
        <f>IF($A39="","",COUNTIF(tblLocations[ItemCode],$A39))</f>
        <v/>
      </c>
      <c r="H39" s="43">
        <f>IF($A39="","",SUMIFS(tblLocations[UnitsOnPallet],tblLocations[ItemCode],$A39)+COUNTIFS(tblLocations[ItemCode],$A39,tblLocations[UnitsOnPallet],"")*$E39)</f>
        <v/>
      </c>
      <c r="I39" s="41">
        <f>IF($A39="","",COUNTIFS(tblLocations[ItemCode],$A39,tblLocations[Zone],$C39))</f>
        <v/>
      </c>
      <c r="J39" s="41">
        <f>IF($A39="","",COUNTIFS(tblLocations[ItemCode],$A39,tblLocations[Zone],"&lt;&gt;"&amp;$C39,tblLocations[Zone],"?*"))</f>
        <v/>
      </c>
      <c r="K39" s="41">
        <f>IF($A39="","",IF(INDEX(tblItems[LowStock],31)="LOW","LOW",IF(INDEX(tblItems[Mismatch],31)="Yes","CHECK",IF($J39&gt;0,"WRONG ZONE","OK"))))</f>
        <v/>
      </c>
      <c r="M39" s="54">
        <f t="array" ref="M39">IFERROR(INDEX(tblItems[ItemCode],SMALL(IF(tblItems[LowStock]="LOW",ROW(tblItems[LowStock])-MIN(ROW(tblItems[LowStock]))+1),ROWS(M$25:M39))),"")</f>
        <v/>
      </c>
      <c r="N39" s="42">
        <f>IF(M39="","",INDEX(tblItems[Description],MATCH(M39,tblItems[ItemCode],0))&amp;"")</f>
        <v/>
      </c>
      <c r="O39" s="41">
        <f>IF(M39="","",INDEX(tblItems[PalletsPlaced],MATCH(M39,tblItems[ItemCode],0)))</f>
        <v/>
      </c>
      <c r="P39" s="41">
        <f>IF(M39="","",IF(INDEX(tblItems[ReorderPallets],MATCH(M39,tblItems[ItemCode],0))="",DefaultLowStock,INDEX(tblItems[ReorderPallets],MATCH(M39,tblItems[ItemCode],0))))</f>
        <v/>
      </c>
    </row>
    <row r="40">
      <c r="A40" s="45">
        <f>IFERROR(INDEX(tblItems[ItemCode],32)&amp;"","")</f>
        <v/>
      </c>
      <c r="B40" s="46">
        <f>IF($A40="","",INDEX(tblItems[Description],32)&amp;"")</f>
        <v/>
      </c>
      <c r="C40" s="45">
        <f>IF($A40="","",INDEX(tblItems[Zone],32)&amp;"")</f>
        <v/>
      </c>
      <c r="D40" s="47">
        <f>IF($A40="","",N(INDEX(tblItems[OnHandUnits],32)))</f>
        <v/>
      </c>
      <c r="E40" s="45">
        <f>IF($A40="","",N(INDEX(tblItems[UnitsPerPallet],32)))</f>
        <v/>
      </c>
      <c r="F40" s="45">
        <f>IF($A40="","",INDEX(tblItems[PalletsNeeded],32))</f>
        <v/>
      </c>
      <c r="G40" s="45">
        <f>IF($A40="","",COUNTIF(tblLocations[ItemCode],$A40))</f>
        <v/>
      </c>
      <c r="H40" s="47">
        <f>IF($A40="","",SUMIFS(tblLocations[UnitsOnPallet],tblLocations[ItemCode],$A40)+COUNTIFS(tblLocations[ItemCode],$A40,tblLocations[UnitsOnPallet],"")*$E40)</f>
        <v/>
      </c>
      <c r="I40" s="45">
        <f>IF($A40="","",COUNTIFS(tblLocations[ItemCode],$A40,tblLocations[Zone],$C40))</f>
        <v/>
      </c>
      <c r="J40" s="45">
        <f>IF($A40="","",COUNTIFS(tblLocations[ItemCode],$A40,tblLocations[Zone],"&lt;&gt;"&amp;$C40,tblLocations[Zone],"?*"))</f>
        <v/>
      </c>
      <c r="K40" s="45">
        <f>IF($A40="","",IF(INDEX(tblItems[LowStock],32)="LOW","LOW",IF(INDEX(tblItems[Mismatch],32)="Yes","CHECK",IF($J40&gt;0,"WRONG ZONE","OK"))))</f>
        <v/>
      </c>
      <c r="M40" s="54">
        <f t="array" ref="M40">IFERROR(INDEX(tblItems[ItemCode],SMALL(IF(tblItems[LowStock]="LOW",ROW(tblItems[LowStock])-MIN(ROW(tblItems[LowStock]))+1),ROWS(M$25:M40))),"")</f>
        <v/>
      </c>
      <c r="N40" s="42">
        <f>IF(M40="","",INDEX(tblItems[Description],MATCH(M40,tblItems[ItemCode],0))&amp;"")</f>
        <v/>
      </c>
      <c r="O40" s="41">
        <f>IF(M40="","",INDEX(tblItems[PalletsPlaced],MATCH(M40,tblItems[ItemCode],0)))</f>
        <v/>
      </c>
      <c r="P40" s="41">
        <f>IF(M40="","",IF(INDEX(tblItems[ReorderPallets],MATCH(M40,tblItems[ItemCode],0))="",DefaultLowStock,INDEX(tblItems[ReorderPallets],MATCH(M40,tblItems[ItemCode],0))))</f>
        <v/>
      </c>
    </row>
    <row r="41">
      <c r="A41" s="41">
        <f>IFERROR(INDEX(tblItems[ItemCode],33)&amp;"","")</f>
        <v/>
      </c>
      <c r="B41" s="42">
        <f>IF($A41="","",INDEX(tblItems[Description],33)&amp;"")</f>
        <v/>
      </c>
      <c r="C41" s="41">
        <f>IF($A41="","",INDEX(tblItems[Zone],33)&amp;"")</f>
        <v/>
      </c>
      <c r="D41" s="43">
        <f>IF($A41="","",N(INDEX(tblItems[OnHandUnits],33)))</f>
        <v/>
      </c>
      <c r="E41" s="41">
        <f>IF($A41="","",N(INDEX(tblItems[UnitsPerPallet],33)))</f>
        <v/>
      </c>
      <c r="F41" s="41">
        <f>IF($A41="","",INDEX(tblItems[PalletsNeeded],33))</f>
        <v/>
      </c>
      <c r="G41" s="41">
        <f>IF($A41="","",COUNTIF(tblLocations[ItemCode],$A41))</f>
        <v/>
      </c>
      <c r="H41" s="43">
        <f>IF($A41="","",SUMIFS(tblLocations[UnitsOnPallet],tblLocations[ItemCode],$A41)+COUNTIFS(tblLocations[ItemCode],$A41,tblLocations[UnitsOnPallet],"")*$E41)</f>
        <v/>
      </c>
      <c r="I41" s="41">
        <f>IF($A41="","",COUNTIFS(tblLocations[ItemCode],$A41,tblLocations[Zone],$C41))</f>
        <v/>
      </c>
      <c r="J41" s="41">
        <f>IF($A41="","",COUNTIFS(tblLocations[ItemCode],$A41,tblLocations[Zone],"&lt;&gt;"&amp;$C41,tblLocations[Zone],"?*"))</f>
        <v/>
      </c>
      <c r="K41" s="41">
        <f>IF($A41="","",IF(INDEX(tblItems[LowStock],33)="LOW","LOW",IF(INDEX(tblItems[Mismatch],33)="Yes","CHECK",IF($J41&gt;0,"WRONG ZONE","OK"))))</f>
        <v/>
      </c>
      <c r="M41" s="54">
        <f t="array" ref="M41">IFERROR(INDEX(tblItems[ItemCode],SMALL(IF(tblItems[LowStock]="LOW",ROW(tblItems[LowStock])-MIN(ROW(tblItems[LowStock]))+1),ROWS(M$25:M41))),"")</f>
        <v/>
      </c>
      <c r="N41" s="42">
        <f>IF(M41="","",INDEX(tblItems[Description],MATCH(M41,tblItems[ItemCode],0))&amp;"")</f>
        <v/>
      </c>
      <c r="O41" s="41">
        <f>IF(M41="","",INDEX(tblItems[PalletsPlaced],MATCH(M41,tblItems[ItemCode],0)))</f>
        <v/>
      </c>
      <c r="P41" s="41">
        <f>IF(M41="","",IF(INDEX(tblItems[ReorderPallets],MATCH(M41,tblItems[ItemCode],0))="",DefaultLowStock,INDEX(tblItems[ReorderPallets],MATCH(M41,tblItems[ItemCode],0))))</f>
        <v/>
      </c>
    </row>
    <row r="42">
      <c r="A42" s="45">
        <f>IFERROR(INDEX(tblItems[ItemCode],34)&amp;"","")</f>
        <v/>
      </c>
      <c r="B42" s="46">
        <f>IF($A42="","",INDEX(tblItems[Description],34)&amp;"")</f>
        <v/>
      </c>
      <c r="C42" s="45">
        <f>IF($A42="","",INDEX(tblItems[Zone],34)&amp;"")</f>
        <v/>
      </c>
      <c r="D42" s="47">
        <f>IF($A42="","",N(INDEX(tblItems[OnHandUnits],34)))</f>
        <v/>
      </c>
      <c r="E42" s="45">
        <f>IF($A42="","",N(INDEX(tblItems[UnitsPerPallet],34)))</f>
        <v/>
      </c>
      <c r="F42" s="45">
        <f>IF($A42="","",INDEX(tblItems[PalletsNeeded],34))</f>
        <v/>
      </c>
      <c r="G42" s="45">
        <f>IF($A42="","",COUNTIF(tblLocations[ItemCode],$A42))</f>
        <v/>
      </c>
      <c r="H42" s="47">
        <f>IF($A42="","",SUMIFS(tblLocations[UnitsOnPallet],tblLocations[ItemCode],$A42)+COUNTIFS(tblLocations[ItemCode],$A42,tblLocations[UnitsOnPallet],"")*$E42)</f>
        <v/>
      </c>
      <c r="I42" s="45">
        <f>IF($A42="","",COUNTIFS(tblLocations[ItemCode],$A42,tblLocations[Zone],$C42))</f>
        <v/>
      </c>
      <c r="J42" s="45">
        <f>IF($A42="","",COUNTIFS(tblLocations[ItemCode],$A42,tblLocations[Zone],"&lt;&gt;"&amp;$C42,tblLocations[Zone],"?*"))</f>
        <v/>
      </c>
      <c r="K42" s="45">
        <f>IF($A42="","",IF(INDEX(tblItems[LowStock],34)="LOW","LOW",IF(INDEX(tblItems[Mismatch],34)="Yes","CHECK",IF($J42&gt;0,"WRONG ZONE","OK"))))</f>
        <v/>
      </c>
      <c r="M42" s="54">
        <f t="array" ref="M42">IFERROR(INDEX(tblItems[ItemCode],SMALL(IF(tblItems[LowStock]="LOW",ROW(tblItems[LowStock])-MIN(ROW(tblItems[LowStock]))+1),ROWS(M$25:M42))),"")</f>
        <v/>
      </c>
      <c r="N42" s="42">
        <f>IF(M42="","",INDEX(tblItems[Description],MATCH(M42,tblItems[ItemCode],0))&amp;"")</f>
        <v/>
      </c>
      <c r="O42" s="41">
        <f>IF(M42="","",INDEX(tblItems[PalletsPlaced],MATCH(M42,tblItems[ItemCode],0)))</f>
        <v/>
      </c>
      <c r="P42" s="41">
        <f>IF(M42="","",IF(INDEX(tblItems[ReorderPallets],MATCH(M42,tblItems[ItemCode],0))="",DefaultLowStock,INDEX(tblItems[ReorderPallets],MATCH(M42,tblItems[ItemCode],0))))</f>
        <v/>
      </c>
    </row>
    <row r="43">
      <c r="A43" s="41">
        <f>IFERROR(INDEX(tblItems[ItemCode],35)&amp;"","")</f>
        <v/>
      </c>
      <c r="B43" s="42">
        <f>IF($A43="","",INDEX(tblItems[Description],35)&amp;"")</f>
        <v/>
      </c>
      <c r="C43" s="41">
        <f>IF($A43="","",INDEX(tblItems[Zone],35)&amp;"")</f>
        <v/>
      </c>
      <c r="D43" s="43">
        <f>IF($A43="","",N(INDEX(tblItems[OnHandUnits],35)))</f>
        <v/>
      </c>
      <c r="E43" s="41">
        <f>IF($A43="","",N(INDEX(tblItems[UnitsPerPallet],35)))</f>
        <v/>
      </c>
      <c r="F43" s="41">
        <f>IF($A43="","",INDEX(tblItems[PalletsNeeded],35))</f>
        <v/>
      </c>
      <c r="G43" s="41">
        <f>IF($A43="","",COUNTIF(tblLocations[ItemCode],$A43))</f>
        <v/>
      </c>
      <c r="H43" s="43">
        <f>IF($A43="","",SUMIFS(tblLocations[UnitsOnPallet],tblLocations[ItemCode],$A43)+COUNTIFS(tblLocations[ItemCode],$A43,tblLocations[UnitsOnPallet],"")*$E43)</f>
        <v/>
      </c>
      <c r="I43" s="41">
        <f>IF($A43="","",COUNTIFS(tblLocations[ItemCode],$A43,tblLocations[Zone],$C43))</f>
        <v/>
      </c>
      <c r="J43" s="41">
        <f>IF($A43="","",COUNTIFS(tblLocations[ItemCode],$A43,tblLocations[Zone],"&lt;&gt;"&amp;$C43,tblLocations[Zone],"?*"))</f>
        <v/>
      </c>
      <c r="K43" s="41">
        <f>IF($A43="","",IF(INDEX(tblItems[LowStock],35)="LOW","LOW",IF(INDEX(tblItems[Mismatch],35)="Yes","CHECK",IF($J43&gt;0,"WRONG ZONE","OK"))))</f>
        <v/>
      </c>
      <c r="M43" s="54">
        <f t="array" ref="M43">IFERROR(INDEX(tblItems[ItemCode],SMALL(IF(tblItems[LowStock]="LOW",ROW(tblItems[LowStock])-MIN(ROW(tblItems[LowStock]))+1),ROWS(M$25:M43))),"")</f>
        <v/>
      </c>
      <c r="N43" s="42">
        <f>IF(M43="","",INDEX(tblItems[Description],MATCH(M43,tblItems[ItemCode],0))&amp;"")</f>
        <v/>
      </c>
      <c r="O43" s="41">
        <f>IF(M43="","",INDEX(tblItems[PalletsPlaced],MATCH(M43,tblItems[ItemCode],0)))</f>
        <v/>
      </c>
      <c r="P43" s="41">
        <f>IF(M43="","",IF(INDEX(tblItems[ReorderPallets],MATCH(M43,tblItems[ItemCode],0))="",DefaultLowStock,INDEX(tblItems[ReorderPallets],MATCH(M43,tblItems[ItemCode],0))))</f>
        <v/>
      </c>
    </row>
    <row r="44">
      <c r="A44" s="45">
        <f>IFERROR(INDEX(tblItems[ItemCode],36)&amp;"","")</f>
        <v/>
      </c>
      <c r="B44" s="46">
        <f>IF($A44="","",INDEX(tblItems[Description],36)&amp;"")</f>
        <v/>
      </c>
      <c r="C44" s="45">
        <f>IF($A44="","",INDEX(tblItems[Zone],36)&amp;"")</f>
        <v/>
      </c>
      <c r="D44" s="47">
        <f>IF($A44="","",N(INDEX(tblItems[OnHandUnits],36)))</f>
        <v/>
      </c>
      <c r="E44" s="45">
        <f>IF($A44="","",N(INDEX(tblItems[UnitsPerPallet],36)))</f>
        <v/>
      </c>
      <c r="F44" s="45">
        <f>IF($A44="","",INDEX(tblItems[PalletsNeeded],36))</f>
        <v/>
      </c>
      <c r="G44" s="45">
        <f>IF($A44="","",COUNTIF(tblLocations[ItemCode],$A44))</f>
        <v/>
      </c>
      <c r="H44" s="47">
        <f>IF($A44="","",SUMIFS(tblLocations[UnitsOnPallet],tblLocations[ItemCode],$A44)+COUNTIFS(tblLocations[ItemCode],$A44,tblLocations[UnitsOnPallet],"")*$E44)</f>
        <v/>
      </c>
      <c r="I44" s="45">
        <f>IF($A44="","",COUNTIFS(tblLocations[ItemCode],$A44,tblLocations[Zone],$C44))</f>
        <v/>
      </c>
      <c r="J44" s="45">
        <f>IF($A44="","",COUNTIFS(tblLocations[ItemCode],$A44,tblLocations[Zone],"&lt;&gt;"&amp;$C44,tblLocations[Zone],"?*"))</f>
        <v/>
      </c>
      <c r="K44" s="45">
        <f>IF($A44="","",IF(INDEX(tblItems[LowStock],36)="LOW","LOW",IF(INDEX(tblItems[Mismatch],36)="Yes","CHECK",IF($J44&gt;0,"WRONG ZONE","OK"))))</f>
        <v/>
      </c>
      <c r="M44" s="54">
        <f t="array" ref="M44">IFERROR(INDEX(tblItems[ItemCode],SMALL(IF(tblItems[LowStock]="LOW",ROW(tblItems[LowStock])-MIN(ROW(tblItems[LowStock]))+1),ROWS(M$25:M44))),"")</f>
        <v/>
      </c>
      <c r="N44" s="42">
        <f>IF(M44="","",INDEX(tblItems[Description],MATCH(M44,tblItems[ItemCode],0))&amp;"")</f>
        <v/>
      </c>
      <c r="O44" s="41">
        <f>IF(M44="","",INDEX(tblItems[PalletsPlaced],MATCH(M44,tblItems[ItemCode],0)))</f>
        <v/>
      </c>
      <c r="P44" s="41">
        <f>IF(M44="","",IF(INDEX(tblItems[ReorderPallets],MATCH(M44,tblItems[ItemCode],0))="",DefaultLowStock,INDEX(tblItems[ReorderPallets],MATCH(M44,tblItems[ItemCode],0))))</f>
        <v/>
      </c>
    </row>
    <row r="45">
      <c r="A45" s="41">
        <f>IFERROR(INDEX(tblItems[ItemCode],37)&amp;"","")</f>
        <v/>
      </c>
      <c r="B45" s="42">
        <f>IF($A45="","",INDEX(tblItems[Description],37)&amp;"")</f>
        <v/>
      </c>
      <c r="C45" s="41">
        <f>IF($A45="","",INDEX(tblItems[Zone],37)&amp;"")</f>
        <v/>
      </c>
      <c r="D45" s="43">
        <f>IF($A45="","",N(INDEX(tblItems[OnHandUnits],37)))</f>
        <v/>
      </c>
      <c r="E45" s="41">
        <f>IF($A45="","",N(INDEX(tblItems[UnitsPerPallet],37)))</f>
        <v/>
      </c>
      <c r="F45" s="41">
        <f>IF($A45="","",INDEX(tblItems[PalletsNeeded],37))</f>
        <v/>
      </c>
      <c r="G45" s="41">
        <f>IF($A45="","",COUNTIF(tblLocations[ItemCode],$A45))</f>
        <v/>
      </c>
      <c r="H45" s="43">
        <f>IF($A45="","",SUMIFS(tblLocations[UnitsOnPallet],tblLocations[ItemCode],$A45)+COUNTIFS(tblLocations[ItemCode],$A45,tblLocations[UnitsOnPallet],"")*$E45)</f>
        <v/>
      </c>
      <c r="I45" s="41">
        <f>IF($A45="","",COUNTIFS(tblLocations[ItemCode],$A45,tblLocations[Zone],$C45))</f>
        <v/>
      </c>
      <c r="J45" s="41">
        <f>IF($A45="","",COUNTIFS(tblLocations[ItemCode],$A45,tblLocations[Zone],"&lt;&gt;"&amp;$C45,tblLocations[Zone],"?*"))</f>
        <v/>
      </c>
      <c r="K45" s="41">
        <f>IF($A45="","",IF(INDEX(tblItems[LowStock],37)="LOW","LOW",IF(INDEX(tblItems[Mismatch],37)="Yes","CHECK",IF($J45&gt;0,"WRONG ZONE","OK"))))</f>
        <v/>
      </c>
    </row>
    <row r="46">
      <c r="A46" s="45">
        <f>IFERROR(INDEX(tblItems[ItemCode],38)&amp;"","")</f>
        <v/>
      </c>
      <c r="B46" s="46">
        <f>IF($A46="","",INDEX(tblItems[Description],38)&amp;"")</f>
        <v/>
      </c>
      <c r="C46" s="45">
        <f>IF($A46="","",INDEX(tblItems[Zone],38)&amp;"")</f>
        <v/>
      </c>
      <c r="D46" s="47">
        <f>IF($A46="","",N(INDEX(tblItems[OnHandUnits],38)))</f>
        <v/>
      </c>
      <c r="E46" s="45">
        <f>IF($A46="","",N(INDEX(tblItems[UnitsPerPallet],38)))</f>
        <v/>
      </c>
      <c r="F46" s="45">
        <f>IF($A46="","",INDEX(tblItems[PalletsNeeded],38))</f>
        <v/>
      </c>
      <c r="G46" s="45">
        <f>IF($A46="","",COUNTIF(tblLocations[ItemCode],$A46))</f>
        <v/>
      </c>
      <c r="H46" s="47">
        <f>IF($A46="","",SUMIFS(tblLocations[UnitsOnPallet],tblLocations[ItemCode],$A46)+COUNTIFS(tblLocations[ItemCode],$A46,tblLocations[UnitsOnPallet],"")*$E46)</f>
        <v/>
      </c>
      <c r="I46" s="45">
        <f>IF($A46="","",COUNTIFS(tblLocations[ItemCode],$A46,tblLocations[Zone],$C46))</f>
        <v/>
      </c>
      <c r="J46" s="45">
        <f>IF($A46="","",COUNTIFS(tblLocations[ItemCode],$A46,tblLocations[Zone],"&lt;&gt;"&amp;$C46,tblLocations[Zone],"?*"))</f>
        <v/>
      </c>
      <c r="K46" s="45">
        <f>IF($A46="","",IF(INDEX(tblItems[LowStock],38)="LOW","LOW",IF(INDEX(tblItems[Mismatch],38)="Yes","CHECK",IF($J46&gt;0,"WRONG ZONE","OK"))))</f>
        <v/>
      </c>
    </row>
    <row r="47">
      <c r="A47" s="41">
        <f>IFERROR(INDEX(tblItems[ItemCode],39)&amp;"","")</f>
        <v/>
      </c>
      <c r="B47" s="42">
        <f>IF($A47="","",INDEX(tblItems[Description],39)&amp;"")</f>
        <v/>
      </c>
      <c r="C47" s="41">
        <f>IF($A47="","",INDEX(tblItems[Zone],39)&amp;"")</f>
        <v/>
      </c>
      <c r="D47" s="43">
        <f>IF($A47="","",N(INDEX(tblItems[OnHandUnits],39)))</f>
        <v/>
      </c>
      <c r="E47" s="41">
        <f>IF($A47="","",N(INDEX(tblItems[UnitsPerPallet],39)))</f>
        <v/>
      </c>
      <c r="F47" s="41">
        <f>IF($A47="","",INDEX(tblItems[PalletsNeeded],39))</f>
        <v/>
      </c>
      <c r="G47" s="41">
        <f>IF($A47="","",COUNTIF(tblLocations[ItemCode],$A47))</f>
        <v/>
      </c>
      <c r="H47" s="43">
        <f>IF($A47="","",SUMIFS(tblLocations[UnitsOnPallet],tblLocations[ItemCode],$A47)+COUNTIFS(tblLocations[ItemCode],$A47,tblLocations[UnitsOnPallet],"")*$E47)</f>
        <v/>
      </c>
      <c r="I47" s="41">
        <f>IF($A47="","",COUNTIFS(tblLocations[ItemCode],$A47,tblLocations[Zone],$C47))</f>
        <v/>
      </c>
      <c r="J47" s="41">
        <f>IF($A47="","",COUNTIFS(tblLocations[ItemCode],$A47,tblLocations[Zone],"&lt;&gt;"&amp;$C47,tblLocations[Zone],"?*"))</f>
        <v/>
      </c>
      <c r="K47" s="41">
        <f>IF($A47="","",IF(INDEX(tblItems[LowStock],39)="LOW","LOW",IF(INDEX(tblItems[Mismatch],39)="Yes","CHECK",IF($J47&gt;0,"WRONG ZONE","OK"))))</f>
        <v/>
      </c>
    </row>
    <row r="48">
      <c r="A48" s="45">
        <f>IFERROR(INDEX(tblItems[ItemCode],40)&amp;"","")</f>
        <v/>
      </c>
      <c r="B48" s="46">
        <f>IF($A48="","",INDEX(tblItems[Description],40)&amp;"")</f>
        <v/>
      </c>
      <c r="C48" s="45">
        <f>IF($A48="","",INDEX(tblItems[Zone],40)&amp;"")</f>
        <v/>
      </c>
      <c r="D48" s="47">
        <f>IF($A48="","",N(INDEX(tblItems[OnHandUnits],40)))</f>
        <v/>
      </c>
      <c r="E48" s="45">
        <f>IF($A48="","",N(INDEX(tblItems[UnitsPerPallet],40)))</f>
        <v/>
      </c>
      <c r="F48" s="45">
        <f>IF($A48="","",INDEX(tblItems[PalletsNeeded],40))</f>
        <v/>
      </c>
      <c r="G48" s="45">
        <f>IF($A48="","",COUNTIF(tblLocations[ItemCode],$A48))</f>
        <v/>
      </c>
      <c r="H48" s="47">
        <f>IF($A48="","",SUMIFS(tblLocations[UnitsOnPallet],tblLocations[ItemCode],$A48)+COUNTIFS(tblLocations[ItemCode],$A48,tblLocations[UnitsOnPallet],"")*$E48)</f>
        <v/>
      </c>
      <c r="I48" s="45">
        <f>IF($A48="","",COUNTIFS(tblLocations[ItemCode],$A48,tblLocations[Zone],$C48))</f>
        <v/>
      </c>
      <c r="J48" s="45">
        <f>IF($A48="","",COUNTIFS(tblLocations[ItemCode],$A48,tblLocations[Zone],"&lt;&gt;"&amp;$C48,tblLocations[Zone],"?*"))</f>
        <v/>
      </c>
      <c r="K48" s="45">
        <f>IF($A48="","",IF(INDEX(tblItems[LowStock],40)="LOW","LOW",IF(INDEX(tblItems[Mismatch],40)="Yes","CHECK",IF($J48&gt;0,"WRONG ZONE","OK"))))</f>
        <v/>
      </c>
    </row>
    <row r="49">
      <c r="A49" s="41">
        <f>IFERROR(INDEX(tblItems[ItemCode],41)&amp;"","")</f>
        <v/>
      </c>
      <c r="B49" s="42">
        <f>IF($A49="","",INDEX(tblItems[Description],41)&amp;"")</f>
        <v/>
      </c>
      <c r="C49" s="41">
        <f>IF($A49="","",INDEX(tblItems[Zone],41)&amp;"")</f>
        <v/>
      </c>
      <c r="D49" s="43">
        <f>IF($A49="","",N(INDEX(tblItems[OnHandUnits],41)))</f>
        <v/>
      </c>
      <c r="E49" s="41">
        <f>IF($A49="","",N(INDEX(tblItems[UnitsPerPallet],41)))</f>
        <v/>
      </c>
      <c r="F49" s="41">
        <f>IF($A49="","",INDEX(tblItems[PalletsNeeded],41))</f>
        <v/>
      </c>
      <c r="G49" s="41">
        <f>IF($A49="","",COUNTIF(tblLocations[ItemCode],$A49))</f>
        <v/>
      </c>
      <c r="H49" s="43">
        <f>IF($A49="","",SUMIFS(tblLocations[UnitsOnPallet],tblLocations[ItemCode],$A49)+COUNTIFS(tblLocations[ItemCode],$A49,tblLocations[UnitsOnPallet],"")*$E49)</f>
        <v/>
      </c>
      <c r="I49" s="41">
        <f>IF($A49="","",COUNTIFS(tblLocations[ItemCode],$A49,tblLocations[Zone],$C49))</f>
        <v/>
      </c>
      <c r="J49" s="41">
        <f>IF($A49="","",COUNTIFS(tblLocations[ItemCode],$A49,tblLocations[Zone],"&lt;&gt;"&amp;$C49,tblLocations[Zone],"?*"))</f>
        <v/>
      </c>
      <c r="K49" s="41">
        <f>IF($A49="","",IF(INDEX(tblItems[LowStock],41)="LOW","LOW",IF(INDEX(tblItems[Mismatch],41)="Yes","CHECK",IF($J49&gt;0,"WRONG ZONE","OK"))))</f>
        <v/>
      </c>
    </row>
    <row r="50">
      <c r="A50" s="45">
        <f>IFERROR(INDEX(tblItems[ItemCode],42)&amp;"","")</f>
        <v/>
      </c>
      <c r="B50" s="46">
        <f>IF($A50="","",INDEX(tblItems[Description],42)&amp;"")</f>
        <v/>
      </c>
      <c r="C50" s="45">
        <f>IF($A50="","",INDEX(tblItems[Zone],42)&amp;"")</f>
        <v/>
      </c>
      <c r="D50" s="47">
        <f>IF($A50="","",N(INDEX(tblItems[OnHandUnits],42)))</f>
        <v/>
      </c>
      <c r="E50" s="45">
        <f>IF($A50="","",N(INDEX(tblItems[UnitsPerPallet],42)))</f>
        <v/>
      </c>
      <c r="F50" s="45">
        <f>IF($A50="","",INDEX(tblItems[PalletsNeeded],42))</f>
        <v/>
      </c>
      <c r="G50" s="45">
        <f>IF($A50="","",COUNTIF(tblLocations[ItemCode],$A50))</f>
        <v/>
      </c>
      <c r="H50" s="47">
        <f>IF($A50="","",SUMIFS(tblLocations[UnitsOnPallet],tblLocations[ItemCode],$A50)+COUNTIFS(tblLocations[ItemCode],$A50,tblLocations[UnitsOnPallet],"")*$E50)</f>
        <v/>
      </c>
      <c r="I50" s="45">
        <f>IF($A50="","",COUNTIFS(tblLocations[ItemCode],$A50,tblLocations[Zone],$C50))</f>
        <v/>
      </c>
      <c r="J50" s="45">
        <f>IF($A50="","",COUNTIFS(tblLocations[ItemCode],$A50,tblLocations[Zone],"&lt;&gt;"&amp;$C50,tblLocations[Zone],"?*"))</f>
        <v/>
      </c>
      <c r="K50" s="45">
        <f>IF($A50="","",IF(INDEX(tblItems[LowStock],42)="LOW","LOW",IF(INDEX(tblItems[Mismatch],42)="Yes","CHECK",IF($J50&gt;0,"WRONG ZONE","OK"))))</f>
        <v/>
      </c>
    </row>
    <row r="51">
      <c r="A51" s="41">
        <f>IFERROR(INDEX(tblItems[ItemCode],43)&amp;"","")</f>
        <v/>
      </c>
      <c r="B51" s="42">
        <f>IF($A51="","",INDEX(tblItems[Description],43)&amp;"")</f>
        <v/>
      </c>
      <c r="C51" s="41">
        <f>IF($A51="","",INDEX(tblItems[Zone],43)&amp;"")</f>
        <v/>
      </c>
      <c r="D51" s="43">
        <f>IF($A51="","",N(INDEX(tblItems[OnHandUnits],43)))</f>
        <v/>
      </c>
      <c r="E51" s="41">
        <f>IF($A51="","",N(INDEX(tblItems[UnitsPerPallet],43)))</f>
        <v/>
      </c>
      <c r="F51" s="41">
        <f>IF($A51="","",INDEX(tblItems[PalletsNeeded],43))</f>
        <v/>
      </c>
      <c r="G51" s="41">
        <f>IF($A51="","",COUNTIF(tblLocations[ItemCode],$A51))</f>
        <v/>
      </c>
      <c r="H51" s="43">
        <f>IF($A51="","",SUMIFS(tblLocations[UnitsOnPallet],tblLocations[ItemCode],$A51)+COUNTIFS(tblLocations[ItemCode],$A51,tblLocations[UnitsOnPallet],"")*$E51)</f>
        <v/>
      </c>
      <c r="I51" s="41">
        <f>IF($A51="","",COUNTIFS(tblLocations[ItemCode],$A51,tblLocations[Zone],$C51))</f>
        <v/>
      </c>
      <c r="J51" s="41">
        <f>IF($A51="","",COUNTIFS(tblLocations[ItemCode],$A51,tblLocations[Zone],"&lt;&gt;"&amp;$C51,tblLocations[Zone],"?*"))</f>
        <v/>
      </c>
      <c r="K51" s="41">
        <f>IF($A51="","",IF(INDEX(tblItems[LowStock],43)="LOW","LOW",IF(INDEX(tblItems[Mismatch],43)="Yes","CHECK",IF($J51&gt;0,"WRONG ZONE","OK"))))</f>
        <v/>
      </c>
    </row>
    <row r="52">
      <c r="A52" s="45">
        <f>IFERROR(INDEX(tblItems[ItemCode],44)&amp;"","")</f>
        <v/>
      </c>
      <c r="B52" s="46">
        <f>IF($A52="","",INDEX(tblItems[Description],44)&amp;"")</f>
        <v/>
      </c>
      <c r="C52" s="45">
        <f>IF($A52="","",INDEX(tblItems[Zone],44)&amp;"")</f>
        <v/>
      </c>
      <c r="D52" s="47">
        <f>IF($A52="","",N(INDEX(tblItems[OnHandUnits],44)))</f>
        <v/>
      </c>
      <c r="E52" s="45">
        <f>IF($A52="","",N(INDEX(tblItems[UnitsPerPallet],44)))</f>
        <v/>
      </c>
      <c r="F52" s="45">
        <f>IF($A52="","",INDEX(tblItems[PalletsNeeded],44))</f>
        <v/>
      </c>
      <c r="G52" s="45">
        <f>IF($A52="","",COUNTIF(tblLocations[ItemCode],$A52))</f>
        <v/>
      </c>
      <c r="H52" s="47">
        <f>IF($A52="","",SUMIFS(tblLocations[UnitsOnPallet],tblLocations[ItemCode],$A52)+COUNTIFS(tblLocations[ItemCode],$A52,tblLocations[UnitsOnPallet],"")*$E52)</f>
        <v/>
      </c>
      <c r="I52" s="45">
        <f>IF($A52="","",COUNTIFS(tblLocations[ItemCode],$A52,tblLocations[Zone],$C52))</f>
        <v/>
      </c>
      <c r="J52" s="45">
        <f>IF($A52="","",COUNTIFS(tblLocations[ItemCode],$A52,tblLocations[Zone],"&lt;&gt;"&amp;$C52,tblLocations[Zone],"?*"))</f>
        <v/>
      </c>
      <c r="K52" s="45">
        <f>IF($A52="","",IF(INDEX(tblItems[LowStock],44)="LOW","LOW",IF(INDEX(tblItems[Mismatch],44)="Yes","CHECK",IF($J52&gt;0,"WRONG ZONE","OK"))))</f>
        <v/>
      </c>
    </row>
    <row r="53">
      <c r="A53" s="41">
        <f>IFERROR(INDEX(tblItems[ItemCode],45)&amp;"","")</f>
        <v/>
      </c>
      <c r="B53" s="42">
        <f>IF($A53="","",INDEX(tblItems[Description],45)&amp;"")</f>
        <v/>
      </c>
      <c r="C53" s="41">
        <f>IF($A53="","",INDEX(tblItems[Zone],45)&amp;"")</f>
        <v/>
      </c>
      <c r="D53" s="43">
        <f>IF($A53="","",N(INDEX(tblItems[OnHandUnits],45)))</f>
        <v/>
      </c>
      <c r="E53" s="41">
        <f>IF($A53="","",N(INDEX(tblItems[UnitsPerPallet],45)))</f>
        <v/>
      </c>
      <c r="F53" s="41">
        <f>IF($A53="","",INDEX(tblItems[PalletsNeeded],45))</f>
        <v/>
      </c>
      <c r="G53" s="41">
        <f>IF($A53="","",COUNTIF(tblLocations[ItemCode],$A53))</f>
        <v/>
      </c>
      <c r="H53" s="43">
        <f>IF($A53="","",SUMIFS(tblLocations[UnitsOnPallet],tblLocations[ItemCode],$A53)+COUNTIFS(tblLocations[ItemCode],$A53,tblLocations[UnitsOnPallet],"")*$E53)</f>
        <v/>
      </c>
      <c r="I53" s="41">
        <f>IF($A53="","",COUNTIFS(tblLocations[ItemCode],$A53,tblLocations[Zone],$C53))</f>
        <v/>
      </c>
      <c r="J53" s="41">
        <f>IF($A53="","",COUNTIFS(tblLocations[ItemCode],$A53,tblLocations[Zone],"&lt;&gt;"&amp;$C53,tblLocations[Zone],"?*"))</f>
        <v/>
      </c>
      <c r="K53" s="41">
        <f>IF($A53="","",IF(INDEX(tblItems[LowStock],45)="LOW","LOW",IF(INDEX(tblItems[Mismatch],45)="Yes","CHECK",IF($J53&gt;0,"WRONG ZONE","OK"))))</f>
        <v/>
      </c>
    </row>
    <row r="54">
      <c r="A54" s="45">
        <f>IFERROR(INDEX(tblItems[ItemCode],46)&amp;"","")</f>
        <v/>
      </c>
      <c r="B54" s="46">
        <f>IF($A54="","",INDEX(tblItems[Description],46)&amp;"")</f>
        <v/>
      </c>
      <c r="C54" s="45">
        <f>IF($A54="","",INDEX(tblItems[Zone],46)&amp;"")</f>
        <v/>
      </c>
      <c r="D54" s="47">
        <f>IF($A54="","",N(INDEX(tblItems[OnHandUnits],46)))</f>
        <v/>
      </c>
      <c r="E54" s="45">
        <f>IF($A54="","",N(INDEX(tblItems[UnitsPerPallet],46)))</f>
        <v/>
      </c>
      <c r="F54" s="45">
        <f>IF($A54="","",INDEX(tblItems[PalletsNeeded],46))</f>
        <v/>
      </c>
      <c r="G54" s="45">
        <f>IF($A54="","",COUNTIF(tblLocations[ItemCode],$A54))</f>
        <v/>
      </c>
      <c r="H54" s="47">
        <f>IF($A54="","",SUMIFS(tblLocations[UnitsOnPallet],tblLocations[ItemCode],$A54)+COUNTIFS(tblLocations[ItemCode],$A54,tblLocations[UnitsOnPallet],"")*$E54)</f>
        <v/>
      </c>
      <c r="I54" s="45">
        <f>IF($A54="","",COUNTIFS(tblLocations[ItemCode],$A54,tblLocations[Zone],$C54))</f>
        <v/>
      </c>
      <c r="J54" s="45">
        <f>IF($A54="","",COUNTIFS(tblLocations[ItemCode],$A54,tblLocations[Zone],"&lt;&gt;"&amp;$C54,tblLocations[Zone],"?*"))</f>
        <v/>
      </c>
      <c r="K54" s="45">
        <f>IF($A54="","",IF(INDEX(tblItems[LowStock],46)="LOW","LOW",IF(INDEX(tblItems[Mismatch],46)="Yes","CHECK",IF($J54&gt;0,"WRONG ZONE","OK"))))</f>
        <v/>
      </c>
    </row>
    <row r="55">
      <c r="A55" s="41">
        <f>IFERROR(INDEX(tblItems[ItemCode],47)&amp;"","")</f>
        <v/>
      </c>
      <c r="B55" s="42">
        <f>IF($A55="","",INDEX(tblItems[Description],47)&amp;"")</f>
        <v/>
      </c>
      <c r="C55" s="41">
        <f>IF($A55="","",INDEX(tblItems[Zone],47)&amp;"")</f>
        <v/>
      </c>
      <c r="D55" s="43">
        <f>IF($A55="","",N(INDEX(tblItems[OnHandUnits],47)))</f>
        <v/>
      </c>
      <c r="E55" s="41">
        <f>IF($A55="","",N(INDEX(tblItems[UnitsPerPallet],47)))</f>
        <v/>
      </c>
      <c r="F55" s="41">
        <f>IF($A55="","",INDEX(tblItems[PalletsNeeded],47))</f>
        <v/>
      </c>
      <c r="G55" s="41">
        <f>IF($A55="","",COUNTIF(tblLocations[ItemCode],$A55))</f>
        <v/>
      </c>
      <c r="H55" s="43">
        <f>IF($A55="","",SUMIFS(tblLocations[UnitsOnPallet],tblLocations[ItemCode],$A55)+COUNTIFS(tblLocations[ItemCode],$A55,tblLocations[UnitsOnPallet],"")*$E55)</f>
        <v/>
      </c>
      <c r="I55" s="41">
        <f>IF($A55="","",COUNTIFS(tblLocations[ItemCode],$A55,tblLocations[Zone],$C55))</f>
        <v/>
      </c>
      <c r="J55" s="41">
        <f>IF($A55="","",COUNTIFS(tblLocations[ItemCode],$A55,tblLocations[Zone],"&lt;&gt;"&amp;$C55,tblLocations[Zone],"?*"))</f>
        <v/>
      </c>
      <c r="K55" s="41">
        <f>IF($A55="","",IF(INDEX(tblItems[LowStock],47)="LOW","LOW",IF(INDEX(tblItems[Mismatch],47)="Yes","CHECK",IF($J55&gt;0,"WRONG ZONE","OK"))))</f>
        <v/>
      </c>
    </row>
    <row r="56">
      <c r="A56" s="45">
        <f>IFERROR(INDEX(tblItems[ItemCode],48)&amp;"","")</f>
        <v/>
      </c>
      <c r="B56" s="46">
        <f>IF($A56="","",INDEX(tblItems[Description],48)&amp;"")</f>
        <v/>
      </c>
      <c r="C56" s="45">
        <f>IF($A56="","",INDEX(tblItems[Zone],48)&amp;"")</f>
        <v/>
      </c>
      <c r="D56" s="47">
        <f>IF($A56="","",N(INDEX(tblItems[OnHandUnits],48)))</f>
        <v/>
      </c>
      <c r="E56" s="45">
        <f>IF($A56="","",N(INDEX(tblItems[UnitsPerPallet],48)))</f>
        <v/>
      </c>
      <c r="F56" s="45">
        <f>IF($A56="","",INDEX(tblItems[PalletsNeeded],48))</f>
        <v/>
      </c>
      <c r="G56" s="45">
        <f>IF($A56="","",COUNTIF(tblLocations[ItemCode],$A56))</f>
        <v/>
      </c>
      <c r="H56" s="47">
        <f>IF($A56="","",SUMIFS(tblLocations[UnitsOnPallet],tblLocations[ItemCode],$A56)+COUNTIFS(tblLocations[ItemCode],$A56,tblLocations[UnitsOnPallet],"")*$E56)</f>
        <v/>
      </c>
      <c r="I56" s="45">
        <f>IF($A56="","",COUNTIFS(tblLocations[ItemCode],$A56,tblLocations[Zone],$C56))</f>
        <v/>
      </c>
      <c r="J56" s="45">
        <f>IF($A56="","",COUNTIFS(tblLocations[ItemCode],$A56,tblLocations[Zone],"&lt;&gt;"&amp;$C56,tblLocations[Zone],"?*"))</f>
        <v/>
      </c>
      <c r="K56" s="45">
        <f>IF($A56="","",IF(INDEX(tblItems[LowStock],48)="LOW","LOW",IF(INDEX(tblItems[Mismatch],48)="Yes","CHECK",IF($J56&gt;0,"WRONG ZONE","OK"))))</f>
        <v/>
      </c>
    </row>
    <row r="57">
      <c r="A57" s="41">
        <f>IFERROR(INDEX(tblItems[ItemCode],49)&amp;"","")</f>
        <v/>
      </c>
      <c r="B57" s="42">
        <f>IF($A57="","",INDEX(tblItems[Description],49)&amp;"")</f>
        <v/>
      </c>
      <c r="C57" s="41">
        <f>IF($A57="","",INDEX(tblItems[Zone],49)&amp;"")</f>
        <v/>
      </c>
      <c r="D57" s="43">
        <f>IF($A57="","",N(INDEX(tblItems[OnHandUnits],49)))</f>
        <v/>
      </c>
      <c r="E57" s="41">
        <f>IF($A57="","",N(INDEX(tblItems[UnitsPerPallet],49)))</f>
        <v/>
      </c>
      <c r="F57" s="41">
        <f>IF($A57="","",INDEX(tblItems[PalletsNeeded],49))</f>
        <v/>
      </c>
      <c r="G57" s="41">
        <f>IF($A57="","",COUNTIF(tblLocations[ItemCode],$A57))</f>
        <v/>
      </c>
      <c r="H57" s="43">
        <f>IF($A57="","",SUMIFS(tblLocations[UnitsOnPallet],tblLocations[ItemCode],$A57)+COUNTIFS(tblLocations[ItemCode],$A57,tblLocations[UnitsOnPallet],"")*$E57)</f>
        <v/>
      </c>
      <c r="I57" s="41">
        <f>IF($A57="","",COUNTIFS(tblLocations[ItemCode],$A57,tblLocations[Zone],$C57))</f>
        <v/>
      </c>
      <c r="J57" s="41">
        <f>IF($A57="","",COUNTIFS(tblLocations[ItemCode],$A57,tblLocations[Zone],"&lt;&gt;"&amp;$C57,tblLocations[Zone],"?*"))</f>
        <v/>
      </c>
      <c r="K57" s="41">
        <f>IF($A57="","",IF(INDEX(tblItems[LowStock],49)="LOW","LOW",IF(INDEX(tblItems[Mismatch],49)="Yes","CHECK",IF($J57&gt;0,"WRONG ZONE","OK"))))</f>
        <v/>
      </c>
    </row>
    <row r="58">
      <c r="A58" s="45">
        <f>IFERROR(INDEX(tblItems[ItemCode],50)&amp;"","")</f>
        <v/>
      </c>
      <c r="B58" s="46">
        <f>IF($A58="","",INDEX(tblItems[Description],50)&amp;"")</f>
        <v/>
      </c>
      <c r="C58" s="45">
        <f>IF($A58="","",INDEX(tblItems[Zone],50)&amp;"")</f>
        <v/>
      </c>
      <c r="D58" s="47">
        <f>IF($A58="","",N(INDEX(tblItems[OnHandUnits],50)))</f>
        <v/>
      </c>
      <c r="E58" s="45">
        <f>IF($A58="","",N(INDEX(tblItems[UnitsPerPallet],50)))</f>
        <v/>
      </c>
      <c r="F58" s="45">
        <f>IF($A58="","",INDEX(tblItems[PalletsNeeded],50))</f>
        <v/>
      </c>
      <c r="G58" s="45">
        <f>IF($A58="","",COUNTIF(tblLocations[ItemCode],$A58))</f>
        <v/>
      </c>
      <c r="H58" s="47">
        <f>IF($A58="","",SUMIFS(tblLocations[UnitsOnPallet],tblLocations[ItemCode],$A58)+COUNTIFS(tblLocations[ItemCode],$A58,tblLocations[UnitsOnPallet],"")*$E58)</f>
        <v/>
      </c>
      <c r="I58" s="45">
        <f>IF($A58="","",COUNTIFS(tblLocations[ItemCode],$A58,tblLocations[Zone],$C58))</f>
        <v/>
      </c>
      <c r="J58" s="45">
        <f>IF($A58="","",COUNTIFS(tblLocations[ItemCode],$A58,tblLocations[Zone],"&lt;&gt;"&amp;$C58,tblLocations[Zone],"?*"))</f>
        <v/>
      </c>
      <c r="K58" s="45">
        <f>IF($A58="","",IF(INDEX(tblItems[LowStock],50)="LOW","LOW",IF(INDEX(tblItems[Mismatch],50)="Yes","CHECK",IF($J58&gt;0,"WRONG ZONE","OK"))))</f>
        <v/>
      </c>
    </row>
    <row r="59">
      <c r="A59" s="41">
        <f>IFERROR(INDEX(tblItems[ItemCode],51)&amp;"","")</f>
        <v/>
      </c>
      <c r="B59" s="42">
        <f>IF($A59="","",INDEX(tblItems[Description],51)&amp;"")</f>
        <v/>
      </c>
      <c r="C59" s="41">
        <f>IF($A59="","",INDEX(tblItems[Zone],51)&amp;"")</f>
        <v/>
      </c>
      <c r="D59" s="43">
        <f>IF($A59="","",N(INDEX(tblItems[OnHandUnits],51)))</f>
        <v/>
      </c>
      <c r="E59" s="41">
        <f>IF($A59="","",N(INDEX(tblItems[UnitsPerPallet],51)))</f>
        <v/>
      </c>
      <c r="F59" s="41">
        <f>IF($A59="","",INDEX(tblItems[PalletsNeeded],51))</f>
        <v/>
      </c>
      <c r="G59" s="41">
        <f>IF($A59="","",COUNTIF(tblLocations[ItemCode],$A59))</f>
        <v/>
      </c>
      <c r="H59" s="43">
        <f>IF($A59="","",SUMIFS(tblLocations[UnitsOnPallet],tblLocations[ItemCode],$A59)+COUNTIFS(tblLocations[ItemCode],$A59,tblLocations[UnitsOnPallet],"")*$E59)</f>
        <v/>
      </c>
      <c r="I59" s="41">
        <f>IF($A59="","",COUNTIFS(tblLocations[ItemCode],$A59,tblLocations[Zone],$C59))</f>
        <v/>
      </c>
      <c r="J59" s="41">
        <f>IF($A59="","",COUNTIFS(tblLocations[ItemCode],$A59,tblLocations[Zone],"&lt;&gt;"&amp;$C59,tblLocations[Zone],"?*"))</f>
        <v/>
      </c>
      <c r="K59" s="41">
        <f>IF($A59="","",IF(INDEX(tblItems[LowStock],51)="LOW","LOW",IF(INDEX(tblItems[Mismatch],51)="Yes","CHECK",IF($J59&gt;0,"WRONG ZONE","OK"))))</f>
        <v/>
      </c>
    </row>
    <row r="60">
      <c r="A60" s="45">
        <f>IFERROR(INDEX(tblItems[ItemCode],52)&amp;"","")</f>
        <v/>
      </c>
      <c r="B60" s="46">
        <f>IF($A60="","",INDEX(tblItems[Description],52)&amp;"")</f>
        <v/>
      </c>
      <c r="C60" s="45">
        <f>IF($A60="","",INDEX(tblItems[Zone],52)&amp;"")</f>
        <v/>
      </c>
      <c r="D60" s="47">
        <f>IF($A60="","",N(INDEX(tblItems[OnHandUnits],52)))</f>
        <v/>
      </c>
      <c r="E60" s="45">
        <f>IF($A60="","",N(INDEX(tblItems[UnitsPerPallet],52)))</f>
        <v/>
      </c>
      <c r="F60" s="45">
        <f>IF($A60="","",INDEX(tblItems[PalletsNeeded],52))</f>
        <v/>
      </c>
      <c r="G60" s="45">
        <f>IF($A60="","",COUNTIF(tblLocations[ItemCode],$A60))</f>
        <v/>
      </c>
      <c r="H60" s="47">
        <f>IF($A60="","",SUMIFS(tblLocations[UnitsOnPallet],tblLocations[ItemCode],$A60)+COUNTIFS(tblLocations[ItemCode],$A60,tblLocations[UnitsOnPallet],"")*$E60)</f>
        <v/>
      </c>
      <c r="I60" s="45">
        <f>IF($A60="","",COUNTIFS(tblLocations[ItemCode],$A60,tblLocations[Zone],$C60))</f>
        <v/>
      </c>
      <c r="J60" s="45">
        <f>IF($A60="","",COUNTIFS(tblLocations[ItemCode],$A60,tblLocations[Zone],"&lt;&gt;"&amp;$C60,tblLocations[Zone],"?*"))</f>
        <v/>
      </c>
      <c r="K60" s="45">
        <f>IF($A60="","",IF(INDEX(tblItems[LowStock],52)="LOW","LOW",IF(INDEX(tblItems[Mismatch],52)="Yes","CHECK",IF($J60&gt;0,"WRONG ZONE","OK"))))</f>
        <v/>
      </c>
    </row>
    <row r="61">
      <c r="A61" s="41">
        <f>IFERROR(INDEX(tblItems[ItemCode],53)&amp;"","")</f>
        <v/>
      </c>
      <c r="B61" s="42">
        <f>IF($A61="","",INDEX(tblItems[Description],53)&amp;"")</f>
        <v/>
      </c>
      <c r="C61" s="41">
        <f>IF($A61="","",INDEX(tblItems[Zone],53)&amp;"")</f>
        <v/>
      </c>
      <c r="D61" s="43">
        <f>IF($A61="","",N(INDEX(tblItems[OnHandUnits],53)))</f>
        <v/>
      </c>
      <c r="E61" s="41">
        <f>IF($A61="","",N(INDEX(tblItems[UnitsPerPallet],53)))</f>
        <v/>
      </c>
      <c r="F61" s="41">
        <f>IF($A61="","",INDEX(tblItems[PalletsNeeded],53))</f>
        <v/>
      </c>
      <c r="G61" s="41">
        <f>IF($A61="","",COUNTIF(tblLocations[ItemCode],$A61))</f>
        <v/>
      </c>
      <c r="H61" s="43">
        <f>IF($A61="","",SUMIFS(tblLocations[UnitsOnPallet],tblLocations[ItemCode],$A61)+COUNTIFS(tblLocations[ItemCode],$A61,tblLocations[UnitsOnPallet],"")*$E61)</f>
        <v/>
      </c>
      <c r="I61" s="41">
        <f>IF($A61="","",COUNTIFS(tblLocations[ItemCode],$A61,tblLocations[Zone],$C61))</f>
        <v/>
      </c>
      <c r="J61" s="41">
        <f>IF($A61="","",COUNTIFS(tblLocations[ItemCode],$A61,tblLocations[Zone],"&lt;&gt;"&amp;$C61,tblLocations[Zone],"?*"))</f>
        <v/>
      </c>
      <c r="K61" s="41">
        <f>IF($A61="","",IF(INDEX(tblItems[LowStock],53)="LOW","LOW",IF(INDEX(tblItems[Mismatch],53)="Yes","CHECK",IF($J61&gt;0,"WRONG ZONE","OK"))))</f>
        <v/>
      </c>
    </row>
    <row r="62">
      <c r="A62" s="45">
        <f>IFERROR(INDEX(tblItems[ItemCode],54)&amp;"","")</f>
        <v/>
      </c>
      <c r="B62" s="46">
        <f>IF($A62="","",INDEX(tblItems[Description],54)&amp;"")</f>
        <v/>
      </c>
      <c r="C62" s="45">
        <f>IF($A62="","",INDEX(tblItems[Zone],54)&amp;"")</f>
        <v/>
      </c>
      <c r="D62" s="47">
        <f>IF($A62="","",N(INDEX(tblItems[OnHandUnits],54)))</f>
        <v/>
      </c>
      <c r="E62" s="45">
        <f>IF($A62="","",N(INDEX(tblItems[UnitsPerPallet],54)))</f>
        <v/>
      </c>
      <c r="F62" s="45">
        <f>IF($A62="","",INDEX(tblItems[PalletsNeeded],54))</f>
        <v/>
      </c>
      <c r="G62" s="45">
        <f>IF($A62="","",COUNTIF(tblLocations[ItemCode],$A62))</f>
        <v/>
      </c>
      <c r="H62" s="47">
        <f>IF($A62="","",SUMIFS(tblLocations[UnitsOnPallet],tblLocations[ItemCode],$A62)+COUNTIFS(tblLocations[ItemCode],$A62,tblLocations[UnitsOnPallet],"")*$E62)</f>
        <v/>
      </c>
      <c r="I62" s="45">
        <f>IF($A62="","",COUNTIFS(tblLocations[ItemCode],$A62,tblLocations[Zone],$C62))</f>
        <v/>
      </c>
      <c r="J62" s="45">
        <f>IF($A62="","",COUNTIFS(tblLocations[ItemCode],$A62,tblLocations[Zone],"&lt;&gt;"&amp;$C62,tblLocations[Zone],"?*"))</f>
        <v/>
      </c>
      <c r="K62" s="45">
        <f>IF($A62="","",IF(INDEX(tblItems[LowStock],54)="LOW","LOW",IF(INDEX(tblItems[Mismatch],54)="Yes","CHECK",IF($J62&gt;0,"WRONG ZONE","OK"))))</f>
        <v/>
      </c>
    </row>
    <row r="63">
      <c r="A63" s="41">
        <f>IFERROR(INDEX(tblItems[ItemCode],55)&amp;"","")</f>
        <v/>
      </c>
      <c r="B63" s="42">
        <f>IF($A63="","",INDEX(tblItems[Description],55)&amp;"")</f>
        <v/>
      </c>
      <c r="C63" s="41">
        <f>IF($A63="","",INDEX(tblItems[Zone],55)&amp;"")</f>
        <v/>
      </c>
      <c r="D63" s="43">
        <f>IF($A63="","",N(INDEX(tblItems[OnHandUnits],55)))</f>
        <v/>
      </c>
      <c r="E63" s="41">
        <f>IF($A63="","",N(INDEX(tblItems[UnitsPerPallet],55)))</f>
        <v/>
      </c>
      <c r="F63" s="41">
        <f>IF($A63="","",INDEX(tblItems[PalletsNeeded],55))</f>
        <v/>
      </c>
      <c r="G63" s="41">
        <f>IF($A63="","",COUNTIF(tblLocations[ItemCode],$A63))</f>
        <v/>
      </c>
      <c r="H63" s="43">
        <f>IF($A63="","",SUMIFS(tblLocations[UnitsOnPallet],tblLocations[ItemCode],$A63)+COUNTIFS(tblLocations[ItemCode],$A63,tblLocations[UnitsOnPallet],"")*$E63)</f>
        <v/>
      </c>
      <c r="I63" s="41">
        <f>IF($A63="","",COUNTIFS(tblLocations[ItemCode],$A63,tblLocations[Zone],$C63))</f>
        <v/>
      </c>
      <c r="J63" s="41">
        <f>IF($A63="","",COUNTIFS(tblLocations[ItemCode],$A63,tblLocations[Zone],"&lt;&gt;"&amp;$C63,tblLocations[Zone],"?*"))</f>
        <v/>
      </c>
      <c r="K63" s="41">
        <f>IF($A63="","",IF(INDEX(tblItems[LowStock],55)="LOW","LOW",IF(INDEX(tblItems[Mismatch],55)="Yes","CHECK",IF($J63&gt;0,"WRONG ZONE","OK"))))</f>
        <v/>
      </c>
    </row>
    <row r="64">
      <c r="A64" s="45">
        <f>IFERROR(INDEX(tblItems[ItemCode],56)&amp;"","")</f>
        <v/>
      </c>
      <c r="B64" s="46">
        <f>IF($A64="","",INDEX(tblItems[Description],56)&amp;"")</f>
        <v/>
      </c>
      <c r="C64" s="45">
        <f>IF($A64="","",INDEX(tblItems[Zone],56)&amp;"")</f>
        <v/>
      </c>
      <c r="D64" s="47">
        <f>IF($A64="","",N(INDEX(tblItems[OnHandUnits],56)))</f>
        <v/>
      </c>
      <c r="E64" s="45">
        <f>IF($A64="","",N(INDEX(tblItems[UnitsPerPallet],56)))</f>
        <v/>
      </c>
      <c r="F64" s="45">
        <f>IF($A64="","",INDEX(tblItems[PalletsNeeded],56))</f>
        <v/>
      </c>
      <c r="G64" s="45">
        <f>IF($A64="","",COUNTIF(tblLocations[ItemCode],$A64))</f>
        <v/>
      </c>
      <c r="H64" s="47">
        <f>IF($A64="","",SUMIFS(tblLocations[UnitsOnPallet],tblLocations[ItemCode],$A64)+COUNTIFS(tblLocations[ItemCode],$A64,tblLocations[UnitsOnPallet],"")*$E64)</f>
        <v/>
      </c>
      <c r="I64" s="45">
        <f>IF($A64="","",COUNTIFS(tblLocations[ItemCode],$A64,tblLocations[Zone],$C64))</f>
        <v/>
      </c>
      <c r="J64" s="45">
        <f>IF($A64="","",COUNTIFS(tblLocations[ItemCode],$A64,tblLocations[Zone],"&lt;&gt;"&amp;$C64,tblLocations[Zone],"?*"))</f>
        <v/>
      </c>
      <c r="K64" s="45">
        <f>IF($A64="","",IF(INDEX(tblItems[LowStock],56)="LOW","LOW",IF(INDEX(tblItems[Mismatch],56)="Yes","CHECK",IF($J64&gt;0,"WRONG ZONE","OK"))))</f>
        <v/>
      </c>
    </row>
    <row r="65">
      <c r="A65" s="41">
        <f>IFERROR(INDEX(tblItems[ItemCode],57)&amp;"","")</f>
        <v/>
      </c>
      <c r="B65" s="42">
        <f>IF($A65="","",INDEX(tblItems[Description],57)&amp;"")</f>
        <v/>
      </c>
      <c r="C65" s="41">
        <f>IF($A65="","",INDEX(tblItems[Zone],57)&amp;"")</f>
        <v/>
      </c>
      <c r="D65" s="43">
        <f>IF($A65="","",N(INDEX(tblItems[OnHandUnits],57)))</f>
        <v/>
      </c>
      <c r="E65" s="41">
        <f>IF($A65="","",N(INDEX(tblItems[UnitsPerPallet],57)))</f>
        <v/>
      </c>
      <c r="F65" s="41">
        <f>IF($A65="","",INDEX(tblItems[PalletsNeeded],57))</f>
        <v/>
      </c>
      <c r="G65" s="41">
        <f>IF($A65="","",COUNTIF(tblLocations[ItemCode],$A65))</f>
        <v/>
      </c>
      <c r="H65" s="43">
        <f>IF($A65="","",SUMIFS(tblLocations[UnitsOnPallet],tblLocations[ItemCode],$A65)+COUNTIFS(tblLocations[ItemCode],$A65,tblLocations[UnitsOnPallet],"")*$E65)</f>
        <v/>
      </c>
      <c r="I65" s="41">
        <f>IF($A65="","",COUNTIFS(tblLocations[ItemCode],$A65,tblLocations[Zone],$C65))</f>
        <v/>
      </c>
      <c r="J65" s="41">
        <f>IF($A65="","",COUNTIFS(tblLocations[ItemCode],$A65,tblLocations[Zone],"&lt;&gt;"&amp;$C65,tblLocations[Zone],"?*"))</f>
        <v/>
      </c>
      <c r="K65" s="41">
        <f>IF($A65="","",IF(INDEX(tblItems[LowStock],57)="LOW","LOW",IF(INDEX(tblItems[Mismatch],57)="Yes","CHECK",IF($J65&gt;0,"WRONG ZONE","OK"))))</f>
        <v/>
      </c>
    </row>
    <row r="66">
      <c r="A66" s="45">
        <f>IFERROR(INDEX(tblItems[ItemCode],58)&amp;"","")</f>
        <v/>
      </c>
      <c r="B66" s="46">
        <f>IF($A66="","",INDEX(tblItems[Description],58)&amp;"")</f>
        <v/>
      </c>
      <c r="C66" s="45">
        <f>IF($A66="","",INDEX(tblItems[Zone],58)&amp;"")</f>
        <v/>
      </c>
      <c r="D66" s="47">
        <f>IF($A66="","",N(INDEX(tblItems[OnHandUnits],58)))</f>
        <v/>
      </c>
      <c r="E66" s="45">
        <f>IF($A66="","",N(INDEX(tblItems[UnitsPerPallet],58)))</f>
        <v/>
      </c>
      <c r="F66" s="45">
        <f>IF($A66="","",INDEX(tblItems[PalletsNeeded],58))</f>
        <v/>
      </c>
      <c r="G66" s="45">
        <f>IF($A66="","",COUNTIF(tblLocations[ItemCode],$A66))</f>
        <v/>
      </c>
      <c r="H66" s="47">
        <f>IF($A66="","",SUMIFS(tblLocations[UnitsOnPallet],tblLocations[ItemCode],$A66)+COUNTIFS(tblLocations[ItemCode],$A66,tblLocations[UnitsOnPallet],"")*$E66)</f>
        <v/>
      </c>
      <c r="I66" s="45">
        <f>IF($A66="","",COUNTIFS(tblLocations[ItemCode],$A66,tblLocations[Zone],$C66))</f>
        <v/>
      </c>
      <c r="J66" s="45">
        <f>IF($A66="","",COUNTIFS(tblLocations[ItemCode],$A66,tblLocations[Zone],"&lt;&gt;"&amp;$C66,tblLocations[Zone],"?*"))</f>
        <v/>
      </c>
      <c r="K66" s="45">
        <f>IF($A66="","",IF(INDEX(tblItems[LowStock],58)="LOW","LOW",IF(INDEX(tblItems[Mismatch],58)="Yes","CHECK",IF($J66&gt;0,"WRONG ZONE","OK"))))</f>
        <v/>
      </c>
    </row>
    <row r="67">
      <c r="A67" s="41">
        <f>IFERROR(INDEX(tblItems[ItemCode],59)&amp;"","")</f>
        <v/>
      </c>
      <c r="B67" s="42">
        <f>IF($A67="","",INDEX(tblItems[Description],59)&amp;"")</f>
        <v/>
      </c>
      <c r="C67" s="41">
        <f>IF($A67="","",INDEX(tblItems[Zone],59)&amp;"")</f>
        <v/>
      </c>
      <c r="D67" s="43">
        <f>IF($A67="","",N(INDEX(tblItems[OnHandUnits],59)))</f>
        <v/>
      </c>
      <c r="E67" s="41">
        <f>IF($A67="","",N(INDEX(tblItems[UnitsPerPallet],59)))</f>
        <v/>
      </c>
      <c r="F67" s="41">
        <f>IF($A67="","",INDEX(tblItems[PalletsNeeded],59))</f>
        <v/>
      </c>
      <c r="G67" s="41">
        <f>IF($A67="","",COUNTIF(tblLocations[ItemCode],$A67))</f>
        <v/>
      </c>
      <c r="H67" s="43">
        <f>IF($A67="","",SUMIFS(tblLocations[UnitsOnPallet],tblLocations[ItemCode],$A67)+COUNTIFS(tblLocations[ItemCode],$A67,tblLocations[UnitsOnPallet],"")*$E67)</f>
        <v/>
      </c>
      <c r="I67" s="41">
        <f>IF($A67="","",COUNTIFS(tblLocations[ItemCode],$A67,tblLocations[Zone],$C67))</f>
        <v/>
      </c>
      <c r="J67" s="41">
        <f>IF($A67="","",COUNTIFS(tblLocations[ItemCode],$A67,tblLocations[Zone],"&lt;&gt;"&amp;$C67,tblLocations[Zone],"?*"))</f>
        <v/>
      </c>
      <c r="K67" s="41">
        <f>IF($A67="","",IF(INDEX(tblItems[LowStock],59)="LOW","LOW",IF(INDEX(tblItems[Mismatch],59)="Yes","CHECK",IF($J67&gt;0,"WRONG ZONE","OK"))))</f>
        <v/>
      </c>
    </row>
    <row r="68">
      <c r="A68" s="45">
        <f>IFERROR(INDEX(tblItems[ItemCode],60)&amp;"","")</f>
        <v/>
      </c>
      <c r="B68" s="46">
        <f>IF($A68="","",INDEX(tblItems[Description],60)&amp;"")</f>
        <v/>
      </c>
      <c r="C68" s="45">
        <f>IF($A68="","",INDEX(tblItems[Zone],60)&amp;"")</f>
        <v/>
      </c>
      <c r="D68" s="47">
        <f>IF($A68="","",N(INDEX(tblItems[OnHandUnits],60)))</f>
        <v/>
      </c>
      <c r="E68" s="45">
        <f>IF($A68="","",N(INDEX(tblItems[UnitsPerPallet],60)))</f>
        <v/>
      </c>
      <c r="F68" s="45">
        <f>IF($A68="","",INDEX(tblItems[PalletsNeeded],60))</f>
        <v/>
      </c>
      <c r="G68" s="45">
        <f>IF($A68="","",COUNTIF(tblLocations[ItemCode],$A68))</f>
        <v/>
      </c>
      <c r="H68" s="47">
        <f>IF($A68="","",SUMIFS(tblLocations[UnitsOnPallet],tblLocations[ItemCode],$A68)+COUNTIFS(tblLocations[ItemCode],$A68,tblLocations[UnitsOnPallet],"")*$E68)</f>
        <v/>
      </c>
      <c r="I68" s="45">
        <f>IF($A68="","",COUNTIFS(tblLocations[ItemCode],$A68,tblLocations[Zone],$C68))</f>
        <v/>
      </c>
      <c r="J68" s="45">
        <f>IF($A68="","",COUNTIFS(tblLocations[ItemCode],$A68,tblLocations[Zone],"&lt;&gt;"&amp;$C68,tblLocations[Zone],"?*"))</f>
        <v/>
      </c>
      <c r="K68" s="45">
        <f>IF($A68="","",IF(INDEX(tblItems[LowStock],60)="LOW","LOW",IF(INDEX(tblItems[Mismatch],60)="Yes","CHECK",IF($J68&gt;0,"WRONG ZONE","OK"))))</f>
        <v/>
      </c>
    </row>
    <row r="69">
      <c r="A69" s="55" t="inlineStr">
        <is>
          <t>CHECK = pallets placed differs from pallets needed for the on-hand units.  WRONG ZONE = pallets sitting in another zone's space.</t>
        </is>
      </c>
    </row>
  </sheetData>
  <mergeCells count="14">
    <mergeCell ref="A1:T1"/>
    <mergeCell ref="A4:B4"/>
    <mergeCell ref="E4:F4"/>
    <mergeCell ref="G4:H4"/>
    <mergeCell ref="I5:K5"/>
    <mergeCell ref="M4:O4"/>
    <mergeCell ref="C5:D5"/>
    <mergeCell ref="A5:B5"/>
    <mergeCell ref="G5:H5"/>
    <mergeCell ref="E5:F5"/>
    <mergeCell ref="M5:O5"/>
    <mergeCell ref="A2:T2"/>
    <mergeCell ref="I4:K4"/>
    <mergeCell ref="C4:D4"/>
  </mergeCells>
  <conditionalFormatting sqref="K9:K68">
    <cfRule type="expression" priority="1" dxfId="4">
      <formula>OR(K9="LOW",K9="WRONG ZONE")</formula>
    </cfRule>
    <cfRule type="expression" priority="2" dxfId="5">
      <formula>K9="CHECK"</formula>
    </cfRule>
  </conditionalFormatting>
  <conditionalFormatting sqref="R9:R20">
    <cfRule type="expression" priority="3" dxfId="6">
      <formula>AND(ISNUMBER(R9),R9&gt;=0.9)</formula>
    </cfRule>
  </conditionalFormatting>
  <conditionalFormatting sqref="S9:S19">
    <cfRule type="expression" priority="4" dxfId="6">
      <formula>S9="Full"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00"/>
    <outlinePr summaryBelow="1" summaryRight="1"/>
    <pageSetUpPr/>
  </sheetPr>
  <dimension ref="A1:K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8" customWidth="1" min="3" max="3"/>
    <col width="12" customWidth="1" min="4" max="4"/>
    <col width="12" customWidth="1" min="5" max="5"/>
    <col width="12" customWidth="1" min="6" max="6"/>
    <col width="34" customWidth="1" min="7" max="7"/>
    <col width="12" customWidth="1" min="8" max="8"/>
    <col width="12" customWidth="1" min="9" max="9"/>
    <col width="10" customWidth="1" min="10" max="10"/>
    <col width="10" customWidth="1" min="11" max="11"/>
  </cols>
  <sheetData>
    <row r="1" ht="30" customHeight="1">
      <c r="A1" s="33" t="inlineStr">
        <is>
          <t>Items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34" t="inlineStr">
        <is>
          <t>Item master. Fill in the white columns; the grey columns on the right calculate themselves. Replace or delete the two EXAMPLE rows. Add items by typing in the row under the table.</t>
        </is>
      </c>
    </row>
    <row r="3">
      <c r="A3" s="55" t="inlineStr">
        <is>
          <t>Zone must be a code from Config (BOX, BAG, FLM, LBL...). ReorderPallets blank = use DefaultLowStock. Mismatch = pallets placed differs from pallets needed for OnHandUnits.</t>
        </is>
      </c>
    </row>
    <row r="4" ht="30" customHeight="1">
      <c r="A4" s="56" t="inlineStr">
        <is>
          <t>ItemCode</t>
        </is>
      </c>
      <c r="B4" s="56" t="inlineStr">
        <is>
          <t>Description</t>
        </is>
      </c>
      <c r="C4" s="56" t="inlineStr">
        <is>
          <t>Zone</t>
        </is>
      </c>
      <c r="D4" s="56" t="inlineStr">
        <is>
          <t>UnitsPerPallet</t>
        </is>
      </c>
      <c r="E4" s="56" t="inlineStr">
        <is>
          <t>OnHandUnits</t>
        </is>
      </c>
      <c r="F4" s="56" t="inlineStr">
        <is>
          <t>ReorderPallets</t>
        </is>
      </c>
      <c r="G4" s="56" t="inlineStr">
        <is>
          <t>Notes</t>
        </is>
      </c>
      <c r="H4" s="57" t="inlineStr">
        <is>
          <t>PalletsNeeded</t>
        </is>
      </c>
      <c r="I4" s="57" t="inlineStr">
        <is>
          <t>PalletsPlaced</t>
        </is>
      </c>
      <c r="J4" s="57" t="inlineStr">
        <is>
          <t>Mismatch</t>
        </is>
      </c>
      <c r="K4" s="57" t="inlineStr">
        <is>
          <t>LowStock</t>
        </is>
      </c>
    </row>
    <row r="5">
      <c r="A5" s="58" t="inlineStr">
        <is>
          <t>EX-BOX-01</t>
        </is>
      </c>
      <c r="B5" s="58" t="inlineStr">
        <is>
          <t>EXAMPLE - Single wall box 400x300x300</t>
        </is>
      </c>
      <c r="C5" s="58" t="inlineStr">
        <is>
          <t>BOX</t>
        </is>
      </c>
      <c r="D5" s="58" t="n">
        <v>400</v>
      </c>
      <c r="E5" s="58" t="n">
        <v>0</v>
      </c>
      <c r="F5" s="58" t="n"/>
      <c r="G5" s="58" t="inlineStr">
        <is>
          <t>EXAMPLE row - overwrite or delete</t>
        </is>
      </c>
      <c r="H5" s="59">
        <f>IF(OR(tblItems[[#This Row],[ItemCode]]="",N(tblItems[[#This Row],[UnitsPerPallet]])&lt;=0),"",ROUNDUP(N(tblItems[[#This Row],[OnHandUnits]])/tblItems[[#This Row],[UnitsPerPallet]],0))</f>
        <v/>
      </c>
      <c r="I5" s="59">
        <f>IF(tblItems[[#This Row],[ItemCode]]="","",COUNTIF(tblLocations[ItemCode],tblItems[[#This Row],[ItemCode]]))</f>
        <v/>
      </c>
      <c r="J5" s="59">
        <f>IF(OR(tblItems[[#This Row],[ItemCode]]="",tblItems[[#This Row],[PalletsNeeded]]=""),"",IF(tblItems[[#This Row],[PalletsNeeded]]&lt;&gt;tblItems[[#This Row],[PalletsPlaced]],"Yes",""))</f>
        <v/>
      </c>
      <c r="K5" s="59">
        <f>IF(tblItems[[#This Row],[ItemCode]]="","",IF(tblItems[[#This Row],[PalletsPlaced]]&lt;=IF(tblItems[[#This Row],[ReorderPallets]]="",DefaultLowStock,tblItems[[#This Row],[ReorderPallets]]),"LOW",""))</f>
        <v/>
      </c>
    </row>
    <row r="6">
      <c r="A6" s="58" t="inlineStr">
        <is>
          <t>EX-FLM-01</t>
        </is>
      </c>
      <c r="B6" s="58" t="inlineStr">
        <is>
          <t>EXAMPLE - Pallet wrap 23mu 500mm</t>
        </is>
      </c>
      <c r="C6" s="58" t="inlineStr">
        <is>
          <t>FLM</t>
        </is>
      </c>
      <c r="D6" s="58" t="n">
        <v>200</v>
      </c>
      <c r="E6" s="58" t="n">
        <v>0</v>
      </c>
      <c r="F6" s="58" t="n"/>
      <c r="G6" s="58" t="inlineStr">
        <is>
          <t>EXAMPLE row - overwrite or delete</t>
        </is>
      </c>
      <c r="H6" s="59">
        <f>IF(OR(tblItems[[#This Row],[ItemCode]]="",N(tblItems[[#This Row],[UnitsPerPallet]])&lt;=0),"",ROUNDUP(N(tblItems[[#This Row],[OnHandUnits]])/tblItems[[#This Row],[UnitsPerPallet]],0))</f>
        <v/>
      </c>
      <c r="I6" s="59">
        <f>IF(tblItems[[#This Row],[ItemCode]]="","",COUNTIF(tblLocations[ItemCode],tblItems[[#This Row],[ItemCode]]))</f>
        <v/>
      </c>
      <c r="J6" s="59">
        <f>IF(OR(tblItems[[#This Row],[ItemCode]]="",tblItems[[#This Row],[PalletsNeeded]]=""),"",IF(tblItems[[#This Row],[PalletsNeeded]]&lt;&gt;tblItems[[#This Row],[PalletsPlaced]],"Yes",""))</f>
        <v/>
      </c>
      <c r="K6" s="59">
        <f>IF(tblItems[[#This Row],[ItemCode]]="","",IF(tblItems[[#This Row],[PalletsPlaced]]&lt;=IF(tblItems[[#This Row],[ReorderPallets]]="",DefaultLowStock,tblItems[[#This Row],[ReorderPallets]]),"LOW",""))</f>
        <v/>
      </c>
    </row>
  </sheetData>
  <mergeCells count="2">
    <mergeCell ref="A2:K2"/>
    <mergeCell ref="A1:K1"/>
  </mergeCells>
  <conditionalFormatting sqref="K5:K504">
    <cfRule type="expression" priority="1" dxfId="4">
      <formula>K5="LOW"</formula>
    </cfRule>
  </conditionalFormatting>
  <conditionalFormatting sqref="J5:J504">
    <cfRule type="expression" priority="2" dxfId="4">
      <formula>J5="Yes"</formula>
    </cfRule>
  </conditionalFormatting>
  <dataValidations count="2">
    <dataValidation sqref="C5:C504" showDropDown="0" showInputMessage="0" showErrorMessage="0" allowBlank="1" type="list">
      <formula1>ZoneCodes</formula1>
    </dataValidation>
    <dataValidation sqref="D5:F5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00000"/>
    <outlinePr summaryBelow="1" summaryRight="1"/>
    <pageSetUpPr/>
  </sheetPr>
  <dimension ref="A1:I4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8" customWidth="1" min="4" max="4"/>
    <col width="7" customWidth="1" min="5" max="5"/>
    <col width="14" customWidth="1" min="6" max="6"/>
    <col width="13" customWidth="1" min="7" max="7"/>
    <col width="8" customWidth="1" min="8" max="8"/>
    <col width="8" customWidth="1" min="9" max="9"/>
  </cols>
  <sheetData>
    <row r="1" ht="30" customHeight="1">
      <c r="A1" s="33" t="inlineStr">
        <is>
          <t>Locations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4" t="inlineStr">
        <is>
          <t>One row per pallet position - the source of truth the Map reads from. Pick an ItemCode from the dropdown (filtered to the position's zone); leave blank for empty. Positions are created by Rebuild Layout - do not add or delete rows by hand.</t>
        </is>
      </c>
    </row>
    <row r="3">
      <c r="A3" s="55" t="inlineStr">
        <is>
          <t>UnitsOnPallet blank = a full pallet (the item's UnitsPerPallet). MapRow/MapCol are written by the layout builder - do not edit.</t>
        </is>
      </c>
    </row>
    <row r="4" ht="30" customHeight="1">
      <c r="A4" s="56" t="inlineStr">
        <is>
          <t>LocationID</t>
        </is>
      </c>
      <c r="B4" s="56" t="inlineStr">
        <is>
          <t>Aisle</t>
        </is>
      </c>
      <c r="C4" s="56" t="inlineStr">
        <is>
          <t>Depth</t>
        </is>
      </c>
      <c r="D4" s="56" t="inlineStr">
        <is>
          <t>Column</t>
        </is>
      </c>
      <c r="E4" s="56" t="inlineStr">
        <is>
          <t>Zone</t>
        </is>
      </c>
      <c r="F4" s="56" t="inlineStr">
        <is>
          <t>ItemCode</t>
        </is>
      </c>
      <c r="G4" s="56" t="inlineStr">
        <is>
          <t>UnitsOnPallet</t>
        </is>
      </c>
      <c r="H4" s="56" t="inlineStr">
        <is>
          <t>MapRow</t>
        </is>
      </c>
      <c r="I4" s="56" t="inlineStr">
        <is>
          <t>MapCol</t>
        </is>
      </c>
    </row>
    <row r="5">
      <c r="A5" s="58" t="inlineStr">
        <is>
          <t>L1-01-A</t>
        </is>
      </c>
      <c r="B5" s="60" t="inlineStr">
        <is>
          <t>L1</t>
        </is>
      </c>
      <c r="C5" s="61" t="n">
        <v>1</v>
      </c>
      <c r="D5" s="60" t="inlineStr">
        <is>
          <t>A</t>
        </is>
      </c>
      <c r="E5" s="60" t="inlineStr">
        <is>
          <t>BOX</t>
        </is>
      </c>
      <c r="F5" s="58" t="n"/>
      <c r="G5" s="58" t="n"/>
      <c r="H5" s="60" t="n">
        <v>17</v>
      </c>
      <c r="I5" s="60" t="n">
        <v>17</v>
      </c>
    </row>
    <row r="6">
      <c r="A6" s="58" t="inlineStr">
        <is>
          <t>L1-02-A</t>
        </is>
      </c>
      <c r="B6" s="60" t="inlineStr">
        <is>
          <t>L1</t>
        </is>
      </c>
      <c r="C6" s="61" t="n">
        <v>2</v>
      </c>
      <c r="D6" s="60" t="inlineStr">
        <is>
          <t>A</t>
        </is>
      </c>
      <c r="E6" s="60" t="inlineStr">
        <is>
          <t>BOX</t>
        </is>
      </c>
      <c r="F6" s="58" t="n"/>
      <c r="G6" s="58" t="n"/>
      <c r="H6" s="60" t="n">
        <v>17</v>
      </c>
      <c r="I6" s="60" t="n">
        <v>16</v>
      </c>
    </row>
    <row r="7">
      <c r="A7" s="58" t="inlineStr">
        <is>
          <t>L1-03-A</t>
        </is>
      </c>
      <c r="B7" s="60" t="inlineStr">
        <is>
          <t>L1</t>
        </is>
      </c>
      <c r="C7" s="61" t="n">
        <v>3</v>
      </c>
      <c r="D7" s="60" t="inlineStr">
        <is>
          <t>A</t>
        </is>
      </c>
      <c r="E7" s="60" t="inlineStr">
        <is>
          <t>BOX</t>
        </is>
      </c>
      <c r="F7" s="58" t="n"/>
      <c r="G7" s="58" t="n"/>
      <c r="H7" s="60" t="n">
        <v>17</v>
      </c>
      <c r="I7" s="60" t="n">
        <v>15</v>
      </c>
    </row>
    <row r="8">
      <c r="A8" s="58" t="inlineStr">
        <is>
          <t>L1-04-A</t>
        </is>
      </c>
      <c r="B8" s="60" t="inlineStr">
        <is>
          <t>L1</t>
        </is>
      </c>
      <c r="C8" s="61" t="n">
        <v>4</v>
      </c>
      <c r="D8" s="60" t="inlineStr">
        <is>
          <t>A</t>
        </is>
      </c>
      <c r="E8" s="60" t="inlineStr">
        <is>
          <t>BOX</t>
        </is>
      </c>
      <c r="F8" s="58" t="n"/>
      <c r="G8" s="58" t="n"/>
      <c r="H8" s="60" t="n">
        <v>17</v>
      </c>
      <c r="I8" s="60" t="n">
        <v>14</v>
      </c>
    </row>
    <row r="9">
      <c r="A9" s="58" t="inlineStr">
        <is>
          <t>L1-05-A</t>
        </is>
      </c>
      <c r="B9" s="60" t="inlineStr">
        <is>
          <t>L1</t>
        </is>
      </c>
      <c r="C9" s="61" t="n">
        <v>5</v>
      </c>
      <c r="D9" s="60" t="inlineStr">
        <is>
          <t>A</t>
        </is>
      </c>
      <c r="E9" s="60" t="inlineStr">
        <is>
          <t>BOX</t>
        </is>
      </c>
      <c r="F9" s="58" t="n"/>
      <c r="G9" s="58" t="n"/>
      <c r="H9" s="60" t="n">
        <v>17</v>
      </c>
      <c r="I9" s="60" t="n">
        <v>13</v>
      </c>
    </row>
    <row r="10">
      <c r="A10" s="58" t="inlineStr">
        <is>
          <t>L1-06-A</t>
        </is>
      </c>
      <c r="B10" s="60" t="inlineStr">
        <is>
          <t>L1</t>
        </is>
      </c>
      <c r="C10" s="61" t="n">
        <v>6</v>
      </c>
      <c r="D10" s="60" t="inlineStr">
        <is>
          <t>A</t>
        </is>
      </c>
      <c r="E10" s="60" t="inlineStr">
        <is>
          <t>BOX</t>
        </is>
      </c>
      <c r="F10" s="58" t="n"/>
      <c r="G10" s="58" t="n"/>
      <c r="H10" s="60" t="n">
        <v>17</v>
      </c>
      <c r="I10" s="60" t="n">
        <v>12</v>
      </c>
    </row>
    <row r="11">
      <c r="A11" s="58" t="inlineStr">
        <is>
          <t>L1-07-A</t>
        </is>
      </c>
      <c r="B11" s="60" t="inlineStr">
        <is>
          <t>L1</t>
        </is>
      </c>
      <c r="C11" s="61" t="n">
        <v>7</v>
      </c>
      <c r="D11" s="60" t="inlineStr">
        <is>
          <t>A</t>
        </is>
      </c>
      <c r="E11" s="60" t="inlineStr">
        <is>
          <t>BOX</t>
        </is>
      </c>
      <c r="F11" s="58" t="n"/>
      <c r="G11" s="58" t="n"/>
      <c r="H11" s="60" t="n">
        <v>17</v>
      </c>
      <c r="I11" s="60" t="n">
        <v>11</v>
      </c>
    </row>
    <row r="12">
      <c r="A12" s="58" t="inlineStr">
        <is>
          <t>L1-08-A</t>
        </is>
      </c>
      <c r="B12" s="60" t="inlineStr">
        <is>
          <t>L1</t>
        </is>
      </c>
      <c r="C12" s="61" t="n">
        <v>8</v>
      </c>
      <c r="D12" s="60" t="inlineStr">
        <is>
          <t>A</t>
        </is>
      </c>
      <c r="E12" s="60" t="inlineStr">
        <is>
          <t>BOX</t>
        </is>
      </c>
      <c r="F12" s="58" t="n"/>
      <c r="G12" s="58" t="n"/>
      <c r="H12" s="60" t="n">
        <v>17</v>
      </c>
      <c r="I12" s="60" t="n">
        <v>10</v>
      </c>
    </row>
    <row r="13">
      <c r="A13" s="58" t="inlineStr">
        <is>
          <t>L1-09-A</t>
        </is>
      </c>
      <c r="B13" s="60" t="inlineStr">
        <is>
          <t>L1</t>
        </is>
      </c>
      <c r="C13" s="61" t="n">
        <v>9</v>
      </c>
      <c r="D13" s="60" t="inlineStr">
        <is>
          <t>A</t>
        </is>
      </c>
      <c r="E13" s="60" t="inlineStr">
        <is>
          <t>BOX</t>
        </is>
      </c>
      <c r="F13" s="58" t="n"/>
      <c r="G13" s="58" t="n"/>
      <c r="H13" s="60" t="n">
        <v>17</v>
      </c>
      <c r="I13" s="60" t="n">
        <v>9</v>
      </c>
    </row>
    <row r="14">
      <c r="A14" s="58" t="inlineStr">
        <is>
          <t>L1-10-A</t>
        </is>
      </c>
      <c r="B14" s="60" t="inlineStr">
        <is>
          <t>L1</t>
        </is>
      </c>
      <c r="C14" s="61" t="n">
        <v>10</v>
      </c>
      <c r="D14" s="60" t="inlineStr">
        <is>
          <t>A</t>
        </is>
      </c>
      <c r="E14" s="60" t="inlineStr">
        <is>
          <t>BOX</t>
        </is>
      </c>
      <c r="F14" s="58" t="n"/>
      <c r="G14" s="58" t="n"/>
      <c r="H14" s="60" t="n">
        <v>17</v>
      </c>
      <c r="I14" s="60" t="n">
        <v>8</v>
      </c>
    </row>
    <row r="15">
      <c r="A15" s="58" t="inlineStr">
        <is>
          <t>L1-11-A</t>
        </is>
      </c>
      <c r="B15" s="60" t="inlineStr">
        <is>
          <t>L1</t>
        </is>
      </c>
      <c r="C15" s="61" t="n">
        <v>11</v>
      </c>
      <c r="D15" s="60" t="inlineStr">
        <is>
          <t>A</t>
        </is>
      </c>
      <c r="E15" s="60" t="inlineStr">
        <is>
          <t>BOX</t>
        </is>
      </c>
      <c r="F15" s="58" t="n"/>
      <c r="G15" s="58" t="n"/>
      <c r="H15" s="60" t="n">
        <v>17</v>
      </c>
      <c r="I15" s="60" t="n">
        <v>7</v>
      </c>
    </row>
    <row r="16">
      <c r="A16" s="58" t="inlineStr">
        <is>
          <t>L1-12-A</t>
        </is>
      </c>
      <c r="B16" s="60" t="inlineStr">
        <is>
          <t>L1</t>
        </is>
      </c>
      <c r="C16" s="61" t="n">
        <v>12</v>
      </c>
      <c r="D16" s="60" t="inlineStr">
        <is>
          <t>A</t>
        </is>
      </c>
      <c r="E16" s="60" t="inlineStr">
        <is>
          <t>BOX</t>
        </is>
      </c>
      <c r="F16" s="58" t="n"/>
      <c r="G16" s="58" t="n"/>
      <c r="H16" s="60" t="n">
        <v>17</v>
      </c>
      <c r="I16" s="60" t="n">
        <v>6</v>
      </c>
    </row>
    <row r="17">
      <c r="A17" s="58" t="inlineStr">
        <is>
          <t>L1-13-A</t>
        </is>
      </c>
      <c r="B17" s="60" t="inlineStr">
        <is>
          <t>L1</t>
        </is>
      </c>
      <c r="C17" s="61" t="n">
        <v>13</v>
      </c>
      <c r="D17" s="60" t="inlineStr">
        <is>
          <t>A</t>
        </is>
      </c>
      <c r="E17" s="60" t="inlineStr">
        <is>
          <t>BOX</t>
        </is>
      </c>
      <c r="F17" s="58" t="n"/>
      <c r="G17" s="58" t="n"/>
      <c r="H17" s="60" t="n">
        <v>17</v>
      </c>
      <c r="I17" s="60" t="n">
        <v>5</v>
      </c>
    </row>
    <row r="18">
      <c r="A18" s="58" t="inlineStr">
        <is>
          <t>L1-14-A</t>
        </is>
      </c>
      <c r="B18" s="60" t="inlineStr">
        <is>
          <t>L1</t>
        </is>
      </c>
      <c r="C18" s="61" t="n">
        <v>14</v>
      </c>
      <c r="D18" s="60" t="inlineStr">
        <is>
          <t>A</t>
        </is>
      </c>
      <c r="E18" s="60" t="inlineStr">
        <is>
          <t>BOX</t>
        </is>
      </c>
      <c r="F18" s="58" t="n"/>
      <c r="G18" s="58" t="n"/>
      <c r="H18" s="60" t="n">
        <v>17</v>
      </c>
      <c r="I18" s="60" t="n">
        <v>4</v>
      </c>
    </row>
    <row r="19">
      <c r="A19" s="58" t="inlineStr">
        <is>
          <t>L1-15-A</t>
        </is>
      </c>
      <c r="B19" s="60" t="inlineStr">
        <is>
          <t>L1</t>
        </is>
      </c>
      <c r="C19" s="61" t="n">
        <v>15</v>
      </c>
      <c r="D19" s="60" t="inlineStr">
        <is>
          <t>A</t>
        </is>
      </c>
      <c r="E19" s="60" t="inlineStr">
        <is>
          <t>BOX</t>
        </is>
      </c>
      <c r="F19" s="58" t="n"/>
      <c r="G19" s="58" t="n"/>
      <c r="H19" s="60" t="n">
        <v>17</v>
      </c>
      <c r="I19" s="60" t="n">
        <v>3</v>
      </c>
    </row>
    <row r="20">
      <c r="A20" s="58" t="inlineStr">
        <is>
          <t>L1-16-A</t>
        </is>
      </c>
      <c r="B20" s="60" t="inlineStr">
        <is>
          <t>L1</t>
        </is>
      </c>
      <c r="C20" s="61" t="n">
        <v>16</v>
      </c>
      <c r="D20" s="60" t="inlineStr">
        <is>
          <t>A</t>
        </is>
      </c>
      <c r="E20" s="60" t="inlineStr">
        <is>
          <t>BOX</t>
        </is>
      </c>
      <c r="F20" s="58" t="n"/>
      <c r="G20" s="58" t="n"/>
      <c r="H20" s="60" t="n">
        <v>17</v>
      </c>
      <c r="I20" s="60" t="n">
        <v>2</v>
      </c>
    </row>
    <row r="21">
      <c r="A21" s="58" t="inlineStr">
        <is>
          <t>L1-01-B</t>
        </is>
      </c>
      <c r="B21" s="60" t="inlineStr">
        <is>
          <t>L1</t>
        </is>
      </c>
      <c r="C21" s="61" t="n">
        <v>1</v>
      </c>
      <c r="D21" s="60" t="inlineStr">
        <is>
          <t>B</t>
        </is>
      </c>
      <c r="E21" s="60" t="inlineStr">
        <is>
          <t>BOX</t>
        </is>
      </c>
      <c r="F21" s="58" t="n"/>
      <c r="G21" s="58" t="n"/>
      <c r="H21" s="60" t="n">
        <v>18</v>
      </c>
      <c r="I21" s="60" t="n">
        <v>17</v>
      </c>
    </row>
    <row r="22">
      <c r="A22" s="58" t="inlineStr">
        <is>
          <t>L1-02-B</t>
        </is>
      </c>
      <c r="B22" s="60" t="inlineStr">
        <is>
          <t>L1</t>
        </is>
      </c>
      <c r="C22" s="61" t="n">
        <v>2</v>
      </c>
      <c r="D22" s="60" t="inlineStr">
        <is>
          <t>B</t>
        </is>
      </c>
      <c r="E22" s="60" t="inlineStr">
        <is>
          <t>BOX</t>
        </is>
      </c>
      <c r="F22" s="58" t="n"/>
      <c r="G22" s="58" t="n"/>
      <c r="H22" s="60" t="n">
        <v>18</v>
      </c>
      <c r="I22" s="60" t="n">
        <v>16</v>
      </c>
    </row>
    <row r="23">
      <c r="A23" s="58" t="inlineStr">
        <is>
          <t>L1-03-B</t>
        </is>
      </c>
      <c r="B23" s="60" t="inlineStr">
        <is>
          <t>L1</t>
        </is>
      </c>
      <c r="C23" s="61" t="n">
        <v>3</v>
      </c>
      <c r="D23" s="60" t="inlineStr">
        <is>
          <t>B</t>
        </is>
      </c>
      <c r="E23" s="60" t="inlineStr">
        <is>
          <t>BOX</t>
        </is>
      </c>
      <c r="F23" s="58" t="n"/>
      <c r="G23" s="58" t="n"/>
      <c r="H23" s="60" t="n">
        <v>18</v>
      </c>
      <c r="I23" s="60" t="n">
        <v>15</v>
      </c>
    </row>
    <row r="24">
      <c r="A24" s="58" t="inlineStr">
        <is>
          <t>L1-04-B</t>
        </is>
      </c>
      <c r="B24" s="60" t="inlineStr">
        <is>
          <t>L1</t>
        </is>
      </c>
      <c r="C24" s="61" t="n">
        <v>4</v>
      </c>
      <c r="D24" s="60" t="inlineStr">
        <is>
          <t>B</t>
        </is>
      </c>
      <c r="E24" s="60" t="inlineStr">
        <is>
          <t>BOX</t>
        </is>
      </c>
      <c r="F24" s="58" t="n"/>
      <c r="G24" s="58" t="n"/>
      <c r="H24" s="60" t="n">
        <v>18</v>
      </c>
      <c r="I24" s="60" t="n">
        <v>14</v>
      </c>
    </row>
    <row r="25">
      <c r="A25" s="58" t="inlineStr">
        <is>
          <t>L1-05-B</t>
        </is>
      </c>
      <c r="B25" s="60" t="inlineStr">
        <is>
          <t>L1</t>
        </is>
      </c>
      <c r="C25" s="61" t="n">
        <v>5</v>
      </c>
      <c r="D25" s="60" t="inlineStr">
        <is>
          <t>B</t>
        </is>
      </c>
      <c r="E25" s="60" t="inlineStr">
        <is>
          <t>BOX</t>
        </is>
      </c>
      <c r="F25" s="58" t="n"/>
      <c r="G25" s="58" t="n"/>
      <c r="H25" s="60" t="n">
        <v>18</v>
      </c>
      <c r="I25" s="60" t="n">
        <v>13</v>
      </c>
    </row>
    <row r="26">
      <c r="A26" s="58" t="inlineStr">
        <is>
          <t>L1-06-B</t>
        </is>
      </c>
      <c r="B26" s="60" t="inlineStr">
        <is>
          <t>L1</t>
        </is>
      </c>
      <c r="C26" s="61" t="n">
        <v>6</v>
      </c>
      <c r="D26" s="60" t="inlineStr">
        <is>
          <t>B</t>
        </is>
      </c>
      <c r="E26" s="60" t="inlineStr">
        <is>
          <t>BOX</t>
        </is>
      </c>
      <c r="F26" s="58" t="n"/>
      <c r="G26" s="58" t="n"/>
      <c r="H26" s="60" t="n">
        <v>18</v>
      </c>
      <c r="I26" s="60" t="n">
        <v>12</v>
      </c>
    </row>
    <row r="27">
      <c r="A27" s="58" t="inlineStr">
        <is>
          <t>L1-07-B</t>
        </is>
      </c>
      <c r="B27" s="60" t="inlineStr">
        <is>
          <t>L1</t>
        </is>
      </c>
      <c r="C27" s="61" t="n">
        <v>7</v>
      </c>
      <c r="D27" s="60" t="inlineStr">
        <is>
          <t>B</t>
        </is>
      </c>
      <c r="E27" s="60" t="inlineStr">
        <is>
          <t>BOX</t>
        </is>
      </c>
      <c r="F27" s="58" t="n"/>
      <c r="G27" s="58" t="n"/>
      <c r="H27" s="60" t="n">
        <v>18</v>
      </c>
      <c r="I27" s="60" t="n">
        <v>11</v>
      </c>
    </row>
    <row r="28">
      <c r="A28" s="58" t="inlineStr">
        <is>
          <t>L1-08-B</t>
        </is>
      </c>
      <c r="B28" s="60" t="inlineStr">
        <is>
          <t>L1</t>
        </is>
      </c>
      <c r="C28" s="61" t="n">
        <v>8</v>
      </c>
      <c r="D28" s="60" t="inlineStr">
        <is>
          <t>B</t>
        </is>
      </c>
      <c r="E28" s="60" t="inlineStr">
        <is>
          <t>BOX</t>
        </is>
      </c>
      <c r="F28" s="58" t="n"/>
      <c r="G28" s="58" t="n"/>
      <c r="H28" s="60" t="n">
        <v>18</v>
      </c>
      <c r="I28" s="60" t="n">
        <v>10</v>
      </c>
    </row>
    <row r="29">
      <c r="A29" s="58" t="inlineStr">
        <is>
          <t>L1-09-B</t>
        </is>
      </c>
      <c r="B29" s="60" t="inlineStr">
        <is>
          <t>L1</t>
        </is>
      </c>
      <c r="C29" s="61" t="n">
        <v>9</v>
      </c>
      <c r="D29" s="60" t="inlineStr">
        <is>
          <t>B</t>
        </is>
      </c>
      <c r="E29" s="60" t="inlineStr">
        <is>
          <t>BOX</t>
        </is>
      </c>
      <c r="F29" s="58" t="n"/>
      <c r="G29" s="58" t="n"/>
      <c r="H29" s="60" t="n">
        <v>18</v>
      </c>
      <c r="I29" s="60" t="n">
        <v>9</v>
      </c>
    </row>
    <row r="30">
      <c r="A30" s="58" t="inlineStr">
        <is>
          <t>L1-10-B</t>
        </is>
      </c>
      <c r="B30" s="60" t="inlineStr">
        <is>
          <t>L1</t>
        </is>
      </c>
      <c r="C30" s="61" t="n">
        <v>10</v>
      </c>
      <c r="D30" s="60" t="inlineStr">
        <is>
          <t>B</t>
        </is>
      </c>
      <c r="E30" s="60" t="inlineStr">
        <is>
          <t>BOX</t>
        </is>
      </c>
      <c r="F30" s="58" t="n"/>
      <c r="G30" s="58" t="n"/>
      <c r="H30" s="60" t="n">
        <v>18</v>
      </c>
      <c r="I30" s="60" t="n">
        <v>8</v>
      </c>
    </row>
    <row r="31">
      <c r="A31" s="58" t="inlineStr">
        <is>
          <t>L1-11-B</t>
        </is>
      </c>
      <c r="B31" s="60" t="inlineStr">
        <is>
          <t>L1</t>
        </is>
      </c>
      <c r="C31" s="61" t="n">
        <v>11</v>
      </c>
      <c r="D31" s="60" t="inlineStr">
        <is>
          <t>B</t>
        </is>
      </c>
      <c r="E31" s="60" t="inlineStr">
        <is>
          <t>BOX</t>
        </is>
      </c>
      <c r="F31" s="58" t="n"/>
      <c r="G31" s="58" t="n"/>
      <c r="H31" s="60" t="n">
        <v>18</v>
      </c>
      <c r="I31" s="60" t="n">
        <v>7</v>
      </c>
    </row>
    <row r="32">
      <c r="A32" s="58" t="inlineStr">
        <is>
          <t>L1-12-B</t>
        </is>
      </c>
      <c r="B32" s="60" t="inlineStr">
        <is>
          <t>L1</t>
        </is>
      </c>
      <c r="C32" s="61" t="n">
        <v>12</v>
      </c>
      <c r="D32" s="60" t="inlineStr">
        <is>
          <t>B</t>
        </is>
      </c>
      <c r="E32" s="60" t="inlineStr">
        <is>
          <t>BOX</t>
        </is>
      </c>
      <c r="F32" s="58" t="n"/>
      <c r="G32" s="58" t="n"/>
      <c r="H32" s="60" t="n">
        <v>18</v>
      </c>
      <c r="I32" s="60" t="n">
        <v>6</v>
      </c>
    </row>
    <row r="33">
      <c r="A33" s="58" t="inlineStr">
        <is>
          <t>L1-13-B</t>
        </is>
      </c>
      <c r="B33" s="60" t="inlineStr">
        <is>
          <t>L1</t>
        </is>
      </c>
      <c r="C33" s="61" t="n">
        <v>13</v>
      </c>
      <c r="D33" s="60" t="inlineStr">
        <is>
          <t>B</t>
        </is>
      </c>
      <c r="E33" s="60" t="inlineStr">
        <is>
          <t>BOX</t>
        </is>
      </c>
      <c r="F33" s="58" t="n"/>
      <c r="G33" s="58" t="n"/>
      <c r="H33" s="60" t="n">
        <v>18</v>
      </c>
      <c r="I33" s="60" t="n">
        <v>5</v>
      </c>
    </row>
    <row r="34">
      <c r="A34" s="58" t="inlineStr">
        <is>
          <t>L1-14-B</t>
        </is>
      </c>
      <c r="B34" s="60" t="inlineStr">
        <is>
          <t>L1</t>
        </is>
      </c>
      <c r="C34" s="61" t="n">
        <v>14</v>
      </c>
      <c r="D34" s="60" t="inlineStr">
        <is>
          <t>B</t>
        </is>
      </c>
      <c r="E34" s="60" t="inlineStr">
        <is>
          <t>BOX</t>
        </is>
      </c>
      <c r="F34" s="58" t="n"/>
      <c r="G34" s="58" t="n"/>
      <c r="H34" s="60" t="n">
        <v>18</v>
      </c>
      <c r="I34" s="60" t="n">
        <v>4</v>
      </c>
    </row>
    <row r="35">
      <c r="A35" s="58" t="inlineStr">
        <is>
          <t>L1-15-B</t>
        </is>
      </c>
      <c r="B35" s="60" t="inlineStr">
        <is>
          <t>L1</t>
        </is>
      </c>
      <c r="C35" s="61" t="n">
        <v>15</v>
      </c>
      <c r="D35" s="60" t="inlineStr">
        <is>
          <t>B</t>
        </is>
      </c>
      <c r="E35" s="60" t="inlineStr">
        <is>
          <t>BOX</t>
        </is>
      </c>
      <c r="F35" s="58" t="n"/>
      <c r="G35" s="58" t="n"/>
      <c r="H35" s="60" t="n">
        <v>18</v>
      </c>
      <c r="I35" s="60" t="n">
        <v>3</v>
      </c>
    </row>
    <row r="36">
      <c r="A36" s="58" t="inlineStr">
        <is>
          <t>L1-16-B</t>
        </is>
      </c>
      <c r="B36" s="60" t="inlineStr">
        <is>
          <t>L1</t>
        </is>
      </c>
      <c r="C36" s="61" t="n">
        <v>16</v>
      </c>
      <c r="D36" s="60" t="inlineStr">
        <is>
          <t>B</t>
        </is>
      </c>
      <c r="E36" s="60" t="inlineStr">
        <is>
          <t>BOX</t>
        </is>
      </c>
      <c r="F36" s="58" t="n"/>
      <c r="G36" s="58" t="n"/>
      <c r="H36" s="60" t="n">
        <v>18</v>
      </c>
      <c r="I36" s="60" t="n">
        <v>2</v>
      </c>
    </row>
    <row r="37">
      <c r="A37" s="58" t="inlineStr">
        <is>
          <t>L1-01-C</t>
        </is>
      </c>
      <c r="B37" s="60" t="inlineStr">
        <is>
          <t>L1</t>
        </is>
      </c>
      <c r="C37" s="61" t="n">
        <v>1</v>
      </c>
      <c r="D37" s="60" t="inlineStr">
        <is>
          <t>C</t>
        </is>
      </c>
      <c r="E37" s="60" t="inlineStr">
        <is>
          <t>BOX</t>
        </is>
      </c>
      <c r="F37" s="58" t="n"/>
      <c r="G37" s="58" t="n"/>
      <c r="H37" s="60" t="n">
        <v>19</v>
      </c>
      <c r="I37" s="60" t="n">
        <v>17</v>
      </c>
    </row>
    <row r="38">
      <c r="A38" s="58" t="inlineStr">
        <is>
          <t>L1-02-C</t>
        </is>
      </c>
      <c r="B38" s="60" t="inlineStr">
        <is>
          <t>L1</t>
        </is>
      </c>
      <c r="C38" s="61" t="n">
        <v>2</v>
      </c>
      <c r="D38" s="60" t="inlineStr">
        <is>
          <t>C</t>
        </is>
      </c>
      <c r="E38" s="60" t="inlineStr">
        <is>
          <t>BOX</t>
        </is>
      </c>
      <c r="F38" s="58" t="n"/>
      <c r="G38" s="58" t="n"/>
      <c r="H38" s="60" t="n">
        <v>19</v>
      </c>
      <c r="I38" s="60" t="n">
        <v>16</v>
      </c>
    </row>
    <row r="39">
      <c r="A39" s="58" t="inlineStr">
        <is>
          <t>L1-03-C</t>
        </is>
      </c>
      <c r="B39" s="60" t="inlineStr">
        <is>
          <t>L1</t>
        </is>
      </c>
      <c r="C39" s="61" t="n">
        <v>3</v>
      </c>
      <c r="D39" s="60" t="inlineStr">
        <is>
          <t>C</t>
        </is>
      </c>
      <c r="E39" s="60" t="inlineStr">
        <is>
          <t>BOX</t>
        </is>
      </c>
      <c r="F39" s="58" t="n"/>
      <c r="G39" s="58" t="n"/>
      <c r="H39" s="60" t="n">
        <v>19</v>
      </c>
      <c r="I39" s="60" t="n">
        <v>15</v>
      </c>
    </row>
    <row r="40">
      <c r="A40" s="58" t="inlineStr">
        <is>
          <t>L1-04-C</t>
        </is>
      </c>
      <c r="B40" s="60" t="inlineStr">
        <is>
          <t>L1</t>
        </is>
      </c>
      <c r="C40" s="61" t="n">
        <v>4</v>
      </c>
      <c r="D40" s="60" t="inlineStr">
        <is>
          <t>C</t>
        </is>
      </c>
      <c r="E40" s="60" t="inlineStr">
        <is>
          <t>BOX</t>
        </is>
      </c>
      <c r="F40" s="58" t="n"/>
      <c r="G40" s="58" t="n"/>
      <c r="H40" s="60" t="n">
        <v>19</v>
      </c>
      <c r="I40" s="60" t="n">
        <v>14</v>
      </c>
    </row>
    <row r="41">
      <c r="A41" s="58" t="inlineStr">
        <is>
          <t>L1-05-C</t>
        </is>
      </c>
      <c r="B41" s="60" t="inlineStr">
        <is>
          <t>L1</t>
        </is>
      </c>
      <c r="C41" s="61" t="n">
        <v>5</v>
      </c>
      <c r="D41" s="60" t="inlineStr">
        <is>
          <t>C</t>
        </is>
      </c>
      <c r="E41" s="60" t="inlineStr">
        <is>
          <t>BOX</t>
        </is>
      </c>
      <c r="F41" s="58" t="n"/>
      <c r="G41" s="58" t="n"/>
      <c r="H41" s="60" t="n">
        <v>19</v>
      </c>
      <c r="I41" s="60" t="n">
        <v>13</v>
      </c>
    </row>
    <row r="42">
      <c r="A42" s="58" t="inlineStr">
        <is>
          <t>L1-06-C</t>
        </is>
      </c>
      <c r="B42" s="60" t="inlineStr">
        <is>
          <t>L1</t>
        </is>
      </c>
      <c r="C42" s="61" t="n">
        <v>6</v>
      </c>
      <c r="D42" s="60" t="inlineStr">
        <is>
          <t>C</t>
        </is>
      </c>
      <c r="E42" s="60" t="inlineStr">
        <is>
          <t>BOX</t>
        </is>
      </c>
      <c r="F42" s="58" t="n"/>
      <c r="G42" s="58" t="n"/>
      <c r="H42" s="60" t="n">
        <v>19</v>
      </c>
      <c r="I42" s="60" t="n">
        <v>12</v>
      </c>
    </row>
    <row r="43">
      <c r="A43" s="58" t="inlineStr">
        <is>
          <t>L1-07-C</t>
        </is>
      </c>
      <c r="B43" s="60" t="inlineStr">
        <is>
          <t>L1</t>
        </is>
      </c>
      <c r="C43" s="61" t="n">
        <v>7</v>
      </c>
      <c r="D43" s="60" t="inlineStr">
        <is>
          <t>C</t>
        </is>
      </c>
      <c r="E43" s="60" t="inlineStr">
        <is>
          <t>BOX</t>
        </is>
      </c>
      <c r="F43" s="58" t="n"/>
      <c r="G43" s="58" t="n"/>
      <c r="H43" s="60" t="n">
        <v>19</v>
      </c>
      <c r="I43" s="60" t="n">
        <v>11</v>
      </c>
    </row>
    <row r="44">
      <c r="A44" s="58" t="inlineStr">
        <is>
          <t>L1-08-C</t>
        </is>
      </c>
      <c r="B44" s="60" t="inlineStr">
        <is>
          <t>L1</t>
        </is>
      </c>
      <c r="C44" s="61" t="n">
        <v>8</v>
      </c>
      <c r="D44" s="60" t="inlineStr">
        <is>
          <t>C</t>
        </is>
      </c>
      <c r="E44" s="60" t="inlineStr">
        <is>
          <t>BOX</t>
        </is>
      </c>
      <c r="F44" s="58" t="n"/>
      <c r="G44" s="58" t="n"/>
      <c r="H44" s="60" t="n">
        <v>19</v>
      </c>
      <c r="I44" s="60" t="n">
        <v>10</v>
      </c>
    </row>
    <row r="45">
      <c r="A45" s="58" t="inlineStr">
        <is>
          <t>L1-09-C</t>
        </is>
      </c>
      <c r="B45" s="60" t="inlineStr">
        <is>
          <t>L1</t>
        </is>
      </c>
      <c r="C45" s="61" t="n">
        <v>9</v>
      </c>
      <c r="D45" s="60" t="inlineStr">
        <is>
          <t>C</t>
        </is>
      </c>
      <c r="E45" s="60" t="inlineStr">
        <is>
          <t>BOX</t>
        </is>
      </c>
      <c r="F45" s="58" t="n"/>
      <c r="G45" s="58" t="n"/>
      <c r="H45" s="60" t="n">
        <v>19</v>
      </c>
      <c r="I45" s="60" t="n">
        <v>9</v>
      </c>
    </row>
    <row r="46">
      <c r="A46" s="58" t="inlineStr">
        <is>
          <t>L1-10-C</t>
        </is>
      </c>
      <c r="B46" s="60" t="inlineStr">
        <is>
          <t>L1</t>
        </is>
      </c>
      <c r="C46" s="61" t="n">
        <v>10</v>
      </c>
      <c r="D46" s="60" t="inlineStr">
        <is>
          <t>C</t>
        </is>
      </c>
      <c r="E46" s="60" t="inlineStr">
        <is>
          <t>BOX</t>
        </is>
      </c>
      <c r="F46" s="58" t="n"/>
      <c r="G46" s="58" t="n"/>
      <c r="H46" s="60" t="n">
        <v>19</v>
      </c>
      <c r="I46" s="60" t="n">
        <v>8</v>
      </c>
    </row>
    <row r="47">
      <c r="A47" s="58" t="inlineStr">
        <is>
          <t>L1-11-C</t>
        </is>
      </c>
      <c r="B47" s="60" t="inlineStr">
        <is>
          <t>L1</t>
        </is>
      </c>
      <c r="C47" s="61" t="n">
        <v>11</v>
      </c>
      <c r="D47" s="60" t="inlineStr">
        <is>
          <t>C</t>
        </is>
      </c>
      <c r="E47" s="60" t="inlineStr">
        <is>
          <t>BOX</t>
        </is>
      </c>
      <c r="F47" s="58" t="n"/>
      <c r="G47" s="58" t="n"/>
      <c r="H47" s="60" t="n">
        <v>19</v>
      </c>
      <c r="I47" s="60" t="n">
        <v>7</v>
      </c>
    </row>
    <row r="48">
      <c r="A48" s="58" t="inlineStr">
        <is>
          <t>L1-12-C</t>
        </is>
      </c>
      <c r="B48" s="60" t="inlineStr">
        <is>
          <t>L1</t>
        </is>
      </c>
      <c r="C48" s="61" t="n">
        <v>12</v>
      </c>
      <c r="D48" s="60" t="inlineStr">
        <is>
          <t>C</t>
        </is>
      </c>
      <c r="E48" s="60" t="inlineStr">
        <is>
          <t>BOX</t>
        </is>
      </c>
      <c r="F48" s="58" t="n"/>
      <c r="G48" s="58" t="n"/>
      <c r="H48" s="60" t="n">
        <v>19</v>
      </c>
      <c r="I48" s="60" t="n">
        <v>6</v>
      </c>
    </row>
    <row r="49">
      <c r="A49" s="58" t="inlineStr">
        <is>
          <t>L1-13-C</t>
        </is>
      </c>
      <c r="B49" s="60" t="inlineStr">
        <is>
          <t>L1</t>
        </is>
      </c>
      <c r="C49" s="61" t="n">
        <v>13</v>
      </c>
      <c r="D49" s="60" t="inlineStr">
        <is>
          <t>C</t>
        </is>
      </c>
      <c r="E49" s="60" t="inlineStr">
        <is>
          <t>BOX</t>
        </is>
      </c>
      <c r="F49" s="58" t="n"/>
      <c r="G49" s="58" t="n"/>
      <c r="H49" s="60" t="n">
        <v>19</v>
      </c>
      <c r="I49" s="60" t="n">
        <v>5</v>
      </c>
    </row>
    <row r="50">
      <c r="A50" s="58" t="inlineStr">
        <is>
          <t>L1-14-C</t>
        </is>
      </c>
      <c r="B50" s="60" t="inlineStr">
        <is>
          <t>L1</t>
        </is>
      </c>
      <c r="C50" s="61" t="n">
        <v>14</v>
      </c>
      <c r="D50" s="60" t="inlineStr">
        <is>
          <t>C</t>
        </is>
      </c>
      <c r="E50" s="60" t="inlineStr">
        <is>
          <t>BOX</t>
        </is>
      </c>
      <c r="F50" s="58" t="n"/>
      <c r="G50" s="58" t="n"/>
      <c r="H50" s="60" t="n">
        <v>19</v>
      </c>
      <c r="I50" s="60" t="n">
        <v>4</v>
      </c>
    </row>
    <row r="51">
      <c r="A51" s="58" t="inlineStr">
        <is>
          <t>L1-15-C</t>
        </is>
      </c>
      <c r="B51" s="60" t="inlineStr">
        <is>
          <t>L1</t>
        </is>
      </c>
      <c r="C51" s="61" t="n">
        <v>15</v>
      </c>
      <c r="D51" s="60" t="inlineStr">
        <is>
          <t>C</t>
        </is>
      </c>
      <c r="E51" s="60" t="inlineStr">
        <is>
          <t>BOX</t>
        </is>
      </c>
      <c r="F51" s="58" t="n"/>
      <c r="G51" s="58" t="n"/>
      <c r="H51" s="60" t="n">
        <v>19</v>
      </c>
      <c r="I51" s="60" t="n">
        <v>3</v>
      </c>
    </row>
    <row r="52">
      <c r="A52" s="58" t="inlineStr">
        <is>
          <t>L1-16-C</t>
        </is>
      </c>
      <c r="B52" s="60" t="inlineStr">
        <is>
          <t>L1</t>
        </is>
      </c>
      <c r="C52" s="61" t="n">
        <v>16</v>
      </c>
      <c r="D52" s="60" t="inlineStr">
        <is>
          <t>C</t>
        </is>
      </c>
      <c r="E52" s="60" t="inlineStr">
        <is>
          <t>BOX</t>
        </is>
      </c>
      <c r="F52" s="58" t="n"/>
      <c r="G52" s="58" t="n"/>
      <c r="H52" s="60" t="n">
        <v>19</v>
      </c>
      <c r="I52" s="60" t="n">
        <v>2</v>
      </c>
    </row>
    <row r="53">
      <c r="A53" s="58" t="inlineStr">
        <is>
          <t>L1-01-D</t>
        </is>
      </c>
      <c r="B53" s="60" t="inlineStr">
        <is>
          <t>L1</t>
        </is>
      </c>
      <c r="C53" s="61" t="n">
        <v>1</v>
      </c>
      <c r="D53" s="60" t="inlineStr">
        <is>
          <t>D</t>
        </is>
      </c>
      <c r="E53" s="60" t="inlineStr">
        <is>
          <t>BOX</t>
        </is>
      </c>
      <c r="F53" s="58" t="n"/>
      <c r="G53" s="58" t="n"/>
      <c r="H53" s="60" t="n">
        <v>20</v>
      </c>
      <c r="I53" s="60" t="n">
        <v>17</v>
      </c>
    </row>
    <row r="54">
      <c r="A54" s="58" t="inlineStr">
        <is>
          <t>L1-02-D</t>
        </is>
      </c>
      <c r="B54" s="60" t="inlineStr">
        <is>
          <t>L1</t>
        </is>
      </c>
      <c r="C54" s="61" t="n">
        <v>2</v>
      </c>
      <c r="D54" s="60" t="inlineStr">
        <is>
          <t>D</t>
        </is>
      </c>
      <c r="E54" s="60" t="inlineStr">
        <is>
          <t>BOX</t>
        </is>
      </c>
      <c r="F54" s="58" t="n"/>
      <c r="G54" s="58" t="n"/>
      <c r="H54" s="60" t="n">
        <v>20</v>
      </c>
      <c r="I54" s="60" t="n">
        <v>16</v>
      </c>
    </row>
    <row r="55">
      <c r="A55" s="58" t="inlineStr">
        <is>
          <t>L1-03-D</t>
        </is>
      </c>
      <c r="B55" s="60" t="inlineStr">
        <is>
          <t>L1</t>
        </is>
      </c>
      <c r="C55" s="61" t="n">
        <v>3</v>
      </c>
      <c r="D55" s="60" t="inlineStr">
        <is>
          <t>D</t>
        </is>
      </c>
      <c r="E55" s="60" t="inlineStr">
        <is>
          <t>BOX</t>
        </is>
      </c>
      <c r="F55" s="58" t="n"/>
      <c r="G55" s="58" t="n"/>
      <c r="H55" s="60" t="n">
        <v>20</v>
      </c>
      <c r="I55" s="60" t="n">
        <v>15</v>
      </c>
    </row>
    <row r="56">
      <c r="A56" s="58" t="inlineStr">
        <is>
          <t>L1-04-D</t>
        </is>
      </c>
      <c r="B56" s="60" t="inlineStr">
        <is>
          <t>L1</t>
        </is>
      </c>
      <c r="C56" s="61" t="n">
        <v>4</v>
      </c>
      <c r="D56" s="60" t="inlineStr">
        <is>
          <t>D</t>
        </is>
      </c>
      <c r="E56" s="60" t="inlineStr">
        <is>
          <t>BOX</t>
        </is>
      </c>
      <c r="F56" s="58" t="n"/>
      <c r="G56" s="58" t="n"/>
      <c r="H56" s="60" t="n">
        <v>20</v>
      </c>
      <c r="I56" s="60" t="n">
        <v>14</v>
      </c>
    </row>
    <row r="57">
      <c r="A57" s="58" t="inlineStr">
        <is>
          <t>L1-05-D</t>
        </is>
      </c>
      <c r="B57" s="60" t="inlineStr">
        <is>
          <t>L1</t>
        </is>
      </c>
      <c r="C57" s="61" t="n">
        <v>5</v>
      </c>
      <c r="D57" s="60" t="inlineStr">
        <is>
          <t>D</t>
        </is>
      </c>
      <c r="E57" s="60" t="inlineStr">
        <is>
          <t>BOX</t>
        </is>
      </c>
      <c r="F57" s="58" t="n"/>
      <c r="G57" s="58" t="n"/>
      <c r="H57" s="60" t="n">
        <v>20</v>
      </c>
      <c r="I57" s="60" t="n">
        <v>13</v>
      </c>
    </row>
    <row r="58">
      <c r="A58" s="58" t="inlineStr">
        <is>
          <t>L1-06-D</t>
        </is>
      </c>
      <c r="B58" s="60" t="inlineStr">
        <is>
          <t>L1</t>
        </is>
      </c>
      <c r="C58" s="61" t="n">
        <v>6</v>
      </c>
      <c r="D58" s="60" t="inlineStr">
        <is>
          <t>D</t>
        </is>
      </c>
      <c r="E58" s="60" t="inlineStr">
        <is>
          <t>BOX</t>
        </is>
      </c>
      <c r="F58" s="58" t="n"/>
      <c r="G58" s="58" t="n"/>
      <c r="H58" s="60" t="n">
        <v>20</v>
      </c>
      <c r="I58" s="60" t="n">
        <v>12</v>
      </c>
    </row>
    <row r="59">
      <c r="A59" s="58" t="inlineStr">
        <is>
          <t>L1-07-D</t>
        </is>
      </c>
      <c r="B59" s="60" t="inlineStr">
        <is>
          <t>L1</t>
        </is>
      </c>
      <c r="C59" s="61" t="n">
        <v>7</v>
      </c>
      <c r="D59" s="60" t="inlineStr">
        <is>
          <t>D</t>
        </is>
      </c>
      <c r="E59" s="60" t="inlineStr">
        <is>
          <t>BOX</t>
        </is>
      </c>
      <c r="F59" s="58" t="n"/>
      <c r="G59" s="58" t="n"/>
      <c r="H59" s="60" t="n">
        <v>20</v>
      </c>
      <c r="I59" s="60" t="n">
        <v>11</v>
      </c>
    </row>
    <row r="60">
      <c r="A60" s="58" t="inlineStr">
        <is>
          <t>L1-08-D</t>
        </is>
      </c>
      <c r="B60" s="60" t="inlineStr">
        <is>
          <t>L1</t>
        </is>
      </c>
      <c r="C60" s="61" t="n">
        <v>8</v>
      </c>
      <c r="D60" s="60" t="inlineStr">
        <is>
          <t>D</t>
        </is>
      </c>
      <c r="E60" s="60" t="inlineStr">
        <is>
          <t>BOX</t>
        </is>
      </c>
      <c r="F60" s="58" t="n"/>
      <c r="G60" s="58" t="n"/>
      <c r="H60" s="60" t="n">
        <v>20</v>
      </c>
      <c r="I60" s="60" t="n">
        <v>10</v>
      </c>
    </row>
    <row r="61">
      <c r="A61" s="58" t="inlineStr">
        <is>
          <t>L1-09-D</t>
        </is>
      </c>
      <c r="B61" s="60" t="inlineStr">
        <is>
          <t>L1</t>
        </is>
      </c>
      <c r="C61" s="61" t="n">
        <v>9</v>
      </c>
      <c r="D61" s="60" t="inlineStr">
        <is>
          <t>D</t>
        </is>
      </c>
      <c r="E61" s="60" t="inlineStr">
        <is>
          <t>BOX</t>
        </is>
      </c>
      <c r="F61" s="58" t="n"/>
      <c r="G61" s="58" t="n"/>
      <c r="H61" s="60" t="n">
        <v>20</v>
      </c>
      <c r="I61" s="60" t="n">
        <v>9</v>
      </c>
    </row>
    <row r="62">
      <c r="A62" s="58" t="inlineStr">
        <is>
          <t>L1-10-D</t>
        </is>
      </c>
      <c r="B62" s="60" t="inlineStr">
        <is>
          <t>L1</t>
        </is>
      </c>
      <c r="C62" s="61" t="n">
        <v>10</v>
      </c>
      <c r="D62" s="60" t="inlineStr">
        <is>
          <t>D</t>
        </is>
      </c>
      <c r="E62" s="60" t="inlineStr">
        <is>
          <t>BOX</t>
        </is>
      </c>
      <c r="F62" s="58" t="n"/>
      <c r="G62" s="58" t="n"/>
      <c r="H62" s="60" t="n">
        <v>20</v>
      </c>
      <c r="I62" s="60" t="n">
        <v>8</v>
      </c>
    </row>
    <row r="63">
      <c r="A63" s="58" t="inlineStr">
        <is>
          <t>L1-11-D</t>
        </is>
      </c>
      <c r="B63" s="60" t="inlineStr">
        <is>
          <t>L1</t>
        </is>
      </c>
      <c r="C63" s="61" t="n">
        <v>11</v>
      </c>
      <c r="D63" s="60" t="inlineStr">
        <is>
          <t>D</t>
        </is>
      </c>
      <c r="E63" s="60" t="inlineStr">
        <is>
          <t>BOX</t>
        </is>
      </c>
      <c r="F63" s="58" t="n"/>
      <c r="G63" s="58" t="n"/>
      <c r="H63" s="60" t="n">
        <v>20</v>
      </c>
      <c r="I63" s="60" t="n">
        <v>7</v>
      </c>
    </row>
    <row r="64">
      <c r="A64" s="58" t="inlineStr">
        <is>
          <t>L1-12-D</t>
        </is>
      </c>
      <c r="B64" s="60" t="inlineStr">
        <is>
          <t>L1</t>
        </is>
      </c>
      <c r="C64" s="61" t="n">
        <v>12</v>
      </c>
      <c r="D64" s="60" t="inlineStr">
        <is>
          <t>D</t>
        </is>
      </c>
      <c r="E64" s="60" t="inlineStr">
        <is>
          <t>BOX</t>
        </is>
      </c>
      <c r="F64" s="58" t="n"/>
      <c r="G64" s="58" t="n"/>
      <c r="H64" s="60" t="n">
        <v>20</v>
      </c>
      <c r="I64" s="60" t="n">
        <v>6</v>
      </c>
    </row>
    <row r="65">
      <c r="A65" s="58" t="inlineStr">
        <is>
          <t>L1-13-D</t>
        </is>
      </c>
      <c r="B65" s="60" t="inlineStr">
        <is>
          <t>L1</t>
        </is>
      </c>
      <c r="C65" s="61" t="n">
        <v>13</v>
      </c>
      <c r="D65" s="60" t="inlineStr">
        <is>
          <t>D</t>
        </is>
      </c>
      <c r="E65" s="60" t="inlineStr">
        <is>
          <t>BOX</t>
        </is>
      </c>
      <c r="F65" s="58" t="n"/>
      <c r="G65" s="58" t="n"/>
      <c r="H65" s="60" t="n">
        <v>20</v>
      </c>
      <c r="I65" s="60" t="n">
        <v>5</v>
      </c>
    </row>
    <row r="66">
      <c r="A66" s="58" t="inlineStr">
        <is>
          <t>L1-14-D</t>
        </is>
      </c>
      <c r="B66" s="60" t="inlineStr">
        <is>
          <t>L1</t>
        </is>
      </c>
      <c r="C66" s="61" t="n">
        <v>14</v>
      </c>
      <c r="D66" s="60" t="inlineStr">
        <is>
          <t>D</t>
        </is>
      </c>
      <c r="E66" s="60" t="inlineStr">
        <is>
          <t>BOX</t>
        </is>
      </c>
      <c r="F66" s="58" t="n"/>
      <c r="G66" s="58" t="n"/>
      <c r="H66" s="60" t="n">
        <v>20</v>
      </c>
      <c r="I66" s="60" t="n">
        <v>4</v>
      </c>
    </row>
    <row r="67">
      <c r="A67" s="58" t="inlineStr">
        <is>
          <t>L1-15-D</t>
        </is>
      </c>
      <c r="B67" s="60" t="inlineStr">
        <is>
          <t>L1</t>
        </is>
      </c>
      <c r="C67" s="61" t="n">
        <v>15</v>
      </c>
      <c r="D67" s="60" t="inlineStr">
        <is>
          <t>D</t>
        </is>
      </c>
      <c r="E67" s="60" t="inlineStr">
        <is>
          <t>BOX</t>
        </is>
      </c>
      <c r="F67" s="58" t="n"/>
      <c r="G67" s="58" t="n"/>
      <c r="H67" s="60" t="n">
        <v>20</v>
      </c>
      <c r="I67" s="60" t="n">
        <v>3</v>
      </c>
    </row>
    <row r="68">
      <c r="A68" s="58" t="inlineStr">
        <is>
          <t>L1-16-D</t>
        </is>
      </c>
      <c r="B68" s="60" t="inlineStr">
        <is>
          <t>L1</t>
        </is>
      </c>
      <c r="C68" s="61" t="n">
        <v>16</v>
      </c>
      <c r="D68" s="60" t="inlineStr">
        <is>
          <t>D</t>
        </is>
      </c>
      <c r="E68" s="60" t="inlineStr">
        <is>
          <t>BOX</t>
        </is>
      </c>
      <c r="F68" s="58" t="n"/>
      <c r="G68" s="58" t="n"/>
      <c r="H68" s="60" t="n">
        <v>20</v>
      </c>
      <c r="I68" s="60" t="n">
        <v>2</v>
      </c>
    </row>
    <row r="69">
      <c r="A69" s="58" t="inlineStr">
        <is>
          <t>L2-01-A</t>
        </is>
      </c>
      <c r="B69" s="60" t="inlineStr">
        <is>
          <t>L2</t>
        </is>
      </c>
      <c r="C69" s="61" t="n">
        <v>1</v>
      </c>
      <c r="D69" s="60" t="inlineStr">
        <is>
          <t>A</t>
        </is>
      </c>
      <c r="E69" s="60" t="inlineStr">
        <is>
          <t>BOX</t>
        </is>
      </c>
      <c r="F69" s="58" t="n"/>
      <c r="G69" s="58" t="n"/>
      <c r="H69" s="60" t="n">
        <v>12</v>
      </c>
      <c r="I69" s="60" t="n">
        <v>17</v>
      </c>
    </row>
    <row r="70">
      <c r="A70" s="58" t="inlineStr">
        <is>
          <t>L2-02-A</t>
        </is>
      </c>
      <c r="B70" s="60" t="inlineStr">
        <is>
          <t>L2</t>
        </is>
      </c>
      <c r="C70" s="61" t="n">
        <v>2</v>
      </c>
      <c r="D70" s="60" t="inlineStr">
        <is>
          <t>A</t>
        </is>
      </c>
      <c r="E70" s="60" t="inlineStr">
        <is>
          <t>BOX</t>
        </is>
      </c>
      <c r="F70" s="58" t="n"/>
      <c r="G70" s="58" t="n"/>
      <c r="H70" s="60" t="n">
        <v>12</v>
      </c>
      <c r="I70" s="60" t="n">
        <v>16</v>
      </c>
    </row>
    <row r="71">
      <c r="A71" s="58" t="inlineStr">
        <is>
          <t>L2-03-A</t>
        </is>
      </c>
      <c r="B71" s="60" t="inlineStr">
        <is>
          <t>L2</t>
        </is>
      </c>
      <c r="C71" s="61" t="n">
        <v>3</v>
      </c>
      <c r="D71" s="60" t="inlineStr">
        <is>
          <t>A</t>
        </is>
      </c>
      <c r="E71" s="60" t="inlineStr">
        <is>
          <t>BOX</t>
        </is>
      </c>
      <c r="F71" s="58" t="n"/>
      <c r="G71" s="58" t="n"/>
      <c r="H71" s="60" t="n">
        <v>12</v>
      </c>
      <c r="I71" s="60" t="n">
        <v>15</v>
      </c>
    </row>
    <row r="72">
      <c r="A72" s="58" t="inlineStr">
        <is>
          <t>L2-04-A</t>
        </is>
      </c>
      <c r="B72" s="60" t="inlineStr">
        <is>
          <t>L2</t>
        </is>
      </c>
      <c r="C72" s="61" t="n">
        <v>4</v>
      </c>
      <c r="D72" s="60" t="inlineStr">
        <is>
          <t>A</t>
        </is>
      </c>
      <c r="E72" s="60" t="inlineStr">
        <is>
          <t>BOX</t>
        </is>
      </c>
      <c r="F72" s="58" t="n"/>
      <c r="G72" s="58" t="n"/>
      <c r="H72" s="60" t="n">
        <v>12</v>
      </c>
      <c r="I72" s="60" t="n">
        <v>14</v>
      </c>
    </row>
    <row r="73">
      <c r="A73" s="58" t="inlineStr">
        <is>
          <t>L2-05-A</t>
        </is>
      </c>
      <c r="B73" s="60" t="inlineStr">
        <is>
          <t>L2</t>
        </is>
      </c>
      <c r="C73" s="61" t="n">
        <v>5</v>
      </c>
      <c r="D73" s="60" t="inlineStr">
        <is>
          <t>A</t>
        </is>
      </c>
      <c r="E73" s="60" t="inlineStr">
        <is>
          <t>BOX</t>
        </is>
      </c>
      <c r="F73" s="58" t="n"/>
      <c r="G73" s="58" t="n"/>
      <c r="H73" s="60" t="n">
        <v>12</v>
      </c>
      <c r="I73" s="60" t="n">
        <v>13</v>
      </c>
    </row>
    <row r="74">
      <c r="A74" s="58" t="inlineStr">
        <is>
          <t>L2-06-A</t>
        </is>
      </c>
      <c r="B74" s="60" t="inlineStr">
        <is>
          <t>L2</t>
        </is>
      </c>
      <c r="C74" s="61" t="n">
        <v>6</v>
      </c>
      <c r="D74" s="60" t="inlineStr">
        <is>
          <t>A</t>
        </is>
      </c>
      <c r="E74" s="60" t="inlineStr">
        <is>
          <t>BOX</t>
        </is>
      </c>
      <c r="F74" s="58" t="n"/>
      <c r="G74" s="58" t="n"/>
      <c r="H74" s="60" t="n">
        <v>12</v>
      </c>
      <c r="I74" s="60" t="n">
        <v>12</v>
      </c>
    </row>
    <row r="75">
      <c r="A75" s="58" t="inlineStr">
        <is>
          <t>L2-07-A</t>
        </is>
      </c>
      <c r="B75" s="60" t="inlineStr">
        <is>
          <t>L2</t>
        </is>
      </c>
      <c r="C75" s="61" t="n">
        <v>7</v>
      </c>
      <c r="D75" s="60" t="inlineStr">
        <is>
          <t>A</t>
        </is>
      </c>
      <c r="E75" s="60" t="inlineStr">
        <is>
          <t>BOX</t>
        </is>
      </c>
      <c r="F75" s="58" t="n"/>
      <c r="G75" s="58" t="n"/>
      <c r="H75" s="60" t="n">
        <v>12</v>
      </c>
      <c r="I75" s="60" t="n">
        <v>11</v>
      </c>
    </row>
    <row r="76">
      <c r="A76" s="58" t="inlineStr">
        <is>
          <t>L2-08-A</t>
        </is>
      </c>
      <c r="B76" s="60" t="inlineStr">
        <is>
          <t>L2</t>
        </is>
      </c>
      <c r="C76" s="61" t="n">
        <v>8</v>
      </c>
      <c r="D76" s="60" t="inlineStr">
        <is>
          <t>A</t>
        </is>
      </c>
      <c r="E76" s="60" t="inlineStr">
        <is>
          <t>BOX</t>
        </is>
      </c>
      <c r="F76" s="58" t="n"/>
      <c r="G76" s="58" t="n"/>
      <c r="H76" s="60" t="n">
        <v>12</v>
      </c>
      <c r="I76" s="60" t="n">
        <v>10</v>
      </c>
    </row>
    <row r="77">
      <c r="A77" s="58" t="inlineStr">
        <is>
          <t>L2-09-A</t>
        </is>
      </c>
      <c r="B77" s="60" t="inlineStr">
        <is>
          <t>L2</t>
        </is>
      </c>
      <c r="C77" s="61" t="n">
        <v>9</v>
      </c>
      <c r="D77" s="60" t="inlineStr">
        <is>
          <t>A</t>
        </is>
      </c>
      <c r="E77" s="60" t="inlineStr">
        <is>
          <t>BOX</t>
        </is>
      </c>
      <c r="F77" s="58" t="n"/>
      <c r="G77" s="58" t="n"/>
      <c r="H77" s="60" t="n">
        <v>12</v>
      </c>
      <c r="I77" s="60" t="n">
        <v>9</v>
      </c>
    </row>
    <row r="78">
      <c r="A78" s="58" t="inlineStr">
        <is>
          <t>L2-10-A</t>
        </is>
      </c>
      <c r="B78" s="60" t="inlineStr">
        <is>
          <t>L2</t>
        </is>
      </c>
      <c r="C78" s="61" t="n">
        <v>10</v>
      </c>
      <c r="D78" s="60" t="inlineStr">
        <is>
          <t>A</t>
        </is>
      </c>
      <c r="E78" s="60" t="inlineStr">
        <is>
          <t>BOX</t>
        </is>
      </c>
      <c r="F78" s="58" t="n"/>
      <c r="G78" s="58" t="n"/>
      <c r="H78" s="60" t="n">
        <v>12</v>
      </c>
      <c r="I78" s="60" t="n">
        <v>8</v>
      </c>
    </row>
    <row r="79">
      <c r="A79" s="58" t="inlineStr">
        <is>
          <t>L2-11-A</t>
        </is>
      </c>
      <c r="B79" s="60" t="inlineStr">
        <is>
          <t>L2</t>
        </is>
      </c>
      <c r="C79" s="61" t="n">
        <v>11</v>
      </c>
      <c r="D79" s="60" t="inlineStr">
        <is>
          <t>A</t>
        </is>
      </c>
      <c r="E79" s="60" t="inlineStr">
        <is>
          <t>BOX</t>
        </is>
      </c>
      <c r="F79" s="58" t="n"/>
      <c r="G79" s="58" t="n"/>
      <c r="H79" s="60" t="n">
        <v>12</v>
      </c>
      <c r="I79" s="60" t="n">
        <v>7</v>
      </c>
    </row>
    <row r="80">
      <c r="A80" s="58" t="inlineStr">
        <is>
          <t>L2-12-A</t>
        </is>
      </c>
      <c r="B80" s="60" t="inlineStr">
        <is>
          <t>L2</t>
        </is>
      </c>
      <c r="C80" s="61" t="n">
        <v>12</v>
      </c>
      <c r="D80" s="60" t="inlineStr">
        <is>
          <t>A</t>
        </is>
      </c>
      <c r="E80" s="60" t="inlineStr">
        <is>
          <t>BOX</t>
        </is>
      </c>
      <c r="F80" s="58" t="n"/>
      <c r="G80" s="58" t="n"/>
      <c r="H80" s="60" t="n">
        <v>12</v>
      </c>
      <c r="I80" s="60" t="n">
        <v>6</v>
      </c>
    </row>
    <row r="81">
      <c r="A81" s="58" t="inlineStr">
        <is>
          <t>L2-13-A</t>
        </is>
      </c>
      <c r="B81" s="60" t="inlineStr">
        <is>
          <t>L2</t>
        </is>
      </c>
      <c r="C81" s="61" t="n">
        <v>13</v>
      </c>
      <c r="D81" s="60" t="inlineStr">
        <is>
          <t>A</t>
        </is>
      </c>
      <c r="E81" s="60" t="inlineStr">
        <is>
          <t>BOX</t>
        </is>
      </c>
      <c r="F81" s="58" t="n"/>
      <c r="G81" s="58" t="n"/>
      <c r="H81" s="60" t="n">
        <v>12</v>
      </c>
      <c r="I81" s="60" t="n">
        <v>5</v>
      </c>
    </row>
    <row r="82">
      <c r="A82" s="58" t="inlineStr">
        <is>
          <t>L2-14-A</t>
        </is>
      </c>
      <c r="B82" s="60" t="inlineStr">
        <is>
          <t>L2</t>
        </is>
      </c>
      <c r="C82" s="61" t="n">
        <v>14</v>
      </c>
      <c r="D82" s="60" t="inlineStr">
        <is>
          <t>A</t>
        </is>
      </c>
      <c r="E82" s="60" t="inlineStr">
        <is>
          <t>BOX</t>
        </is>
      </c>
      <c r="F82" s="58" t="n"/>
      <c r="G82" s="58" t="n"/>
      <c r="H82" s="60" t="n">
        <v>12</v>
      </c>
      <c r="I82" s="60" t="n">
        <v>4</v>
      </c>
    </row>
    <row r="83">
      <c r="A83" s="58" t="inlineStr">
        <is>
          <t>L2-15-A</t>
        </is>
      </c>
      <c r="B83" s="60" t="inlineStr">
        <is>
          <t>L2</t>
        </is>
      </c>
      <c r="C83" s="61" t="n">
        <v>15</v>
      </c>
      <c r="D83" s="60" t="inlineStr">
        <is>
          <t>A</t>
        </is>
      </c>
      <c r="E83" s="60" t="inlineStr">
        <is>
          <t>BOX</t>
        </is>
      </c>
      <c r="F83" s="58" t="n"/>
      <c r="G83" s="58" t="n"/>
      <c r="H83" s="60" t="n">
        <v>12</v>
      </c>
      <c r="I83" s="60" t="n">
        <v>3</v>
      </c>
    </row>
    <row r="84">
      <c r="A84" s="58" t="inlineStr">
        <is>
          <t>L2-16-A</t>
        </is>
      </c>
      <c r="B84" s="60" t="inlineStr">
        <is>
          <t>L2</t>
        </is>
      </c>
      <c r="C84" s="61" t="n">
        <v>16</v>
      </c>
      <c r="D84" s="60" t="inlineStr">
        <is>
          <t>A</t>
        </is>
      </c>
      <c r="E84" s="60" t="inlineStr">
        <is>
          <t>BOX</t>
        </is>
      </c>
      <c r="F84" s="58" t="n"/>
      <c r="G84" s="58" t="n"/>
      <c r="H84" s="60" t="n">
        <v>12</v>
      </c>
      <c r="I84" s="60" t="n">
        <v>2</v>
      </c>
    </row>
    <row r="85">
      <c r="A85" s="58" t="inlineStr">
        <is>
          <t>L2-01-B</t>
        </is>
      </c>
      <c r="B85" s="60" t="inlineStr">
        <is>
          <t>L2</t>
        </is>
      </c>
      <c r="C85" s="61" t="n">
        <v>1</v>
      </c>
      <c r="D85" s="60" t="inlineStr">
        <is>
          <t>B</t>
        </is>
      </c>
      <c r="E85" s="60" t="inlineStr">
        <is>
          <t>BOX</t>
        </is>
      </c>
      <c r="F85" s="58" t="n"/>
      <c r="G85" s="58" t="n"/>
      <c r="H85" s="60" t="n">
        <v>13</v>
      </c>
      <c r="I85" s="60" t="n">
        <v>17</v>
      </c>
    </row>
    <row r="86">
      <c r="A86" s="58" t="inlineStr">
        <is>
          <t>L2-02-B</t>
        </is>
      </c>
      <c r="B86" s="60" t="inlineStr">
        <is>
          <t>L2</t>
        </is>
      </c>
      <c r="C86" s="61" t="n">
        <v>2</v>
      </c>
      <c r="D86" s="60" t="inlineStr">
        <is>
          <t>B</t>
        </is>
      </c>
      <c r="E86" s="60" t="inlineStr">
        <is>
          <t>BOX</t>
        </is>
      </c>
      <c r="F86" s="58" t="n"/>
      <c r="G86" s="58" t="n"/>
      <c r="H86" s="60" t="n">
        <v>13</v>
      </c>
      <c r="I86" s="60" t="n">
        <v>16</v>
      </c>
    </row>
    <row r="87">
      <c r="A87" s="58" t="inlineStr">
        <is>
          <t>L2-03-B</t>
        </is>
      </c>
      <c r="B87" s="60" t="inlineStr">
        <is>
          <t>L2</t>
        </is>
      </c>
      <c r="C87" s="61" t="n">
        <v>3</v>
      </c>
      <c r="D87" s="60" t="inlineStr">
        <is>
          <t>B</t>
        </is>
      </c>
      <c r="E87" s="60" t="inlineStr">
        <is>
          <t>BOX</t>
        </is>
      </c>
      <c r="F87" s="58" t="n"/>
      <c r="G87" s="58" t="n"/>
      <c r="H87" s="60" t="n">
        <v>13</v>
      </c>
      <c r="I87" s="60" t="n">
        <v>15</v>
      </c>
    </row>
    <row r="88">
      <c r="A88" s="58" t="inlineStr">
        <is>
          <t>L2-04-B</t>
        </is>
      </c>
      <c r="B88" s="60" t="inlineStr">
        <is>
          <t>L2</t>
        </is>
      </c>
      <c r="C88" s="61" t="n">
        <v>4</v>
      </c>
      <c r="D88" s="60" t="inlineStr">
        <is>
          <t>B</t>
        </is>
      </c>
      <c r="E88" s="60" t="inlineStr">
        <is>
          <t>BOX</t>
        </is>
      </c>
      <c r="F88" s="58" t="n"/>
      <c r="G88" s="58" t="n"/>
      <c r="H88" s="60" t="n">
        <v>13</v>
      </c>
      <c r="I88" s="60" t="n">
        <v>14</v>
      </c>
    </row>
    <row r="89">
      <c r="A89" s="58" t="inlineStr">
        <is>
          <t>L2-05-B</t>
        </is>
      </c>
      <c r="B89" s="60" t="inlineStr">
        <is>
          <t>L2</t>
        </is>
      </c>
      <c r="C89" s="61" t="n">
        <v>5</v>
      </c>
      <c r="D89" s="60" t="inlineStr">
        <is>
          <t>B</t>
        </is>
      </c>
      <c r="E89" s="60" t="inlineStr">
        <is>
          <t>BOX</t>
        </is>
      </c>
      <c r="F89" s="58" t="n"/>
      <c r="G89" s="58" t="n"/>
      <c r="H89" s="60" t="n">
        <v>13</v>
      </c>
      <c r="I89" s="60" t="n">
        <v>13</v>
      </c>
    </row>
    <row r="90">
      <c r="A90" s="58" t="inlineStr">
        <is>
          <t>L2-06-B</t>
        </is>
      </c>
      <c r="B90" s="60" t="inlineStr">
        <is>
          <t>L2</t>
        </is>
      </c>
      <c r="C90" s="61" t="n">
        <v>6</v>
      </c>
      <c r="D90" s="60" t="inlineStr">
        <is>
          <t>B</t>
        </is>
      </c>
      <c r="E90" s="60" t="inlineStr">
        <is>
          <t>BOX</t>
        </is>
      </c>
      <c r="F90" s="58" t="n"/>
      <c r="G90" s="58" t="n"/>
      <c r="H90" s="60" t="n">
        <v>13</v>
      </c>
      <c r="I90" s="60" t="n">
        <v>12</v>
      </c>
    </row>
    <row r="91">
      <c r="A91" s="58" t="inlineStr">
        <is>
          <t>L2-07-B</t>
        </is>
      </c>
      <c r="B91" s="60" t="inlineStr">
        <is>
          <t>L2</t>
        </is>
      </c>
      <c r="C91" s="61" t="n">
        <v>7</v>
      </c>
      <c r="D91" s="60" t="inlineStr">
        <is>
          <t>B</t>
        </is>
      </c>
      <c r="E91" s="60" t="inlineStr">
        <is>
          <t>BOX</t>
        </is>
      </c>
      <c r="F91" s="58" t="n"/>
      <c r="G91" s="58" t="n"/>
      <c r="H91" s="60" t="n">
        <v>13</v>
      </c>
      <c r="I91" s="60" t="n">
        <v>11</v>
      </c>
    </row>
    <row r="92">
      <c r="A92" s="58" t="inlineStr">
        <is>
          <t>L2-08-B</t>
        </is>
      </c>
      <c r="B92" s="60" t="inlineStr">
        <is>
          <t>L2</t>
        </is>
      </c>
      <c r="C92" s="61" t="n">
        <v>8</v>
      </c>
      <c r="D92" s="60" t="inlineStr">
        <is>
          <t>B</t>
        </is>
      </c>
      <c r="E92" s="60" t="inlineStr">
        <is>
          <t>BOX</t>
        </is>
      </c>
      <c r="F92" s="58" t="n"/>
      <c r="G92" s="58" t="n"/>
      <c r="H92" s="60" t="n">
        <v>13</v>
      </c>
      <c r="I92" s="60" t="n">
        <v>10</v>
      </c>
    </row>
    <row r="93">
      <c r="A93" s="58" t="inlineStr">
        <is>
          <t>L2-09-B</t>
        </is>
      </c>
      <c r="B93" s="60" t="inlineStr">
        <is>
          <t>L2</t>
        </is>
      </c>
      <c r="C93" s="61" t="n">
        <v>9</v>
      </c>
      <c r="D93" s="60" t="inlineStr">
        <is>
          <t>B</t>
        </is>
      </c>
      <c r="E93" s="60" t="inlineStr">
        <is>
          <t>BOX</t>
        </is>
      </c>
      <c r="F93" s="58" t="n"/>
      <c r="G93" s="58" t="n"/>
      <c r="H93" s="60" t="n">
        <v>13</v>
      </c>
      <c r="I93" s="60" t="n">
        <v>9</v>
      </c>
    </row>
    <row r="94">
      <c r="A94" s="58" t="inlineStr">
        <is>
          <t>L2-10-B</t>
        </is>
      </c>
      <c r="B94" s="60" t="inlineStr">
        <is>
          <t>L2</t>
        </is>
      </c>
      <c r="C94" s="61" t="n">
        <v>10</v>
      </c>
      <c r="D94" s="60" t="inlineStr">
        <is>
          <t>B</t>
        </is>
      </c>
      <c r="E94" s="60" t="inlineStr">
        <is>
          <t>BOX</t>
        </is>
      </c>
      <c r="F94" s="58" t="n"/>
      <c r="G94" s="58" t="n"/>
      <c r="H94" s="60" t="n">
        <v>13</v>
      </c>
      <c r="I94" s="60" t="n">
        <v>8</v>
      </c>
    </row>
    <row r="95">
      <c r="A95" s="58" t="inlineStr">
        <is>
          <t>L2-11-B</t>
        </is>
      </c>
      <c r="B95" s="60" t="inlineStr">
        <is>
          <t>L2</t>
        </is>
      </c>
      <c r="C95" s="61" t="n">
        <v>11</v>
      </c>
      <c r="D95" s="60" t="inlineStr">
        <is>
          <t>B</t>
        </is>
      </c>
      <c r="E95" s="60" t="inlineStr">
        <is>
          <t>BOX</t>
        </is>
      </c>
      <c r="F95" s="58" t="n"/>
      <c r="G95" s="58" t="n"/>
      <c r="H95" s="60" t="n">
        <v>13</v>
      </c>
      <c r="I95" s="60" t="n">
        <v>7</v>
      </c>
    </row>
    <row r="96">
      <c r="A96" s="58" t="inlineStr">
        <is>
          <t>L2-12-B</t>
        </is>
      </c>
      <c r="B96" s="60" t="inlineStr">
        <is>
          <t>L2</t>
        </is>
      </c>
      <c r="C96" s="61" t="n">
        <v>12</v>
      </c>
      <c r="D96" s="60" t="inlineStr">
        <is>
          <t>B</t>
        </is>
      </c>
      <c r="E96" s="60" t="inlineStr">
        <is>
          <t>BOX</t>
        </is>
      </c>
      <c r="F96" s="58" t="n"/>
      <c r="G96" s="58" t="n"/>
      <c r="H96" s="60" t="n">
        <v>13</v>
      </c>
      <c r="I96" s="60" t="n">
        <v>6</v>
      </c>
    </row>
    <row r="97">
      <c r="A97" s="58" t="inlineStr">
        <is>
          <t>L2-13-B</t>
        </is>
      </c>
      <c r="B97" s="60" t="inlineStr">
        <is>
          <t>L2</t>
        </is>
      </c>
      <c r="C97" s="61" t="n">
        <v>13</v>
      </c>
      <c r="D97" s="60" t="inlineStr">
        <is>
          <t>B</t>
        </is>
      </c>
      <c r="E97" s="60" t="inlineStr">
        <is>
          <t>BOX</t>
        </is>
      </c>
      <c r="F97" s="58" t="n"/>
      <c r="G97" s="58" t="n"/>
      <c r="H97" s="60" t="n">
        <v>13</v>
      </c>
      <c r="I97" s="60" t="n">
        <v>5</v>
      </c>
    </row>
    <row r="98">
      <c r="A98" s="58" t="inlineStr">
        <is>
          <t>L2-14-B</t>
        </is>
      </c>
      <c r="B98" s="60" t="inlineStr">
        <is>
          <t>L2</t>
        </is>
      </c>
      <c r="C98" s="61" t="n">
        <v>14</v>
      </c>
      <c r="D98" s="60" t="inlineStr">
        <is>
          <t>B</t>
        </is>
      </c>
      <c r="E98" s="60" t="inlineStr">
        <is>
          <t>BOX</t>
        </is>
      </c>
      <c r="F98" s="58" t="n"/>
      <c r="G98" s="58" t="n"/>
      <c r="H98" s="60" t="n">
        <v>13</v>
      </c>
      <c r="I98" s="60" t="n">
        <v>4</v>
      </c>
    </row>
    <row r="99">
      <c r="A99" s="58" t="inlineStr">
        <is>
          <t>L2-15-B</t>
        </is>
      </c>
      <c r="B99" s="60" t="inlineStr">
        <is>
          <t>L2</t>
        </is>
      </c>
      <c r="C99" s="61" t="n">
        <v>15</v>
      </c>
      <c r="D99" s="60" t="inlineStr">
        <is>
          <t>B</t>
        </is>
      </c>
      <c r="E99" s="60" t="inlineStr">
        <is>
          <t>BOX</t>
        </is>
      </c>
      <c r="F99" s="58" t="n"/>
      <c r="G99" s="58" t="n"/>
      <c r="H99" s="60" t="n">
        <v>13</v>
      </c>
      <c r="I99" s="60" t="n">
        <v>3</v>
      </c>
    </row>
    <row r="100">
      <c r="A100" s="58" t="inlineStr">
        <is>
          <t>L2-16-B</t>
        </is>
      </c>
      <c r="B100" s="60" t="inlineStr">
        <is>
          <t>L2</t>
        </is>
      </c>
      <c r="C100" s="61" t="n">
        <v>16</v>
      </c>
      <c r="D100" s="60" t="inlineStr">
        <is>
          <t>B</t>
        </is>
      </c>
      <c r="E100" s="60" t="inlineStr">
        <is>
          <t>BOX</t>
        </is>
      </c>
      <c r="F100" s="58" t="n"/>
      <c r="G100" s="58" t="n"/>
      <c r="H100" s="60" t="n">
        <v>13</v>
      </c>
      <c r="I100" s="60" t="n">
        <v>2</v>
      </c>
    </row>
    <row r="101">
      <c r="A101" s="58" t="inlineStr">
        <is>
          <t>L2-01-C</t>
        </is>
      </c>
      <c r="B101" s="60" t="inlineStr">
        <is>
          <t>L2</t>
        </is>
      </c>
      <c r="C101" s="61" t="n">
        <v>1</v>
      </c>
      <c r="D101" s="60" t="inlineStr">
        <is>
          <t>C</t>
        </is>
      </c>
      <c r="E101" s="60" t="inlineStr">
        <is>
          <t>BOX</t>
        </is>
      </c>
      <c r="F101" s="58" t="n"/>
      <c r="G101" s="58" t="n"/>
      <c r="H101" s="60" t="n">
        <v>14</v>
      </c>
      <c r="I101" s="60" t="n">
        <v>17</v>
      </c>
    </row>
    <row r="102">
      <c r="A102" s="58" t="inlineStr">
        <is>
          <t>L2-02-C</t>
        </is>
      </c>
      <c r="B102" s="60" t="inlineStr">
        <is>
          <t>L2</t>
        </is>
      </c>
      <c r="C102" s="61" t="n">
        <v>2</v>
      </c>
      <c r="D102" s="60" t="inlineStr">
        <is>
          <t>C</t>
        </is>
      </c>
      <c r="E102" s="60" t="inlineStr">
        <is>
          <t>BOX</t>
        </is>
      </c>
      <c r="F102" s="58" t="n"/>
      <c r="G102" s="58" t="n"/>
      <c r="H102" s="60" t="n">
        <v>14</v>
      </c>
      <c r="I102" s="60" t="n">
        <v>16</v>
      </c>
    </row>
    <row r="103">
      <c r="A103" s="58" t="inlineStr">
        <is>
          <t>L2-03-C</t>
        </is>
      </c>
      <c r="B103" s="60" t="inlineStr">
        <is>
          <t>L2</t>
        </is>
      </c>
      <c r="C103" s="61" t="n">
        <v>3</v>
      </c>
      <c r="D103" s="60" t="inlineStr">
        <is>
          <t>C</t>
        </is>
      </c>
      <c r="E103" s="60" t="inlineStr">
        <is>
          <t>BOX</t>
        </is>
      </c>
      <c r="F103" s="58" t="n"/>
      <c r="G103" s="58" t="n"/>
      <c r="H103" s="60" t="n">
        <v>14</v>
      </c>
      <c r="I103" s="60" t="n">
        <v>15</v>
      </c>
    </row>
    <row r="104">
      <c r="A104" s="58" t="inlineStr">
        <is>
          <t>L2-04-C</t>
        </is>
      </c>
      <c r="B104" s="60" t="inlineStr">
        <is>
          <t>L2</t>
        </is>
      </c>
      <c r="C104" s="61" t="n">
        <v>4</v>
      </c>
      <c r="D104" s="60" t="inlineStr">
        <is>
          <t>C</t>
        </is>
      </c>
      <c r="E104" s="60" t="inlineStr">
        <is>
          <t>BOX</t>
        </is>
      </c>
      <c r="F104" s="58" t="n"/>
      <c r="G104" s="58" t="n"/>
      <c r="H104" s="60" t="n">
        <v>14</v>
      </c>
      <c r="I104" s="60" t="n">
        <v>14</v>
      </c>
    </row>
    <row r="105">
      <c r="A105" s="58" t="inlineStr">
        <is>
          <t>L2-05-C</t>
        </is>
      </c>
      <c r="B105" s="60" t="inlineStr">
        <is>
          <t>L2</t>
        </is>
      </c>
      <c r="C105" s="61" t="n">
        <v>5</v>
      </c>
      <c r="D105" s="60" t="inlineStr">
        <is>
          <t>C</t>
        </is>
      </c>
      <c r="E105" s="60" t="inlineStr">
        <is>
          <t>BOX</t>
        </is>
      </c>
      <c r="F105" s="58" t="n"/>
      <c r="G105" s="58" t="n"/>
      <c r="H105" s="60" t="n">
        <v>14</v>
      </c>
      <c r="I105" s="60" t="n">
        <v>13</v>
      </c>
    </row>
    <row r="106">
      <c r="A106" s="58" t="inlineStr">
        <is>
          <t>L2-06-C</t>
        </is>
      </c>
      <c r="B106" s="60" t="inlineStr">
        <is>
          <t>L2</t>
        </is>
      </c>
      <c r="C106" s="61" t="n">
        <v>6</v>
      </c>
      <c r="D106" s="60" t="inlineStr">
        <is>
          <t>C</t>
        </is>
      </c>
      <c r="E106" s="60" t="inlineStr">
        <is>
          <t>BOX</t>
        </is>
      </c>
      <c r="F106" s="58" t="n"/>
      <c r="G106" s="58" t="n"/>
      <c r="H106" s="60" t="n">
        <v>14</v>
      </c>
      <c r="I106" s="60" t="n">
        <v>12</v>
      </c>
    </row>
    <row r="107">
      <c r="A107" s="58" t="inlineStr">
        <is>
          <t>L2-07-C</t>
        </is>
      </c>
      <c r="B107" s="60" t="inlineStr">
        <is>
          <t>L2</t>
        </is>
      </c>
      <c r="C107" s="61" t="n">
        <v>7</v>
      </c>
      <c r="D107" s="60" t="inlineStr">
        <is>
          <t>C</t>
        </is>
      </c>
      <c r="E107" s="60" t="inlineStr">
        <is>
          <t>BOX</t>
        </is>
      </c>
      <c r="F107" s="58" t="n"/>
      <c r="G107" s="58" t="n"/>
      <c r="H107" s="60" t="n">
        <v>14</v>
      </c>
      <c r="I107" s="60" t="n">
        <v>11</v>
      </c>
    </row>
    <row r="108">
      <c r="A108" s="58" t="inlineStr">
        <is>
          <t>L2-08-C</t>
        </is>
      </c>
      <c r="B108" s="60" t="inlineStr">
        <is>
          <t>L2</t>
        </is>
      </c>
      <c r="C108" s="61" t="n">
        <v>8</v>
      </c>
      <c r="D108" s="60" t="inlineStr">
        <is>
          <t>C</t>
        </is>
      </c>
      <c r="E108" s="60" t="inlineStr">
        <is>
          <t>BOX</t>
        </is>
      </c>
      <c r="F108" s="58" t="n"/>
      <c r="G108" s="58" t="n"/>
      <c r="H108" s="60" t="n">
        <v>14</v>
      </c>
      <c r="I108" s="60" t="n">
        <v>10</v>
      </c>
    </row>
    <row r="109">
      <c r="A109" s="58" t="inlineStr">
        <is>
          <t>L2-09-C</t>
        </is>
      </c>
      <c r="B109" s="60" t="inlineStr">
        <is>
          <t>L2</t>
        </is>
      </c>
      <c r="C109" s="61" t="n">
        <v>9</v>
      </c>
      <c r="D109" s="60" t="inlineStr">
        <is>
          <t>C</t>
        </is>
      </c>
      <c r="E109" s="60" t="inlineStr">
        <is>
          <t>BOX</t>
        </is>
      </c>
      <c r="F109" s="58" t="n"/>
      <c r="G109" s="58" t="n"/>
      <c r="H109" s="60" t="n">
        <v>14</v>
      </c>
      <c r="I109" s="60" t="n">
        <v>9</v>
      </c>
    </row>
    <row r="110">
      <c r="A110" s="58" t="inlineStr">
        <is>
          <t>L2-10-C</t>
        </is>
      </c>
      <c r="B110" s="60" t="inlineStr">
        <is>
          <t>L2</t>
        </is>
      </c>
      <c r="C110" s="61" t="n">
        <v>10</v>
      </c>
      <c r="D110" s="60" t="inlineStr">
        <is>
          <t>C</t>
        </is>
      </c>
      <c r="E110" s="60" t="inlineStr">
        <is>
          <t>BOX</t>
        </is>
      </c>
      <c r="F110" s="58" t="n"/>
      <c r="G110" s="58" t="n"/>
      <c r="H110" s="60" t="n">
        <v>14</v>
      </c>
      <c r="I110" s="60" t="n">
        <v>8</v>
      </c>
    </row>
    <row r="111">
      <c r="A111" s="58" t="inlineStr">
        <is>
          <t>L2-11-C</t>
        </is>
      </c>
      <c r="B111" s="60" t="inlineStr">
        <is>
          <t>L2</t>
        </is>
      </c>
      <c r="C111" s="61" t="n">
        <v>11</v>
      </c>
      <c r="D111" s="60" t="inlineStr">
        <is>
          <t>C</t>
        </is>
      </c>
      <c r="E111" s="60" t="inlineStr">
        <is>
          <t>BOX</t>
        </is>
      </c>
      <c r="F111" s="58" t="n"/>
      <c r="G111" s="58" t="n"/>
      <c r="H111" s="60" t="n">
        <v>14</v>
      </c>
      <c r="I111" s="60" t="n">
        <v>7</v>
      </c>
    </row>
    <row r="112">
      <c r="A112" s="58" t="inlineStr">
        <is>
          <t>L2-12-C</t>
        </is>
      </c>
      <c r="B112" s="60" t="inlineStr">
        <is>
          <t>L2</t>
        </is>
      </c>
      <c r="C112" s="61" t="n">
        <v>12</v>
      </c>
      <c r="D112" s="60" t="inlineStr">
        <is>
          <t>C</t>
        </is>
      </c>
      <c r="E112" s="60" t="inlineStr">
        <is>
          <t>BOX</t>
        </is>
      </c>
      <c r="F112" s="58" t="n"/>
      <c r="G112" s="58" t="n"/>
      <c r="H112" s="60" t="n">
        <v>14</v>
      </c>
      <c r="I112" s="60" t="n">
        <v>6</v>
      </c>
    </row>
    <row r="113">
      <c r="A113" s="58" t="inlineStr">
        <is>
          <t>L2-13-C</t>
        </is>
      </c>
      <c r="B113" s="60" t="inlineStr">
        <is>
          <t>L2</t>
        </is>
      </c>
      <c r="C113" s="61" t="n">
        <v>13</v>
      </c>
      <c r="D113" s="60" t="inlineStr">
        <is>
          <t>C</t>
        </is>
      </c>
      <c r="E113" s="60" t="inlineStr">
        <is>
          <t>BOX</t>
        </is>
      </c>
      <c r="F113" s="58" t="n"/>
      <c r="G113" s="58" t="n"/>
      <c r="H113" s="60" t="n">
        <v>14</v>
      </c>
      <c r="I113" s="60" t="n">
        <v>5</v>
      </c>
    </row>
    <row r="114">
      <c r="A114" s="58" t="inlineStr">
        <is>
          <t>L2-14-C</t>
        </is>
      </c>
      <c r="B114" s="60" t="inlineStr">
        <is>
          <t>L2</t>
        </is>
      </c>
      <c r="C114" s="61" t="n">
        <v>14</v>
      </c>
      <c r="D114" s="60" t="inlineStr">
        <is>
          <t>C</t>
        </is>
      </c>
      <c r="E114" s="60" t="inlineStr">
        <is>
          <t>BOX</t>
        </is>
      </c>
      <c r="F114" s="58" t="n"/>
      <c r="G114" s="58" t="n"/>
      <c r="H114" s="60" t="n">
        <v>14</v>
      </c>
      <c r="I114" s="60" t="n">
        <v>4</v>
      </c>
    </row>
    <row r="115">
      <c r="A115" s="58" t="inlineStr">
        <is>
          <t>L2-15-C</t>
        </is>
      </c>
      <c r="B115" s="60" t="inlineStr">
        <is>
          <t>L2</t>
        </is>
      </c>
      <c r="C115" s="61" t="n">
        <v>15</v>
      </c>
      <c r="D115" s="60" t="inlineStr">
        <is>
          <t>C</t>
        </is>
      </c>
      <c r="E115" s="60" t="inlineStr">
        <is>
          <t>BOX</t>
        </is>
      </c>
      <c r="F115" s="58" t="n"/>
      <c r="G115" s="58" t="n"/>
      <c r="H115" s="60" t="n">
        <v>14</v>
      </c>
      <c r="I115" s="60" t="n">
        <v>3</v>
      </c>
    </row>
    <row r="116">
      <c r="A116" s="58" t="inlineStr">
        <is>
          <t>L2-16-C</t>
        </is>
      </c>
      <c r="B116" s="60" t="inlineStr">
        <is>
          <t>L2</t>
        </is>
      </c>
      <c r="C116" s="61" t="n">
        <v>16</v>
      </c>
      <c r="D116" s="60" t="inlineStr">
        <is>
          <t>C</t>
        </is>
      </c>
      <c r="E116" s="60" t="inlineStr">
        <is>
          <t>BOX</t>
        </is>
      </c>
      <c r="F116" s="58" t="n"/>
      <c r="G116" s="58" t="n"/>
      <c r="H116" s="60" t="n">
        <v>14</v>
      </c>
      <c r="I116" s="60" t="n">
        <v>2</v>
      </c>
    </row>
    <row r="117">
      <c r="A117" s="58" t="inlineStr">
        <is>
          <t>L2-01-D</t>
        </is>
      </c>
      <c r="B117" s="60" t="inlineStr">
        <is>
          <t>L2</t>
        </is>
      </c>
      <c r="C117" s="61" t="n">
        <v>1</v>
      </c>
      <c r="D117" s="60" t="inlineStr">
        <is>
          <t>D</t>
        </is>
      </c>
      <c r="E117" s="60" t="inlineStr">
        <is>
          <t>BOX</t>
        </is>
      </c>
      <c r="F117" s="58" t="n"/>
      <c r="G117" s="58" t="n"/>
      <c r="H117" s="60" t="n">
        <v>15</v>
      </c>
      <c r="I117" s="60" t="n">
        <v>17</v>
      </c>
    </row>
    <row r="118">
      <c r="A118" s="58" t="inlineStr">
        <is>
          <t>L2-02-D</t>
        </is>
      </c>
      <c r="B118" s="60" t="inlineStr">
        <is>
          <t>L2</t>
        </is>
      </c>
      <c r="C118" s="61" t="n">
        <v>2</v>
      </c>
      <c r="D118" s="60" t="inlineStr">
        <is>
          <t>D</t>
        </is>
      </c>
      <c r="E118" s="60" t="inlineStr">
        <is>
          <t>BOX</t>
        </is>
      </c>
      <c r="F118" s="58" t="n"/>
      <c r="G118" s="58" t="n"/>
      <c r="H118" s="60" t="n">
        <v>15</v>
      </c>
      <c r="I118" s="60" t="n">
        <v>16</v>
      </c>
    </row>
    <row r="119">
      <c r="A119" s="58" t="inlineStr">
        <is>
          <t>L2-03-D</t>
        </is>
      </c>
      <c r="B119" s="60" t="inlineStr">
        <is>
          <t>L2</t>
        </is>
      </c>
      <c r="C119" s="61" t="n">
        <v>3</v>
      </c>
      <c r="D119" s="60" t="inlineStr">
        <is>
          <t>D</t>
        </is>
      </c>
      <c r="E119" s="60" t="inlineStr">
        <is>
          <t>BOX</t>
        </is>
      </c>
      <c r="F119" s="58" t="n"/>
      <c r="G119" s="58" t="n"/>
      <c r="H119" s="60" t="n">
        <v>15</v>
      </c>
      <c r="I119" s="60" t="n">
        <v>15</v>
      </c>
    </row>
    <row r="120">
      <c r="A120" s="58" t="inlineStr">
        <is>
          <t>L2-04-D</t>
        </is>
      </c>
      <c r="B120" s="60" t="inlineStr">
        <is>
          <t>L2</t>
        </is>
      </c>
      <c r="C120" s="61" t="n">
        <v>4</v>
      </c>
      <c r="D120" s="60" t="inlineStr">
        <is>
          <t>D</t>
        </is>
      </c>
      <c r="E120" s="60" t="inlineStr">
        <is>
          <t>BOX</t>
        </is>
      </c>
      <c r="F120" s="58" t="n"/>
      <c r="G120" s="58" t="n"/>
      <c r="H120" s="60" t="n">
        <v>15</v>
      </c>
      <c r="I120" s="60" t="n">
        <v>14</v>
      </c>
    </row>
    <row r="121">
      <c r="A121" s="58" t="inlineStr">
        <is>
          <t>L2-05-D</t>
        </is>
      </c>
      <c r="B121" s="60" t="inlineStr">
        <is>
          <t>L2</t>
        </is>
      </c>
      <c r="C121" s="61" t="n">
        <v>5</v>
      </c>
      <c r="D121" s="60" t="inlineStr">
        <is>
          <t>D</t>
        </is>
      </c>
      <c r="E121" s="60" t="inlineStr">
        <is>
          <t>BOX</t>
        </is>
      </c>
      <c r="F121" s="58" t="n"/>
      <c r="G121" s="58" t="n"/>
      <c r="H121" s="60" t="n">
        <v>15</v>
      </c>
      <c r="I121" s="60" t="n">
        <v>13</v>
      </c>
    </row>
    <row r="122">
      <c r="A122" s="58" t="inlineStr">
        <is>
          <t>L2-06-D</t>
        </is>
      </c>
      <c r="B122" s="60" t="inlineStr">
        <is>
          <t>L2</t>
        </is>
      </c>
      <c r="C122" s="61" t="n">
        <v>6</v>
      </c>
      <c r="D122" s="60" t="inlineStr">
        <is>
          <t>D</t>
        </is>
      </c>
      <c r="E122" s="60" t="inlineStr">
        <is>
          <t>BOX</t>
        </is>
      </c>
      <c r="F122" s="58" t="n"/>
      <c r="G122" s="58" t="n"/>
      <c r="H122" s="60" t="n">
        <v>15</v>
      </c>
      <c r="I122" s="60" t="n">
        <v>12</v>
      </c>
    </row>
    <row r="123">
      <c r="A123" s="58" t="inlineStr">
        <is>
          <t>L2-07-D</t>
        </is>
      </c>
      <c r="B123" s="60" t="inlineStr">
        <is>
          <t>L2</t>
        </is>
      </c>
      <c r="C123" s="61" t="n">
        <v>7</v>
      </c>
      <c r="D123" s="60" t="inlineStr">
        <is>
          <t>D</t>
        </is>
      </c>
      <c r="E123" s="60" t="inlineStr">
        <is>
          <t>BOX</t>
        </is>
      </c>
      <c r="F123" s="58" t="n"/>
      <c r="G123" s="58" t="n"/>
      <c r="H123" s="60" t="n">
        <v>15</v>
      </c>
      <c r="I123" s="60" t="n">
        <v>11</v>
      </c>
    </row>
    <row r="124">
      <c r="A124" s="58" t="inlineStr">
        <is>
          <t>L2-08-D</t>
        </is>
      </c>
      <c r="B124" s="60" t="inlineStr">
        <is>
          <t>L2</t>
        </is>
      </c>
      <c r="C124" s="61" t="n">
        <v>8</v>
      </c>
      <c r="D124" s="60" t="inlineStr">
        <is>
          <t>D</t>
        </is>
      </c>
      <c r="E124" s="60" t="inlineStr">
        <is>
          <t>BOX</t>
        </is>
      </c>
      <c r="F124" s="58" t="n"/>
      <c r="G124" s="58" t="n"/>
      <c r="H124" s="60" t="n">
        <v>15</v>
      </c>
      <c r="I124" s="60" t="n">
        <v>10</v>
      </c>
    </row>
    <row r="125">
      <c r="A125" s="58" t="inlineStr">
        <is>
          <t>L2-09-D</t>
        </is>
      </c>
      <c r="B125" s="60" t="inlineStr">
        <is>
          <t>L2</t>
        </is>
      </c>
      <c r="C125" s="61" t="n">
        <v>9</v>
      </c>
      <c r="D125" s="60" t="inlineStr">
        <is>
          <t>D</t>
        </is>
      </c>
      <c r="E125" s="60" t="inlineStr">
        <is>
          <t>BOX</t>
        </is>
      </c>
      <c r="F125" s="58" t="n"/>
      <c r="G125" s="58" t="n"/>
      <c r="H125" s="60" t="n">
        <v>15</v>
      </c>
      <c r="I125" s="60" t="n">
        <v>9</v>
      </c>
    </row>
    <row r="126">
      <c r="A126" s="58" t="inlineStr">
        <is>
          <t>L2-10-D</t>
        </is>
      </c>
      <c r="B126" s="60" t="inlineStr">
        <is>
          <t>L2</t>
        </is>
      </c>
      <c r="C126" s="61" t="n">
        <v>10</v>
      </c>
      <c r="D126" s="60" t="inlineStr">
        <is>
          <t>D</t>
        </is>
      </c>
      <c r="E126" s="60" t="inlineStr">
        <is>
          <t>BOX</t>
        </is>
      </c>
      <c r="F126" s="58" t="n"/>
      <c r="G126" s="58" t="n"/>
      <c r="H126" s="60" t="n">
        <v>15</v>
      </c>
      <c r="I126" s="60" t="n">
        <v>8</v>
      </c>
    </row>
    <row r="127">
      <c r="A127" s="58" t="inlineStr">
        <is>
          <t>L2-11-D</t>
        </is>
      </c>
      <c r="B127" s="60" t="inlineStr">
        <is>
          <t>L2</t>
        </is>
      </c>
      <c r="C127" s="61" t="n">
        <v>11</v>
      </c>
      <c r="D127" s="60" t="inlineStr">
        <is>
          <t>D</t>
        </is>
      </c>
      <c r="E127" s="60" t="inlineStr">
        <is>
          <t>BOX</t>
        </is>
      </c>
      <c r="F127" s="58" t="n"/>
      <c r="G127" s="58" t="n"/>
      <c r="H127" s="60" t="n">
        <v>15</v>
      </c>
      <c r="I127" s="60" t="n">
        <v>7</v>
      </c>
    </row>
    <row r="128">
      <c r="A128" s="58" t="inlineStr">
        <is>
          <t>L2-12-D</t>
        </is>
      </c>
      <c r="B128" s="60" t="inlineStr">
        <is>
          <t>L2</t>
        </is>
      </c>
      <c r="C128" s="61" t="n">
        <v>12</v>
      </c>
      <c r="D128" s="60" t="inlineStr">
        <is>
          <t>D</t>
        </is>
      </c>
      <c r="E128" s="60" t="inlineStr">
        <is>
          <t>BOX</t>
        </is>
      </c>
      <c r="F128" s="58" t="n"/>
      <c r="G128" s="58" t="n"/>
      <c r="H128" s="60" t="n">
        <v>15</v>
      </c>
      <c r="I128" s="60" t="n">
        <v>6</v>
      </c>
    </row>
    <row r="129">
      <c r="A129" s="58" t="inlineStr">
        <is>
          <t>L2-13-D</t>
        </is>
      </c>
      <c r="B129" s="60" t="inlineStr">
        <is>
          <t>L2</t>
        </is>
      </c>
      <c r="C129" s="61" t="n">
        <v>13</v>
      </c>
      <c r="D129" s="60" t="inlineStr">
        <is>
          <t>D</t>
        </is>
      </c>
      <c r="E129" s="60" t="inlineStr">
        <is>
          <t>BOX</t>
        </is>
      </c>
      <c r="F129" s="58" t="n"/>
      <c r="G129" s="58" t="n"/>
      <c r="H129" s="60" t="n">
        <v>15</v>
      </c>
      <c r="I129" s="60" t="n">
        <v>5</v>
      </c>
    </row>
    <row r="130">
      <c r="A130" s="58" t="inlineStr">
        <is>
          <t>L2-14-D</t>
        </is>
      </c>
      <c r="B130" s="60" t="inlineStr">
        <is>
          <t>L2</t>
        </is>
      </c>
      <c r="C130" s="61" t="n">
        <v>14</v>
      </c>
      <c r="D130" s="60" t="inlineStr">
        <is>
          <t>D</t>
        </is>
      </c>
      <c r="E130" s="60" t="inlineStr">
        <is>
          <t>BOX</t>
        </is>
      </c>
      <c r="F130" s="58" t="n"/>
      <c r="G130" s="58" t="n"/>
      <c r="H130" s="60" t="n">
        <v>15</v>
      </c>
      <c r="I130" s="60" t="n">
        <v>4</v>
      </c>
    </row>
    <row r="131">
      <c r="A131" s="58" t="inlineStr">
        <is>
          <t>L2-15-D</t>
        </is>
      </c>
      <c r="B131" s="60" t="inlineStr">
        <is>
          <t>L2</t>
        </is>
      </c>
      <c r="C131" s="61" t="n">
        <v>15</v>
      </c>
      <c r="D131" s="60" t="inlineStr">
        <is>
          <t>D</t>
        </is>
      </c>
      <c r="E131" s="60" t="inlineStr">
        <is>
          <t>BOX</t>
        </is>
      </c>
      <c r="F131" s="58" t="n"/>
      <c r="G131" s="58" t="n"/>
      <c r="H131" s="60" t="n">
        <v>15</v>
      </c>
      <c r="I131" s="60" t="n">
        <v>3</v>
      </c>
    </row>
    <row r="132">
      <c r="A132" s="58" t="inlineStr">
        <is>
          <t>L2-16-D</t>
        </is>
      </c>
      <c r="B132" s="60" t="inlineStr">
        <is>
          <t>L2</t>
        </is>
      </c>
      <c r="C132" s="61" t="n">
        <v>16</v>
      </c>
      <c r="D132" s="60" t="inlineStr">
        <is>
          <t>D</t>
        </is>
      </c>
      <c r="E132" s="60" t="inlineStr">
        <is>
          <t>BOX</t>
        </is>
      </c>
      <c r="F132" s="58" t="n"/>
      <c r="G132" s="58" t="n"/>
      <c r="H132" s="60" t="n">
        <v>15</v>
      </c>
      <c r="I132" s="60" t="n">
        <v>2</v>
      </c>
    </row>
    <row r="133">
      <c r="A133" s="58" t="inlineStr">
        <is>
          <t>L3-01-A</t>
        </is>
      </c>
      <c r="B133" s="60" t="inlineStr">
        <is>
          <t>L3</t>
        </is>
      </c>
      <c r="C133" s="61" t="n">
        <v>1</v>
      </c>
      <c r="D133" s="60" t="inlineStr">
        <is>
          <t>A</t>
        </is>
      </c>
      <c r="E133" s="60" t="inlineStr">
        <is>
          <t>BOX</t>
        </is>
      </c>
      <c r="F133" s="58" t="n"/>
      <c r="G133" s="58" t="n"/>
      <c r="H133" s="60" t="n">
        <v>7</v>
      </c>
      <c r="I133" s="60" t="n">
        <v>17</v>
      </c>
    </row>
    <row r="134">
      <c r="A134" s="58" t="inlineStr">
        <is>
          <t>L3-02-A</t>
        </is>
      </c>
      <c r="B134" s="60" t="inlineStr">
        <is>
          <t>L3</t>
        </is>
      </c>
      <c r="C134" s="61" t="n">
        <v>2</v>
      </c>
      <c r="D134" s="60" t="inlineStr">
        <is>
          <t>A</t>
        </is>
      </c>
      <c r="E134" s="60" t="inlineStr">
        <is>
          <t>BOX</t>
        </is>
      </c>
      <c r="F134" s="58" t="n"/>
      <c r="G134" s="58" t="n"/>
      <c r="H134" s="60" t="n">
        <v>7</v>
      </c>
      <c r="I134" s="60" t="n">
        <v>16</v>
      </c>
    </row>
    <row r="135">
      <c r="A135" s="58" t="inlineStr">
        <is>
          <t>L3-03-A</t>
        </is>
      </c>
      <c r="B135" s="60" t="inlineStr">
        <is>
          <t>L3</t>
        </is>
      </c>
      <c r="C135" s="61" t="n">
        <v>3</v>
      </c>
      <c r="D135" s="60" t="inlineStr">
        <is>
          <t>A</t>
        </is>
      </c>
      <c r="E135" s="60" t="inlineStr">
        <is>
          <t>BOX</t>
        </is>
      </c>
      <c r="F135" s="58" t="n"/>
      <c r="G135" s="58" t="n"/>
      <c r="H135" s="60" t="n">
        <v>7</v>
      </c>
      <c r="I135" s="60" t="n">
        <v>15</v>
      </c>
    </row>
    <row r="136">
      <c r="A136" s="58" t="inlineStr">
        <is>
          <t>L3-04-A</t>
        </is>
      </c>
      <c r="B136" s="60" t="inlineStr">
        <is>
          <t>L3</t>
        </is>
      </c>
      <c r="C136" s="61" t="n">
        <v>4</v>
      </c>
      <c r="D136" s="60" t="inlineStr">
        <is>
          <t>A</t>
        </is>
      </c>
      <c r="E136" s="60" t="inlineStr">
        <is>
          <t>BOX</t>
        </is>
      </c>
      <c r="F136" s="58" t="n"/>
      <c r="G136" s="58" t="n"/>
      <c r="H136" s="60" t="n">
        <v>7</v>
      </c>
      <c r="I136" s="60" t="n">
        <v>14</v>
      </c>
    </row>
    <row r="137">
      <c r="A137" s="58" t="inlineStr">
        <is>
          <t>L3-05-A</t>
        </is>
      </c>
      <c r="B137" s="60" t="inlineStr">
        <is>
          <t>L3</t>
        </is>
      </c>
      <c r="C137" s="61" t="n">
        <v>5</v>
      </c>
      <c r="D137" s="60" t="inlineStr">
        <is>
          <t>A</t>
        </is>
      </c>
      <c r="E137" s="60" t="inlineStr">
        <is>
          <t>BOX</t>
        </is>
      </c>
      <c r="F137" s="58" t="n"/>
      <c r="G137" s="58" t="n"/>
      <c r="H137" s="60" t="n">
        <v>7</v>
      </c>
      <c r="I137" s="60" t="n">
        <v>13</v>
      </c>
    </row>
    <row r="138">
      <c r="A138" s="58" t="inlineStr">
        <is>
          <t>L3-06-A</t>
        </is>
      </c>
      <c r="B138" s="60" t="inlineStr">
        <is>
          <t>L3</t>
        </is>
      </c>
      <c r="C138" s="61" t="n">
        <v>6</v>
      </c>
      <c r="D138" s="60" t="inlineStr">
        <is>
          <t>A</t>
        </is>
      </c>
      <c r="E138" s="60" t="inlineStr">
        <is>
          <t>BOX</t>
        </is>
      </c>
      <c r="F138" s="58" t="n"/>
      <c r="G138" s="58" t="n"/>
      <c r="H138" s="60" t="n">
        <v>7</v>
      </c>
      <c r="I138" s="60" t="n">
        <v>12</v>
      </c>
    </row>
    <row r="139">
      <c r="A139" s="58" t="inlineStr">
        <is>
          <t>L3-07-A</t>
        </is>
      </c>
      <c r="B139" s="60" t="inlineStr">
        <is>
          <t>L3</t>
        </is>
      </c>
      <c r="C139" s="61" t="n">
        <v>7</v>
      </c>
      <c r="D139" s="60" t="inlineStr">
        <is>
          <t>A</t>
        </is>
      </c>
      <c r="E139" s="60" t="inlineStr">
        <is>
          <t>BOX</t>
        </is>
      </c>
      <c r="F139" s="58" t="n"/>
      <c r="G139" s="58" t="n"/>
      <c r="H139" s="60" t="n">
        <v>7</v>
      </c>
      <c r="I139" s="60" t="n">
        <v>11</v>
      </c>
    </row>
    <row r="140">
      <c r="A140" s="58" t="inlineStr">
        <is>
          <t>L3-08-A</t>
        </is>
      </c>
      <c r="B140" s="60" t="inlineStr">
        <is>
          <t>L3</t>
        </is>
      </c>
      <c r="C140" s="61" t="n">
        <v>8</v>
      </c>
      <c r="D140" s="60" t="inlineStr">
        <is>
          <t>A</t>
        </is>
      </c>
      <c r="E140" s="60" t="inlineStr">
        <is>
          <t>BOX</t>
        </is>
      </c>
      <c r="F140" s="58" t="n"/>
      <c r="G140" s="58" t="n"/>
      <c r="H140" s="60" t="n">
        <v>7</v>
      </c>
      <c r="I140" s="60" t="n">
        <v>10</v>
      </c>
    </row>
    <row r="141">
      <c r="A141" s="58" t="inlineStr">
        <is>
          <t>L3-09-A</t>
        </is>
      </c>
      <c r="B141" s="60" t="inlineStr">
        <is>
          <t>L3</t>
        </is>
      </c>
      <c r="C141" s="61" t="n">
        <v>9</v>
      </c>
      <c r="D141" s="60" t="inlineStr">
        <is>
          <t>A</t>
        </is>
      </c>
      <c r="E141" s="60" t="inlineStr">
        <is>
          <t>BOX</t>
        </is>
      </c>
      <c r="F141" s="58" t="n"/>
      <c r="G141" s="58" t="n"/>
      <c r="H141" s="60" t="n">
        <v>7</v>
      </c>
      <c r="I141" s="60" t="n">
        <v>9</v>
      </c>
    </row>
    <row r="142">
      <c r="A142" s="58" t="inlineStr">
        <is>
          <t>L3-10-A</t>
        </is>
      </c>
      <c r="B142" s="60" t="inlineStr">
        <is>
          <t>L3</t>
        </is>
      </c>
      <c r="C142" s="61" t="n">
        <v>10</v>
      </c>
      <c r="D142" s="60" t="inlineStr">
        <is>
          <t>A</t>
        </is>
      </c>
      <c r="E142" s="60" t="inlineStr">
        <is>
          <t>BOX</t>
        </is>
      </c>
      <c r="F142" s="58" t="n"/>
      <c r="G142" s="58" t="n"/>
      <c r="H142" s="60" t="n">
        <v>7</v>
      </c>
      <c r="I142" s="60" t="n">
        <v>8</v>
      </c>
    </row>
    <row r="143">
      <c r="A143" s="58" t="inlineStr">
        <is>
          <t>L3-11-A</t>
        </is>
      </c>
      <c r="B143" s="60" t="inlineStr">
        <is>
          <t>L3</t>
        </is>
      </c>
      <c r="C143" s="61" t="n">
        <v>11</v>
      </c>
      <c r="D143" s="60" t="inlineStr">
        <is>
          <t>A</t>
        </is>
      </c>
      <c r="E143" s="60" t="inlineStr">
        <is>
          <t>BOX</t>
        </is>
      </c>
      <c r="F143" s="58" t="n"/>
      <c r="G143" s="58" t="n"/>
      <c r="H143" s="60" t="n">
        <v>7</v>
      </c>
      <c r="I143" s="60" t="n">
        <v>7</v>
      </c>
    </row>
    <row r="144">
      <c r="A144" s="58" t="inlineStr">
        <is>
          <t>L3-12-A</t>
        </is>
      </c>
      <c r="B144" s="60" t="inlineStr">
        <is>
          <t>L3</t>
        </is>
      </c>
      <c r="C144" s="61" t="n">
        <v>12</v>
      </c>
      <c r="D144" s="60" t="inlineStr">
        <is>
          <t>A</t>
        </is>
      </c>
      <c r="E144" s="60" t="inlineStr">
        <is>
          <t>BOX</t>
        </is>
      </c>
      <c r="F144" s="58" t="n"/>
      <c r="G144" s="58" t="n"/>
      <c r="H144" s="60" t="n">
        <v>7</v>
      </c>
      <c r="I144" s="60" t="n">
        <v>6</v>
      </c>
    </row>
    <row r="145">
      <c r="A145" s="58" t="inlineStr">
        <is>
          <t>L3-13-A</t>
        </is>
      </c>
      <c r="B145" s="60" t="inlineStr">
        <is>
          <t>L3</t>
        </is>
      </c>
      <c r="C145" s="61" t="n">
        <v>13</v>
      </c>
      <c r="D145" s="60" t="inlineStr">
        <is>
          <t>A</t>
        </is>
      </c>
      <c r="E145" s="60" t="inlineStr">
        <is>
          <t>BOX</t>
        </is>
      </c>
      <c r="F145" s="58" t="n"/>
      <c r="G145" s="58" t="n"/>
      <c r="H145" s="60" t="n">
        <v>7</v>
      </c>
      <c r="I145" s="60" t="n">
        <v>5</v>
      </c>
    </row>
    <row r="146">
      <c r="A146" s="58" t="inlineStr">
        <is>
          <t>L3-14-A</t>
        </is>
      </c>
      <c r="B146" s="60" t="inlineStr">
        <is>
          <t>L3</t>
        </is>
      </c>
      <c r="C146" s="61" t="n">
        <v>14</v>
      </c>
      <c r="D146" s="60" t="inlineStr">
        <is>
          <t>A</t>
        </is>
      </c>
      <c r="E146" s="60" t="inlineStr">
        <is>
          <t>BOX</t>
        </is>
      </c>
      <c r="F146" s="58" t="n"/>
      <c r="G146" s="58" t="n"/>
      <c r="H146" s="60" t="n">
        <v>7</v>
      </c>
      <c r="I146" s="60" t="n">
        <v>4</v>
      </c>
    </row>
    <row r="147">
      <c r="A147" s="58" t="inlineStr">
        <is>
          <t>L3-15-A</t>
        </is>
      </c>
      <c r="B147" s="60" t="inlineStr">
        <is>
          <t>L3</t>
        </is>
      </c>
      <c r="C147" s="61" t="n">
        <v>15</v>
      </c>
      <c r="D147" s="60" t="inlineStr">
        <is>
          <t>A</t>
        </is>
      </c>
      <c r="E147" s="60" t="inlineStr">
        <is>
          <t>BOX</t>
        </is>
      </c>
      <c r="F147" s="58" t="n"/>
      <c r="G147" s="58" t="n"/>
      <c r="H147" s="60" t="n">
        <v>7</v>
      </c>
      <c r="I147" s="60" t="n">
        <v>3</v>
      </c>
    </row>
    <row r="148">
      <c r="A148" s="58" t="inlineStr">
        <is>
          <t>L3-16-A</t>
        </is>
      </c>
      <c r="B148" s="60" t="inlineStr">
        <is>
          <t>L3</t>
        </is>
      </c>
      <c r="C148" s="61" t="n">
        <v>16</v>
      </c>
      <c r="D148" s="60" t="inlineStr">
        <is>
          <t>A</t>
        </is>
      </c>
      <c r="E148" s="60" t="inlineStr">
        <is>
          <t>BOX</t>
        </is>
      </c>
      <c r="F148" s="58" t="n"/>
      <c r="G148" s="58" t="n"/>
      <c r="H148" s="60" t="n">
        <v>7</v>
      </c>
      <c r="I148" s="60" t="n">
        <v>2</v>
      </c>
    </row>
    <row r="149">
      <c r="A149" s="58" t="inlineStr">
        <is>
          <t>L3-01-B</t>
        </is>
      </c>
      <c r="B149" s="60" t="inlineStr">
        <is>
          <t>L3</t>
        </is>
      </c>
      <c r="C149" s="61" t="n">
        <v>1</v>
      </c>
      <c r="D149" s="60" t="inlineStr">
        <is>
          <t>B</t>
        </is>
      </c>
      <c r="E149" s="60" t="inlineStr">
        <is>
          <t>BOX</t>
        </is>
      </c>
      <c r="F149" s="58" t="n"/>
      <c r="G149" s="58" t="n"/>
      <c r="H149" s="60" t="n">
        <v>8</v>
      </c>
      <c r="I149" s="60" t="n">
        <v>17</v>
      </c>
    </row>
    <row r="150">
      <c r="A150" s="58" t="inlineStr">
        <is>
          <t>L3-02-B</t>
        </is>
      </c>
      <c r="B150" s="60" t="inlineStr">
        <is>
          <t>L3</t>
        </is>
      </c>
      <c r="C150" s="61" t="n">
        <v>2</v>
      </c>
      <c r="D150" s="60" t="inlineStr">
        <is>
          <t>B</t>
        </is>
      </c>
      <c r="E150" s="60" t="inlineStr">
        <is>
          <t>BOX</t>
        </is>
      </c>
      <c r="F150" s="58" t="n"/>
      <c r="G150" s="58" t="n"/>
      <c r="H150" s="60" t="n">
        <v>8</v>
      </c>
      <c r="I150" s="60" t="n">
        <v>16</v>
      </c>
    </row>
    <row r="151">
      <c r="A151" s="58" t="inlineStr">
        <is>
          <t>L3-03-B</t>
        </is>
      </c>
      <c r="B151" s="60" t="inlineStr">
        <is>
          <t>L3</t>
        </is>
      </c>
      <c r="C151" s="61" t="n">
        <v>3</v>
      </c>
      <c r="D151" s="60" t="inlineStr">
        <is>
          <t>B</t>
        </is>
      </c>
      <c r="E151" s="60" t="inlineStr">
        <is>
          <t>BOX</t>
        </is>
      </c>
      <c r="F151" s="58" t="n"/>
      <c r="G151" s="58" t="n"/>
      <c r="H151" s="60" t="n">
        <v>8</v>
      </c>
      <c r="I151" s="60" t="n">
        <v>15</v>
      </c>
    </row>
    <row r="152">
      <c r="A152" s="58" t="inlineStr">
        <is>
          <t>L3-04-B</t>
        </is>
      </c>
      <c r="B152" s="60" t="inlineStr">
        <is>
          <t>L3</t>
        </is>
      </c>
      <c r="C152" s="61" t="n">
        <v>4</v>
      </c>
      <c r="D152" s="60" t="inlineStr">
        <is>
          <t>B</t>
        </is>
      </c>
      <c r="E152" s="60" t="inlineStr">
        <is>
          <t>BOX</t>
        </is>
      </c>
      <c r="F152" s="58" t="n"/>
      <c r="G152" s="58" t="n"/>
      <c r="H152" s="60" t="n">
        <v>8</v>
      </c>
      <c r="I152" s="60" t="n">
        <v>14</v>
      </c>
    </row>
    <row r="153">
      <c r="A153" s="58" t="inlineStr">
        <is>
          <t>L3-05-B</t>
        </is>
      </c>
      <c r="B153" s="60" t="inlineStr">
        <is>
          <t>L3</t>
        </is>
      </c>
      <c r="C153" s="61" t="n">
        <v>5</v>
      </c>
      <c r="D153" s="60" t="inlineStr">
        <is>
          <t>B</t>
        </is>
      </c>
      <c r="E153" s="60" t="inlineStr">
        <is>
          <t>BOX</t>
        </is>
      </c>
      <c r="F153" s="58" t="n"/>
      <c r="G153" s="58" t="n"/>
      <c r="H153" s="60" t="n">
        <v>8</v>
      </c>
      <c r="I153" s="60" t="n">
        <v>13</v>
      </c>
    </row>
    <row r="154">
      <c r="A154" s="58" t="inlineStr">
        <is>
          <t>L3-06-B</t>
        </is>
      </c>
      <c r="B154" s="60" t="inlineStr">
        <is>
          <t>L3</t>
        </is>
      </c>
      <c r="C154" s="61" t="n">
        <v>6</v>
      </c>
      <c r="D154" s="60" t="inlineStr">
        <is>
          <t>B</t>
        </is>
      </c>
      <c r="E154" s="60" t="inlineStr">
        <is>
          <t>BOX</t>
        </is>
      </c>
      <c r="F154" s="58" t="n"/>
      <c r="G154" s="58" t="n"/>
      <c r="H154" s="60" t="n">
        <v>8</v>
      </c>
      <c r="I154" s="60" t="n">
        <v>12</v>
      </c>
    </row>
    <row r="155">
      <c r="A155" s="58" t="inlineStr">
        <is>
          <t>L3-07-B</t>
        </is>
      </c>
      <c r="B155" s="60" t="inlineStr">
        <is>
          <t>L3</t>
        </is>
      </c>
      <c r="C155" s="61" t="n">
        <v>7</v>
      </c>
      <c r="D155" s="60" t="inlineStr">
        <is>
          <t>B</t>
        </is>
      </c>
      <c r="E155" s="60" t="inlineStr">
        <is>
          <t>BOX</t>
        </is>
      </c>
      <c r="F155" s="58" t="n"/>
      <c r="G155" s="58" t="n"/>
      <c r="H155" s="60" t="n">
        <v>8</v>
      </c>
      <c r="I155" s="60" t="n">
        <v>11</v>
      </c>
    </row>
    <row r="156">
      <c r="A156" s="58" t="inlineStr">
        <is>
          <t>L3-08-B</t>
        </is>
      </c>
      <c r="B156" s="60" t="inlineStr">
        <is>
          <t>L3</t>
        </is>
      </c>
      <c r="C156" s="61" t="n">
        <v>8</v>
      </c>
      <c r="D156" s="60" t="inlineStr">
        <is>
          <t>B</t>
        </is>
      </c>
      <c r="E156" s="60" t="inlineStr">
        <is>
          <t>BOX</t>
        </is>
      </c>
      <c r="F156" s="58" t="n"/>
      <c r="G156" s="58" t="n"/>
      <c r="H156" s="60" t="n">
        <v>8</v>
      </c>
      <c r="I156" s="60" t="n">
        <v>10</v>
      </c>
    </row>
    <row r="157">
      <c r="A157" s="58" t="inlineStr">
        <is>
          <t>L3-09-B</t>
        </is>
      </c>
      <c r="B157" s="60" t="inlineStr">
        <is>
          <t>L3</t>
        </is>
      </c>
      <c r="C157" s="61" t="n">
        <v>9</v>
      </c>
      <c r="D157" s="60" t="inlineStr">
        <is>
          <t>B</t>
        </is>
      </c>
      <c r="E157" s="60" t="inlineStr">
        <is>
          <t>BOX</t>
        </is>
      </c>
      <c r="F157" s="58" t="n"/>
      <c r="G157" s="58" t="n"/>
      <c r="H157" s="60" t="n">
        <v>8</v>
      </c>
      <c r="I157" s="60" t="n">
        <v>9</v>
      </c>
    </row>
    <row r="158">
      <c r="A158" s="58" t="inlineStr">
        <is>
          <t>L3-10-B</t>
        </is>
      </c>
      <c r="B158" s="60" t="inlineStr">
        <is>
          <t>L3</t>
        </is>
      </c>
      <c r="C158" s="61" t="n">
        <v>10</v>
      </c>
      <c r="D158" s="60" t="inlineStr">
        <is>
          <t>B</t>
        </is>
      </c>
      <c r="E158" s="60" t="inlineStr">
        <is>
          <t>BOX</t>
        </is>
      </c>
      <c r="F158" s="58" t="n"/>
      <c r="G158" s="58" t="n"/>
      <c r="H158" s="60" t="n">
        <v>8</v>
      </c>
      <c r="I158" s="60" t="n">
        <v>8</v>
      </c>
    </row>
    <row r="159">
      <c r="A159" s="58" t="inlineStr">
        <is>
          <t>L3-11-B</t>
        </is>
      </c>
      <c r="B159" s="60" t="inlineStr">
        <is>
          <t>L3</t>
        </is>
      </c>
      <c r="C159" s="61" t="n">
        <v>11</v>
      </c>
      <c r="D159" s="60" t="inlineStr">
        <is>
          <t>B</t>
        </is>
      </c>
      <c r="E159" s="60" t="inlineStr">
        <is>
          <t>BOX</t>
        </is>
      </c>
      <c r="F159" s="58" t="n"/>
      <c r="G159" s="58" t="n"/>
      <c r="H159" s="60" t="n">
        <v>8</v>
      </c>
      <c r="I159" s="60" t="n">
        <v>7</v>
      </c>
    </row>
    <row r="160">
      <c r="A160" s="58" t="inlineStr">
        <is>
          <t>L3-12-B</t>
        </is>
      </c>
      <c r="B160" s="60" t="inlineStr">
        <is>
          <t>L3</t>
        </is>
      </c>
      <c r="C160" s="61" t="n">
        <v>12</v>
      </c>
      <c r="D160" s="60" t="inlineStr">
        <is>
          <t>B</t>
        </is>
      </c>
      <c r="E160" s="60" t="inlineStr">
        <is>
          <t>BOX</t>
        </is>
      </c>
      <c r="F160" s="58" t="n"/>
      <c r="G160" s="58" t="n"/>
      <c r="H160" s="60" t="n">
        <v>8</v>
      </c>
      <c r="I160" s="60" t="n">
        <v>6</v>
      </c>
    </row>
    <row r="161">
      <c r="A161" s="58" t="inlineStr">
        <is>
          <t>L3-13-B</t>
        </is>
      </c>
      <c r="B161" s="60" t="inlineStr">
        <is>
          <t>L3</t>
        </is>
      </c>
      <c r="C161" s="61" t="n">
        <v>13</v>
      </c>
      <c r="D161" s="60" t="inlineStr">
        <is>
          <t>B</t>
        </is>
      </c>
      <c r="E161" s="60" t="inlineStr">
        <is>
          <t>BOX</t>
        </is>
      </c>
      <c r="F161" s="58" t="n"/>
      <c r="G161" s="58" t="n"/>
      <c r="H161" s="60" t="n">
        <v>8</v>
      </c>
      <c r="I161" s="60" t="n">
        <v>5</v>
      </c>
    </row>
    <row r="162">
      <c r="A162" s="58" t="inlineStr">
        <is>
          <t>L3-14-B</t>
        </is>
      </c>
      <c r="B162" s="60" t="inlineStr">
        <is>
          <t>L3</t>
        </is>
      </c>
      <c r="C162" s="61" t="n">
        <v>14</v>
      </c>
      <c r="D162" s="60" t="inlineStr">
        <is>
          <t>B</t>
        </is>
      </c>
      <c r="E162" s="60" t="inlineStr">
        <is>
          <t>BOX</t>
        </is>
      </c>
      <c r="F162" s="58" t="n"/>
      <c r="G162" s="58" t="n"/>
      <c r="H162" s="60" t="n">
        <v>8</v>
      </c>
      <c r="I162" s="60" t="n">
        <v>4</v>
      </c>
    </row>
    <row r="163">
      <c r="A163" s="58" t="inlineStr">
        <is>
          <t>L3-15-B</t>
        </is>
      </c>
      <c r="B163" s="60" t="inlineStr">
        <is>
          <t>L3</t>
        </is>
      </c>
      <c r="C163" s="61" t="n">
        <v>15</v>
      </c>
      <c r="D163" s="60" t="inlineStr">
        <is>
          <t>B</t>
        </is>
      </c>
      <c r="E163" s="60" t="inlineStr">
        <is>
          <t>BOX</t>
        </is>
      </c>
      <c r="F163" s="58" t="n"/>
      <c r="G163" s="58" t="n"/>
      <c r="H163" s="60" t="n">
        <v>8</v>
      </c>
      <c r="I163" s="60" t="n">
        <v>3</v>
      </c>
    </row>
    <row r="164">
      <c r="A164" s="58" t="inlineStr">
        <is>
          <t>L3-16-B</t>
        </is>
      </c>
      <c r="B164" s="60" t="inlineStr">
        <is>
          <t>L3</t>
        </is>
      </c>
      <c r="C164" s="61" t="n">
        <v>16</v>
      </c>
      <c r="D164" s="60" t="inlineStr">
        <is>
          <t>B</t>
        </is>
      </c>
      <c r="E164" s="60" t="inlineStr">
        <is>
          <t>BOX</t>
        </is>
      </c>
      <c r="F164" s="58" t="n"/>
      <c r="G164" s="58" t="n"/>
      <c r="H164" s="60" t="n">
        <v>8</v>
      </c>
      <c r="I164" s="60" t="n">
        <v>2</v>
      </c>
    </row>
    <row r="165">
      <c r="A165" s="58" t="inlineStr">
        <is>
          <t>L3-01-C</t>
        </is>
      </c>
      <c r="B165" s="60" t="inlineStr">
        <is>
          <t>L3</t>
        </is>
      </c>
      <c r="C165" s="61" t="n">
        <v>1</v>
      </c>
      <c r="D165" s="60" t="inlineStr">
        <is>
          <t>C</t>
        </is>
      </c>
      <c r="E165" s="60" t="inlineStr">
        <is>
          <t>BOX</t>
        </is>
      </c>
      <c r="F165" s="58" t="n"/>
      <c r="G165" s="58" t="n"/>
      <c r="H165" s="60" t="n">
        <v>9</v>
      </c>
      <c r="I165" s="60" t="n">
        <v>17</v>
      </c>
    </row>
    <row r="166">
      <c r="A166" s="58" t="inlineStr">
        <is>
          <t>L3-02-C</t>
        </is>
      </c>
      <c r="B166" s="60" t="inlineStr">
        <is>
          <t>L3</t>
        </is>
      </c>
      <c r="C166" s="61" t="n">
        <v>2</v>
      </c>
      <c r="D166" s="60" t="inlineStr">
        <is>
          <t>C</t>
        </is>
      </c>
      <c r="E166" s="60" t="inlineStr">
        <is>
          <t>BOX</t>
        </is>
      </c>
      <c r="F166" s="58" t="n"/>
      <c r="G166" s="58" t="n"/>
      <c r="H166" s="60" t="n">
        <v>9</v>
      </c>
      <c r="I166" s="60" t="n">
        <v>16</v>
      </c>
    </row>
    <row r="167">
      <c r="A167" s="58" t="inlineStr">
        <is>
          <t>L3-03-C</t>
        </is>
      </c>
      <c r="B167" s="60" t="inlineStr">
        <is>
          <t>L3</t>
        </is>
      </c>
      <c r="C167" s="61" t="n">
        <v>3</v>
      </c>
      <c r="D167" s="60" t="inlineStr">
        <is>
          <t>C</t>
        </is>
      </c>
      <c r="E167" s="60" t="inlineStr">
        <is>
          <t>BOX</t>
        </is>
      </c>
      <c r="F167" s="58" t="n"/>
      <c r="G167" s="58" t="n"/>
      <c r="H167" s="60" t="n">
        <v>9</v>
      </c>
      <c r="I167" s="60" t="n">
        <v>15</v>
      </c>
    </row>
    <row r="168">
      <c r="A168" s="58" t="inlineStr">
        <is>
          <t>L3-04-C</t>
        </is>
      </c>
      <c r="B168" s="60" t="inlineStr">
        <is>
          <t>L3</t>
        </is>
      </c>
      <c r="C168" s="61" t="n">
        <v>4</v>
      </c>
      <c r="D168" s="60" t="inlineStr">
        <is>
          <t>C</t>
        </is>
      </c>
      <c r="E168" s="60" t="inlineStr">
        <is>
          <t>BOX</t>
        </is>
      </c>
      <c r="F168" s="58" t="n"/>
      <c r="G168" s="58" t="n"/>
      <c r="H168" s="60" t="n">
        <v>9</v>
      </c>
      <c r="I168" s="60" t="n">
        <v>14</v>
      </c>
    </row>
    <row r="169">
      <c r="A169" s="58" t="inlineStr">
        <is>
          <t>L3-05-C</t>
        </is>
      </c>
      <c r="B169" s="60" t="inlineStr">
        <is>
          <t>L3</t>
        </is>
      </c>
      <c r="C169" s="61" t="n">
        <v>5</v>
      </c>
      <c r="D169" s="60" t="inlineStr">
        <is>
          <t>C</t>
        </is>
      </c>
      <c r="E169" s="60" t="inlineStr">
        <is>
          <t>BOX</t>
        </is>
      </c>
      <c r="F169" s="58" t="n"/>
      <c r="G169" s="58" t="n"/>
      <c r="H169" s="60" t="n">
        <v>9</v>
      </c>
      <c r="I169" s="60" t="n">
        <v>13</v>
      </c>
    </row>
    <row r="170">
      <c r="A170" s="58" t="inlineStr">
        <is>
          <t>L3-06-C</t>
        </is>
      </c>
      <c r="B170" s="60" t="inlineStr">
        <is>
          <t>L3</t>
        </is>
      </c>
      <c r="C170" s="61" t="n">
        <v>6</v>
      </c>
      <c r="D170" s="60" t="inlineStr">
        <is>
          <t>C</t>
        </is>
      </c>
      <c r="E170" s="60" t="inlineStr">
        <is>
          <t>BOX</t>
        </is>
      </c>
      <c r="F170" s="58" t="n"/>
      <c r="G170" s="58" t="n"/>
      <c r="H170" s="60" t="n">
        <v>9</v>
      </c>
      <c r="I170" s="60" t="n">
        <v>12</v>
      </c>
    </row>
    <row r="171">
      <c r="A171" s="58" t="inlineStr">
        <is>
          <t>L3-07-C</t>
        </is>
      </c>
      <c r="B171" s="60" t="inlineStr">
        <is>
          <t>L3</t>
        </is>
      </c>
      <c r="C171" s="61" t="n">
        <v>7</v>
      </c>
      <c r="D171" s="60" t="inlineStr">
        <is>
          <t>C</t>
        </is>
      </c>
      <c r="E171" s="60" t="inlineStr">
        <is>
          <t>BOX</t>
        </is>
      </c>
      <c r="F171" s="58" t="n"/>
      <c r="G171" s="58" t="n"/>
      <c r="H171" s="60" t="n">
        <v>9</v>
      </c>
      <c r="I171" s="60" t="n">
        <v>11</v>
      </c>
    </row>
    <row r="172">
      <c r="A172" s="58" t="inlineStr">
        <is>
          <t>L3-08-C</t>
        </is>
      </c>
      <c r="B172" s="60" t="inlineStr">
        <is>
          <t>L3</t>
        </is>
      </c>
      <c r="C172" s="61" t="n">
        <v>8</v>
      </c>
      <c r="D172" s="60" t="inlineStr">
        <is>
          <t>C</t>
        </is>
      </c>
      <c r="E172" s="60" t="inlineStr">
        <is>
          <t>BOX</t>
        </is>
      </c>
      <c r="F172" s="58" t="n"/>
      <c r="G172" s="58" t="n"/>
      <c r="H172" s="60" t="n">
        <v>9</v>
      </c>
      <c r="I172" s="60" t="n">
        <v>10</v>
      </c>
    </row>
    <row r="173">
      <c r="A173" s="58" t="inlineStr">
        <is>
          <t>L3-09-C</t>
        </is>
      </c>
      <c r="B173" s="60" t="inlineStr">
        <is>
          <t>L3</t>
        </is>
      </c>
      <c r="C173" s="61" t="n">
        <v>9</v>
      </c>
      <c r="D173" s="60" t="inlineStr">
        <is>
          <t>C</t>
        </is>
      </c>
      <c r="E173" s="60" t="inlineStr">
        <is>
          <t>BOX</t>
        </is>
      </c>
      <c r="F173" s="58" t="n"/>
      <c r="G173" s="58" t="n"/>
      <c r="H173" s="60" t="n">
        <v>9</v>
      </c>
      <c r="I173" s="60" t="n">
        <v>9</v>
      </c>
    </row>
    <row r="174">
      <c r="A174" s="58" t="inlineStr">
        <is>
          <t>L3-10-C</t>
        </is>
      </c>
      <c r="B174" s="60" t="inlineStr">
        <is>
          <t>L3</t>
        </is>
      </c>
      <c r="C174" s="61" t="n">
        <v>10</v>
      </c>
      <c r="D174" s="60" t="inlineStr">
        <is>
          <t>C</t>
        </is>
      </c>
      <c r="E174" s="60" t="inlineStr">
        <is>
          <t>BOX</t>
        </is>
      </c>
      <c r="F174" s="58" t="n"/>
      <c r="G174" s="58" t="n"/>
      <c r="H174" s="60" t="n">
        <v>9</v>
      </c>
      <c r="I174" s="60" t="n">
        <v>8</v>
      </c>
    </row>
    <row r="175">
      <c r="A175" s="58" t="inlineStr">
        <is>
          <t>L3-11-C</t>
        </is>
      </c>
      <c r="B175" s="60" t="inlineStr">
        <is>
          <t>L3</t>
        </is>
      </c>
      <c r="C175" s="61" t="n">
        <v>11</v>
      </c>
      <c r="D175" s="60" t="inlineStr">
        <is>
          <t>C</t>
        </is>
      </c>
      <c r="E175" s="60" t="inlineStr">
        <is>
          <t>BOX</t>
        </is>
      </c>
      <c r="F175" s="58" t="n"/>
      <c r="G175" s="58" t="n"/>
      <c r="H175" s="60" t="n">
        <v>9</v>
      </c>
      <c r="I175" s="60" t="n">
        <v>7</v>
      </c>
    </row>
    <row r="176">
      <c r="A176" s="58" t="inlineStr">
        <is>
          <t>L3-12-C</t>
        </is>
      </c>
      <c r="B176" s="60" t="inlineStr">
        <is>
          <t>L3</t>
        </is>
      </c>
      <c r="C176" s="61" t="n">
        <v>12</v>
      </c>
      <c r="D176" s="60" t="inlineStr">
        <is>
          <t>C</t>
        </is>
      </c>
      <c r="E176" s="60" t="inlineStr">
        <is>
          <t>BOX</t>
        </is>
      </c>
      <c r="F176" s="58" t="n"/>
      <c r="G176" s="58" t="n"/>
      <c r="H176" s="60" t="n">
        <v>9</v>
      </c>
      <c r="I176" s="60" t="n">
        <v>6</v>
      </c>
    </row>
    <row r="177">
      <c r="A177" s="58" t="inlineStr">
        <is>
          <t>L3-13-C</t>
        </is>
      </c>
      <c r="B177" s="60" t="inlineStr">
        <is>
          <t>L3</t>
        </is>
      </c>
      <c r="C177" s="61" t="n">
        <v>13</v>
      </c>
      <c r="D177" s="60" t="inlineStr">
        <is>
          <t>C</t>
        </is>
      </c>
      <c r="E177" s="60" t="inlineStr">
        <is>
          <t>BOX</t>
        </is>
      </c>
      <c r="F177" s="58" t="n"/>
      <c r="G177" s="58" t="n"/>
      <c r="H177" s="60" t="n">
        <v>9</v>
      </c>
      <c r="I177" s="60" t="n">
        <v>5</v>
      </c>
    </row>
    <row r="178">
      <c r="A178" s="58" t="inlineStr">
        <is>
          <t>L3-14-C</t>
        </is>
      </c>
      <c r="B178" s="60" t="inlineStr">
        <is>
          <t>L3</t>
        </is>
      </c>
      <c r="C178" s="61" t="n">
        <v>14</v>
      </c>
      <c r="D178" s="60" t="inlineStr">
        <is>
          <t>C</t>
        </is>
      </c>
      <c r="E178" s="60" t="inlineStr">
        <is>
          <t>BOX</t>
        </is>
      </c>
      <c r="F178" s="58" t="n"/>
      <c r="G178" s="58" t="n"/>
      <c r="H178" s="60" t="n">
        <v>9</v>
      </c>
      <c r="I178" s="60" t="n">
        <v>4</v>
      </c>
    </row>
    <row r="179">
      <c r="A179" s="58" t="inlineStr">
        <is>
          <t>L3-15-C</t>
        </is>
      </c>
      <c r="B179" s="60" t="inlineStr">
        <is>
          <t>L3</t>
        </is>
      </c>
      <c r="C179" s="61" t="n">
        <v>15</v>
      </c>
      <c r="D179" s="60" t="inlineStr">
        <is>
          <t>C</t>
        </is>
      </c>
      <c r="E179" s="60" t="inlineStr">
        <is>
          <t>BOX</t>
        </is>
      </c>
      <c r="F179" s="58" t="n"/>
      <c r="G179" s="58" t="n"/>
      <c r="H179" s="60" t="n">
        <v>9</v>
      </c>
      <c r="I179" s="60" t="n">
        <v>3</v>
      </c>
    </row>
    <row r="180">
      <c r="A180" s="58" t="inlineStr">
        <is>
          <t>L3-16-C</t>
        </is>
      </c>
      <c r="B180" s="60" t="inlineStr">
        <is>
          <t>L3</t>
        </is>
      </c>
      <c r="C180" s="61" t="n">
        <v>16</v>
      </c>
      <c r="D180" s="60" t="inlineStr">
        <is>
          <t>C</t>
        </is>
      </c>
      <c r="E180" s="60" t="inlineStr">
        <is>
          <t>BOX</t>
        </is>
      </c>
      <c r="F180" s="58" t="n"/>
      <c r="G180" s="58" t="n"/>
      <c r="H180" s="60" t="n">
        <v>9</v>
      </c>
      <c r="I180" s="60" t="n">
        <v>2</v>
      </c>
    </row>
    <row r="181">
      <c r="A181" s="58" t="inlineStr">
        <is>
          <t>L3-01-D</t>
        </is>
      </c>
      <c r="B181" s="60" t="inlineStr">
        <is>
          <t>L3</t>
        </is>
      </c>
      <c r="C181" s="61" t="n">
        <v>1</v>
      </c>
      <c r="D181" s="60" t="inlineStr">
        <is>
          <t>D</t>
        </is>
      </c>
      <c r="E181" s="60" t="inlineStr">
        <is>
          <t>BOX</t>
        </is>
      </c>
      <c r="F181" s="58" t="n"/>
      <c r="G181" s="58" t="n"/>
      <c r="H181" s="60" t="n">
        <v>10</v>
      </c>
      <c r="I181" s="60" t="n">
        <v>17</v>
      </c>
    </row>
    <row r="182">
      <c r="A182" s="58" t="inlineStr">
        <is>
          <t>L3-02-D</t>
        </is>
      </c>
      <c r="B182" s="60" t="inlineStr">
        <is>
          <t>L3</t>
        </is>
      </c>
      <c r="C182" s="61" t="n">
        <v>2</v>
      </c>
      <c r="D182" s="60" t="inlineStr">
        <is>
          <t>D</t>
        </is>
      </c>
      <c r="E182" s="60" t="inlineStr">
        <is>
          <t>BOX</t>
        </is>
      </c>
      <c r="F182" s="58" t="n"/>
      <c r="G182" s="58" t="n"/>
      <c r="H182" s="60" t="n">
        <v>10</v>
      </c>
      <c r="I182" s="60" t="n">
        <v>16</v>
      </c>
    </row>
    <row r="183">
      <c r="A183" s="58" t="inlineStr">
        <is>
          <t>L3-03-D</t>
        </is>
      </c>
      <c r="B183" s="60" t="inlineStr">
        <is>
          <t>L3</t>
        </is>
      </c>
      <c r="C183" s="61" t="n">
        <v>3</v>
      </c>
      <c r="D183" s="60" t="inlineStr">
        <is>
          <t>D</t>
        </is>
      </c>
      <c r="E183" s="60" t="inlineStr">
        <is>
          <t>BOX</t>
        </is>
      </c>
      <c r="F183" s="58" t="n"/>
      <c r="G183" s="58" t="n"/>
      <c r="H183" s="60" t="n">
        <v>10</v>
      </c>
      <c r="I183" s="60" t="n">
        <v>15</v>
      </c>
    </row>
    <row r="184">
      <c r="A184" s="58" t="inlineStr">
        <is>
          <t>L3-04-D</t>
        </is>
      </c>
      <c r="B184" s="60" t="inlineStr">
        <is>
          <t>L3</t>
        </is>
      </c>
      <c r="C184" s="61" t="n">
        <v>4</v>
      </c>
      <c r="D184" s="60" t="inlineStr">
        <is>
          <t>D</t>
        </is>
      </c>
      <c r="E184" s="60" t="inlineStr">
        <is>
          <t>BOX</t>
        </is>
      </c>
      <c r="F184" s="58" t="n"/>
      <c r="G184" s="58" t="n"/>
      <c r="H184" s="60" t="n">
        <v>10</v>
      </c>
      <c r="I184" s="60" t="n">
        <v>14</v>
      </c>
    </row>
    <row r="185">
      <c r="A185" s="58" t="inlineStr">
        <is>
          <t>L3-05-D</t>
        </is>
      </c>
      <c r="B185" s="60" t="inlineStr">
        <is>
          <t>L3</t>
        </is>
      </c>
      <c r="C185" s="61" t="n">
        <v>5</v>
      </c>
      <c r="D185" s="60" t="inlineStr">
        <is>
          <t>D</t>
        </is>
      </c>
      <c r="E185" s="60" t="inlineStr">
        <is>
          <t>BOX</t>
        </is>
      </c>
      <c r="F185" s="58" t="n"/>
      <c r="G185" s="58" t="n"/>
      <c r="H185" s="60" t="n">
        <v>10</v>
      </c>
      <c r="I185" s="60" t="n">
        <v>13</v>
      </c>
    </row>
    <row r="186">
      <c r="A186" s="58" t="inlineStr">
        <is>
          <t>L3-06-D</t>
        </is>
      </c>
      <c r="B186" s="60" t="inlineStr">
        <is>
          <t>L3</t>
        </is>
      </c>
      <c r="C186" s="61" t="n">
        <v>6</v>
      </c>
      <c r="D186" s="60" t="inlineStr">
        <is>
          <t>D</t>
        </is>
      </c>
      <c r="E186" s="60" t="inlineStr">
        <is>
          <t>BOX</t>
        </is>
      </c>
      <c r="F186" s="58" t="n"/>
      <c r="G186" s="58" t="n"/>
      <c r="H186" s="60" t="n">
        <v>10</v>
      </c>
      <c r="I186" s="60" t="n">
        <v>12</v>
      </c>
    </row>
    <row r="187">
      <c r="A187" s="58" t="inlineStr">
        <is>
          <t>L3-07-D</t>
        </is>
      </c>
      <c r="B187" s="60" t="inlineStr">
        <is>
          <t>L3</t>
        </is>
      </c>
      <c r="C187" s="61" t="n">
        <v>7</v>
      </c>
      <c r="D187" s="60" t="inlineStr">
        <is>
          <t>D</t>
        </is>
      </c>
      <c r="E187" s="60" t="inlineStr">
        <is>
          <t>BOX</t>
        </is>
      </c>
      <c r="F187" s="58" t="n"/>
      <c r="G187" s="58" t="n"/>
      <c r="H187" s="60" t="n">
        <v>10</v>
      </c>
      <c r="I187" s="60" t="n">
        <v>11</v>
      </c>
    </row>
    <row r="188">
      <c r="A188" s="58" t="inlineStr">
        <is>
          <t>L3-08-D</t>
        </is>
      </c>
      <c r="B188" s="60" t="inlineStr">
        <is>
          <t>L3</t>
        </is>
      </c>
      <c r="C188" s="61" t="n">
        <v>8</v>
      </c>
      <c r="D188" s="60" t="inlineStr">
        <is>
          <t>D</t>
        </is>
      </c>
      <c r="E188" s="60" t="inlineStr">
        <is>
          <t>BOX</t>
        </is>
      </c>
      <c r="F188" s="58" t="n"/>
      <c r="G188" s="58" t="n"/>
      <c r="H188" s="60" t="n">
        <v>10</v>
      </c>
      <c r="I188" s="60" t="n">
        <v>10</v>
      </c>
    </row>
    <row r="189">
      <c r="A189" s="58" t="inlineStr">
        <is>
          <t>L3-09-D</t>
        </is>
      </c>
      <c r="B189" s="60" t="inlineStr">
        <is>
          <t>L3</t>
        </is>
      </c>
      <c r="C189" s="61" t="n">
        <v>9</v>
      </c>
      <c r="D189" s="60" t="inlineStr">
        <is>
          <t>D</t>
        </is>
      </c>
      <c r="E189" s="60" t="inlineStr">
        <is>
          <t>BOX</t>
        </is>
      </c>
      <c r="F189" s="58" t="n"/>
      <c r="G189" s="58" t="n"/>
      <c r="H189" s="60" t="n">
        <v>10</v>
      </c>
      <c r="I189" s="60" t="n">
        <v>9</v>
      </c>
    </row>
    <row r="190">
      <c r="A190" s="58" t="inlineStr">
        <is>
          <t>L3-10-D</t>
        </is>
      </c>
      <c r="B190" s="60" t="inlineStr">
        <is>
          <t>L3</t>
        </is>
      </c>
      <c r="C190" s="61" t="n">
        <v>10</v>
      </c>
      <c r="D190" s="60" t="inlineStr">
        <is>
          <t>D</t>
        </is>
      </c>
      <c r="E190" s="60" t="inlineStr">
        <is>
          <t>BOX</t>
        </is>
      </c>
      <c r="F190" s="58" t="n"/>
      <c r="G190" s="58" t="n"/>
      <c r="H190" s="60" t="n">
        <v>10</v>
      </c>
      <c r="I190" s="60" t="n">
        <v>8</v>
      </c>
    </row>
    <row r="191">
      <c r="A191" s="58" t="inlineStr">
        <is>
          <t>L3-11-D</t>
        </is>
      </c>
      <c r="B191" s="60" t="inlineStr">
        <is>
          <t>L3</t>
        </is>
      </c>
      <c r="C191" s="61" t="n">
        <v>11</v>
      </c>
      <c r="D191" s="60" t="inlineStr">
        <is>
          <t>D</t>
        </is>
      </c>
      <c r="E191" s="60" t="inlineStr">
        <is>
          <t>BOX</t>
        </is>
      </c>
      <c r="F191" s="58" t="n"/>
      <c r="G191" s="58" t="n"/>
      <c r="H191" s="60" t="n">
        <v>10</v>
      </c>
      <c r="I191" s="60" t="n">
        <v>7</v>
      </c>
    </row>
    <row r="192">
      <c r="A192" s="58" t="inlineStr">
        <is>
          <t>L3-12-D</t>
        </is>
      </c>
      <c r="B192" s="60" t="inlineStr">
        <is>
          <t>L3</t>
        </is>
      </c>
      <c r="C192" s="61" t="n">
        <v>12</v>
      </c>
      <c r="D192" s="60" t="inlineStr">
        <is>
          <t>D</t>
        </is>
      </c>
      <c r="E192" s="60" t="inlineStr">
        <is>
          <t>BOX</t>
        </is>
      </c>
      <c r="F192" s="58" t="n"/>
      <c r="G192" s="58" t="n"/>
      <c r="H192" s="60" t="n">
        <v>10</v>
      </c>
      <c r="I192" s="60" t="n">
        <v>6</v>
      </c>
    </row>
    <row r="193">
      <c r="A193" s="58" t="inlineStr">
        <is>
          <t>L3-13-D</t>
        </is>
      </c>
      <c r="B193" s="60" t="inlineStr">
        <is>
          <t>L3</t>
        </is>
      </c>
      <c r="C193" s="61" t="n">
        <v>13</v>
      </c>
      <c r="D193" s="60" t="inlineStr">
        <is>
          <t>D</t>
        </is>
      </c>
      <c r="E193" s="60" t="inlineStr">
        <is>
          <t>BOX</t>
        </is>
      </c>
      <c r="F193" s="58" t="n"/>
      <c r="G193" s="58" t="n"/>
      <c r="H193" s="60" t="n">
        <v>10</v>
      </c>
      <c r="I193" s="60" t="n">
        <v>5</v>
      </c>
    </row>
    <row r="194">
      <c r="A194" s="58" t="inlineStr">
        <is>
          <t>L3-14-D</t>
        </is>
      </c>
      <c r="B194" s="60" t="inlineStr">
        <is>
          <t>L3</t>
        </is>
      </c>
      <c r="C194" s="61" t="n">
        <v>14</v>
      </c>
      <c r="D194" s="60" t="inlineStr">
        <is>
          <t>D</t>
        </is>
      </c>
      <c r="E194" s="60" t="inlineStr">
        <is>
          <t>BOX</t>
        </is>
      </c>
      <c r="F194" s="58" t="n"/>
      <c r="G194" s="58" t="n"/>
      <c r="H194" s="60" t="n">
        <v>10</v>
      </c>
      <c r="I194" s="60" t="n">
        <v>4</v>
      </c>
    </row>
    <row r="195">
      <c r="A195" s="58" t="inlineStr">
        <is>
          <t>L3-15-D</t>
        </is>
      </c>
      <c r="B195" s="60" t="inlineStr">
        <is>
          <t>L3</t>
        </is>
      </c>
      <c r="C195" s="61" t="n">
        <v>15</v>
      </c>
      <c r="D195" s="60" t="inlineStr">
        <is>
          <t>D</t>
        </is>
      </c>
      <c r="E195" s="60" t="inlineStr">
        <is>
          <t>BOX</t>
        </is>
      </c>
      <c r="F195" s="58" t="n"/>
      <c r="G195" s="58" t="n"/>
      <c r="H195" s="60" t="n">
        <v>10</v>
      </c>
      <c r="I195" s="60" t="n">
        <v>3</v>
      </c>
    </row>
    <row r="196">
      <c r="A196" s="58" t="inlineStr">
        <is>
          <t>L3-16-D</t>
        </is>
      </c>
      <c r="B196" s="60" t="inlineStr">
        <is>
          <t>L3</t>
        </is>
      </c>
      <c r="C196" s="61" t="n">
        <v>16</v>
      </c>
      <c r="D196" s="60" t="inlineStr">
        <is>
          <t>D</t>
        </is>
      </c>
      <c r="E196" s="60" t="inlineStr">
        <is>
          <t>BOX</t>
        </is>
      </c>
      <c r="F196" s="58" t="n"/>
      <c r="G196" s="58" t="n"/>
      <c r="H196" s="60" t="n">
        <v>10</v>
      </c>
      <c r="I196" s="60" t="n">
        <v>2</v>
      </c>
    </row>
    <row r="197">
      <c r="A197" s="58" t="inlineStr">
        <is>
          <t>R1-01-A</t>
        </is>
      </c>
      <c r="B197" s="60" t="inlineStr">
        <is>
          <t>R1</t>
        </is>
      </c>
      <c r="C197" s="61" t="n">
        <v>1</v>
      </c>
      <c r="D197" s="60" t="inlineStr">
        <is>
          <t>A</t>
        </is>
      </c>
      <c r="E197" s="60" t="inlineStr">
        <is>
          <t>LBL</t>
        </is>
      </c>
      <c r="F197" s="58" t="n"/>
      <c r="G197" s="58" t="n"/>
      <c r="H197" s="60" t="n">
        <v>22</v>
      </c>
      <c r="I197" s="60" t="n">
        <v>21</v>
      </c>
    </row>
    <row r="198">
      <c r="A198" s="58" t="inlineStr">
        <is>
          <t>R1-02-A</t>
        </is>
      </c>
      <c r="B198" s="60" t="inlineStr">
        <is>
          <t>R1</t>
        </is>
      </c>
      <c r="C198" s="61" t="n">
        <v>2</v>
      </c>
      <c r="D198" s="60" t="inlineStr">
        <is>
          <t>A</t>
        </is>
      </c>
      <c r="E198" s="60" t="inlineStr">
        <is>
          <t>LBL</t>
        </is>
      </c>
      <c r="F198" s="58" t="n"/>
      <c r="G198" s="58" t="n"/>
      <c r="H198" s="60" t="n">
        <v>22</v>
      </c>
      <c r="I198" s="60" t="n">
        <v>22</v>
      </c>
    </row>
    <row r="199">
      <c r="A199" s="58" t="inlineStr">
        <is>
          <t>R1-03-A</t>
        </is>
      </c>
      <c r="B199" s="60" t="inlineStr">
        <is>
          <t>R1</t>
        </is>
      </c>
      <c r="C199" s="61" t="n">
        <v>3</v>
      </c>
      <c r="D199" s="60" t="inlineStr">
        <is>
          <t>A</t>
        </is>
      </c>
      <c r="E199" s="60" t="inlineStr">
        <is>
          <t>LBL</t>
        </is>
      </c>
      <c r="F199" s="58" t="n"/>
      <c r="G199" s="58" t="n"/>
      <c r="H199" s="60" t="n">
        <v>22</v>
      </c>
      <c r="I199" s="60" t="n">
        <v>23</v>
      </c>
    </row>
    <row r="200">
      <c r="A200" s="58" t="inlineStr">
        <is>
          <t>R1-04-A</t>
        </is>
      </c>
      <c r="B200" s="60" t="inlineStr">
        <is>
          <t>R1</t>
        </is>
      </c>
      <c r="C200" s="61" t="n">
        <v>4</v>
      </c>
      <c r="D200" s="60" t="inlineStr">
        <is>
          <t>A</t>
        </is>
      </c>
      <c r="E200" s="60" t="inlineStr">
        <is>
          <t>LBL</t>
        </is>
      </c>
      <c r="F200" s="58" t="n"/>
      <c r="G200" s="58" t="n"/>
      <c r="H200" s="60" t="n">
        <v>22</v>
      </c>
      <c r="I200" s="60" t="n">
        <v>24</v>
      </c>
    </row>
    <row r="201">
      <c r="A201" s="58" t="inlineStr">
        <is>
          <t>R1-05-A</t>
        </is>
      </c>
      <c r="B201" s="60" t="inlineStr">
        <is>
          <t>R1</t>
        </is>
      </c>
      <c r="C201" s="61" t="n">
        <v>5</v>
      </c>
      <c r="D201" s="60" t="inlineStr">
        <is>
          <t>A</t>
        </is>
      </c>
      <c r="E201" s="60" t="inlineStr">
        <is>
          <t>LBL</t>
        </is>
      </c>
      <c r="F201" s="58" t="n"/>
      <c r="G201" s="58" t="n"/>
      <c r="H201" s="60" t="n">
        <v>22</v>
      </c>
      <c r="I201" s="60" t="n">
        <v>25</v>
      </c>
    </row>
    <row r="202">
      <c r="A202" s="58" t="inlineStr">
        <is>
          <t>R1-06-A</t>
        </is>
      </c>
      <c r="B202" s="60" t="inlineStr">
        <is>
          <t>R1</t>
        </is>
      </c>
      <c r="C202" s="61" t="n">
        <v>6</v>
      </c>
      <c r="D202" s="60" t="inlineStr">
        <is>
          <t>A</t>
        </is>
      </c>
      <c r="E202" s="60" t="inlineStr">
        <is>
          <t>LBL</t>
        </is>
      </c>
      <c r="F202" s="58" t="n"/>
      <c r="G202" s="58" t="n"/>
      <c r="H202" s="60" t="n">
        <v>22</v>
      </c>
      <c r="I202" s="60" t="n">
        <v>26</v>
      </c>
    </row>
    <row r="203">
      <c r="A203" s="58" t="inlineStr">
        <is>
          <t>R1-07-A</t>
        </is>
      </c>
      <c r="B203" s="60" t="inlineStr">
        <is>
          <t>R1</t>
        </is>
      </c>
      <c r="C203" s="61" t="n">
        <v>7</v>
      </c>
      <c r="D203" s="60" t="inlineStr">
        <is>
          <t>A</t>
        </is>
      </c>
      <c r="E203" s="60" t="inlineStr">
        <is>
          <t>LBL</t>
        </is>
      </c>
      <c r="F203" s="58" t="n"/>
      <c r="G203" s="58" t="n"/>
      <c r="H203" s="60" t="n">
        <v>22</v>
      </c>
      <c r="I203" s="60" t="n">
        <v>27</v>
      </c>
    </row>
    <row r="204">
      <c r="A204" s="58" t="inlineStr">
        <is>
          <t>R1-08-A</t>
        </is>
      </c>
      <c r="B204" s="60" t="inlineStr">
        <is>
          <t>R1</t>
        </is>
      </c>
      <c r="C204" s="61" t="n">
        <v>8</v>
      </c>
      <c r="D204" s="60" t="inlineStr">
        <is>
          <t>A</t>
        </is>
      </c>
      <c r="E204" s="60" t="inlineStr">
        <is>
          <t>LBL</t>
        </is>
      </c>
      <c r="F204" s="58" t="n"/>
      <c r="G204" s="58" t="n"/>
      <c r="H204" s="60" t="n">
        <v>22</v>
      </c>
      <c r="I204" s="60" t="n">
        <v>28</v>
      </c>
    </row>
    <row r="205">
      <c r="A205" s="58" t="inlineStr">
        <is>
          <t>R1-09-A</t>
        </is>
      </c>
      <c r="B205" s="60" t="inlineStr">
        <is>
          <t>R1</t>
        </is>
      </c>
      <c r="C205" s="61" t="n">
        <v>9</v>
      </c>
      <c r="D205" s="60" t="inlineStr">
        <is>
          <t>A</t>
        </is>
      </c>
      <c r="E205" s="60" t="inlineStr">
        <is>
          <t>LBL</t>
        </is>
      </c>
      <c r="F205" s="58" t="n"/>
      <c r="G205" s="58" t="n"/>
      <c r="H205" s="60" t="n">
        <v>22</v>
      </c>
      <c r="I205" s="60" t="n">
        <v>29</v>
      </c>
    </row>
    <row r="206">
      <c r="A206" s="58" t="inlineStr">
        <is>
          <t>R1-10-A</t>
        </is>
      </c>
      <c r="B206" s="60" t="inlineStr">
        <is>
          <t>R1</t>
        </is>
      </c>
      <c r="C206" s="61" t="n">
        <v>10</v>
      </c>
      <c r="D206" s="60" t="inlineStr">
        <is>
          <t>A</t>
        </is>
      </c>
      <c r="E206" s="60" t="inlineStr">
        <is>
          <t>LBL</t>
        </is>
      </c>
      <c r="F206" s="58" t="n"/>
      <c r="G206" s="58" t="n"/>
      <c r="H206" s="60" t="n">
        <v>22</v>
      </c>
      <c r="I206" s="60" t="n">
        <v>30</v>
      </c>
    </row>
    <row r="207">
      <c r="A207" s="58" t="inlineStr">
        <is>
          <t>R1-11-A</t>
        </is>
      </c>
      <c r="B207" s="60" t="inlineStr">
        <is>
          <t>R1</t>
        </is>
      </c>
      <c r="C207" s="61" t="n">
        <v>11</v>
      </c>
      <c r="D207" s="60" t="inlineStr">
        <is>
          <t>A</t>
        </is>
      </c>
      <c r="E207" s="60" t="inlineStr">
        <is>
          <t>LBL</t>
        </is>
      </c>
      <c r="F207" s="58" t="n"/>
      <c r="G207" s="58" t="n"/>
      <c r="H207" s="60" t="n">
        <v>22</v>
      </c>
      <c r="I207" s="60" t="n">
        <v>31</v>
      </c>
    </row>
    <row r="208">
      <c r="A208" s="58" t="inlineStr">
        <is>
          <t>R1-12-A</t>
        </is>
      </c>
      <c r="B208" s="60" t="inlineStr">
        <is>
          <t>R1</t>
        </is>
      </c>
      <c r="C208" s="61" t="n">
        <v>12</v>
      </c>
      <c r="D208" s="60" t="inlineStr">
        <is>
          <t>A</t>
        </is>
      </c>
      <c r="E208" s="60" t="inlineStr">
        <is>
          <t>LBL</t>
        </is>
      </c>
      <c r="F208" s="58" t="n"/>
      <c r="G208" s="58" t="n"/>
      <c r="H208" s="60" t="n">
        <v>22</v>
      </c>
      <c r="I208" s="60" t="n">
        <v>32</v>
      </c>
    </row>
    <row r="209">
      <c r="A209" s="58" t="inlineStr">
        <is>
          <t>R1-13-A</t>
        </is>
      </c>
      <c r="B209" s="60" t="inlineStr">
        <is>
          <t>R1</t>
        </is>
      </c>
      <c r="C209" s="61" t="n">
        <v>13</v>
      </c>
      <c r="D209" s="60" t="inlineStr">
        <is>
          <t>A</t>
        </is>
      </c>
      <c r="E209" s="60" t="inlineStr">
        <is>
          <t>LBL</t>
        </is>
      </c>
      <c r="F209" s="58" t="n"/>
      <c r="G209" s="58" t="n"/>
      <c r="H209" s="60" t="n">
        <v>22</v>
      </c>
      <c r="I209" s="60" t="n">
        <v>33</v>
      </c>
    </row>
    <row r="210">
      <c r="A210" s="58" t="inlineStr">
        <is>
          <t>R1-14-A</t>
        </is>
      </c>
      <c r="B210" s="60" t="inlineStr">
        <is>
          <t>R1</t>
        </is>
      </c>
      <c r="C210" s="61" t="n">
        <v>14</v>
      </c>
      <c r="D210" s="60" t="inlineStr">
        <is>
          <t>A</t>
        </is>
      </c>
      <c r="E210" s="60" t="inlineStr">
        <is>
          <t>LBL</t>
        </is>
      </c>
      <c r="F210" s="58" t="n"/>
      <c r="G210" s="58" t="n"/>
      <c r="H210" s="60" t="n">
        <v>22</v>
      </c>
      <c r="I210" s="60" t="n">
        <v>34</v>
      </c>
    </row>
    <row r="211">
      <c r="A211" s="58" t="inlineStr">
        <is>
          <t>R1-15-A</t>
        </is>
      </c>
      <c r="B211" s="60" t="inlineStr">
        <is>
          <t>R1</t>
        </is>
      </c>
      <c r="C211" s="61" t="n">
        <v>15</v>
      </c>
      <c r="D211" s="60" t="inlineStr">
        <is>
          <t>A</t>
        </is>
      </c>
      <c r="E211" s="60" t="inlineStr">
        <is>
          <t>LBL</t>
        </is>
      </c>
      <c r="F211" s="58" t="n"/>
      <c r="G211" s="58" t="n"/>
      <c r="H211" s="60" t="n">
        <v>22</v>
      </c>
      <c r="I211" s="60" t="n">
        <v>35</v>
      </c>
    </row>
    <row r="212">
      <c r="A212" s="58" t="inlineStr">
        <is>
          <t>R1-16-A</t>
        </is>
      </c>
      <c r="B212" s="60" t="inlineStr">
        <is>
          <t>R1</t>
        </is>
      </c>
      <c r="C212" s="61" t="n">
        <v>16</v>
      </c>
      <c r="D212" s="60" t="inlineStr">
        <is>
          <t>A</t>
        </is>
      </c>
      <c r="E212" s="60" t="inlineStr">
        <is>
          <t>LBL</t>
        </is>
      </c>
      <c r="F212" s="58" t="n"/>
      <c r="G212" s="58" t="n"/>
      <c r="H212" s="60" t="n">
        <v>22</v>
      </c>
      <c r="I212" s="60" t="n">
        <v>36</v>
      </c>
    </row>
    <row r="213">
      <c r="A213" s="58" t="inlineStr">
        <is>
          <t>R2-01-A</t>
        </is>
      </c>
      <c r="B213" s="60" t="inlineStr">
        <is>
          <t>R2</t>
        </is>
      </c>
      <c r="C213" s="61" t="n">
        <v>1</v>
      </c>
      <c r="D213" s="60" t="inlineStr">
        <is>
          <t>A</t>
        </is>
      </c>
      <c r="E213" s="60" t="inlineStr">
        <is>
          <t>FLM</t>
        </is>
      </c>
      <c r="F213" s="58" t="n"/>
      <c r="G213" s="58" t="n"/>
      <c r="H213" s="60" t="n">
        <v>17</v>
      </c>
      <c r="I213" s="60" t="n">
        <v>21</v>
      </c>
    </row>
    <row r="214">
      <c r="A214" s="58" t="inlineStr">
        <is>
          <t>R2-02-A</t>
        </is>
      </c>
      <c r="B214" s="60" t="inlineStr">
        <is>
          <t>R2</t>
        </is>
      </c>
      <c r="C214" s="61" t="n">
        <v>2</v>
      </c>
      <c r="D214" s="60" t="inlineStr">
        <is>
          <t>A</t>
        </is>
      </c>
      <c r="E214" s="60" t="inlineStr">
        <is>
          <t>FLM</t>
        </is>
      </c>
      <c r="F214" s="58" t="n"/>
      <c r="G214" s="58" t="n"/>
      <c r="H214" s="60" t="n">
        <v>17</v>
      </c>
      <c r="I214" s="60" t="n">
        <v>22</v>
      </c>
    </row>
    <row r="215">
      <c r="A215" s="58" t="inlineStr">
        <is>
          <t>R2-03-A</t>
        </is>
      </c>
      <c r="B215" s="60" t="inlineStr">
        <is>
          <t>R2</t>
        </is>
      </c>
      <c r="C215" s="61" t="n">
        <v>3</v>
      </c>
      <c r="D215" s="60" t="inlineStr">
        <is>
          <t>A</t>
        </is>
      </c>
      <c r="E215" s="60" t="inlineStr">
        <is>
          <t>FLM</t>
        </is>
      </c>
      <c r="F215" s="58" t="n"/>
      <c r="G215" s="58" t="n"/>
      <c r="H215" s="60" t="n">
        <v>17</v>
      </c>
      <c r="I215" s="60" t="n">
        <v>23</v>
      </c>
    </row>
    <row r="216">
      <c r="A216" s="58" t="inlineStr">
        <is>
          <t>R2-04-A</t>
        </is>
      </c>
      <c r="B216" s="60" t="inlineStr">
        <is>
          <t>R2</t>
        </is>
      </c>
      <c r="C216" s="61" t="n">
        <v>4</v>
      </c>
      <c r="D216" s="60" t="inlineStr">
        <is>
          <t>A</t>
        </is>
      </c>
      <c r="E216" s="60" t="inlineStr">
        <is>
          <t>FLM</t>
        </is>
      </c>
      <c r="F216" s="58" t="n"/>
      <c r="G216" s="58" t="n"/>
      <c r="H216" s="60" t="n">
        <v>17</v>
      </c>
      <c r="I216" s="60" t="n">
        <v>24</v>
      </c>
    </row>
    <row r="217">
      <c r="A217" s="58" t="inlineStr">
        <is>
          <t>R2-05-A</t>
        </is>
      </c>
      <c r="B217" s="60" t="inlineStr">
        <is>
          <t>R2</t>
        </is>
      </c>
      <c r="C217" s="61" t="n">
        <v>5</v>
      </c>
      <c r="D217" s="60" t="inlineStr">
        <is>
          <t>A</t>
        </is>
      </c>
      <c r="E217" s="60" t="inlineStr">
        <is>
          <t>FLM</t>
        </is>
      </c>
      <c r="F217" s="58" t="n"/>
      <c r="G217" s="58" t="n"/>
      <c r="H217" s="60" t="n">
        <v>17</v>
      </c>
      <c r="I217" s="60" t="n">
        <v>25</v>
      </c>
    </row>
    <row r="218">
      <c r="A218" s="58" t="inlineStr">
        <is>
          <t>R2-06-A</t>
        </is>
      </c>
      <c r="B218" s="60" t="inlineStr">
        <is>
          <t>R2</t>
        </is>
      </c>
      <c r="C218" s="61" t="n">
        <v>6</v>
      </c>
      <c r="D218" s="60" t="inlineStr">
        <is>
          <t>A</t>
        </is>
      </c>
      <c r="E218" s="60" t="inlineStr">
        <is>
          <t>FLM</t>
        </is>
      </c>
      <c r="F218" s="58" t="n"/>
      <c r="G218" s="58" t="n"/>
      <c r="H218" s="60" t="n">
        <v>17</v>
      </c>
      <c r="I218" s="60" t="n">
        <v>26</v>
      </c>
    </row>
    <row r="219">
      <c r="A219" s="58" t="inlineStr">
        <is>
          <t>R2-07-A</t>
        </is>
      </c>
      <c r="B219" s="60" t="inlineStr">
        <is>
          <t>R2</t>
        </is>
      </c>
      <c r="C219" s="61" t="n">
        <v>7</v>
      </c>
      <c r="D219" s="60" t="inlineStr">
        <is>
          <t>A</t>
        </is>
      </c>
      <c r="E219" s="60" t="inlineStr">
        <is>
          <t>FLM</t>
        </is>
      </c>
      <c r="F219" s="58" t="n"/>
      <c r="G219" s="58" t="n"/>
      <c r="H219" s="60" t="n">
        <v>17</v>
      </c>
      <c r="I219" s="60" t="n">
        <v>27</v>
      </c>
    </row>
    <row r="220">
      <c r="A220" s="58" t="inlineStr">
        <is>
          <t>R2-08-A</t>
        </is>
      </c>
      <c r="B220" s="60" t="inlineStr">
        <is>
          <t>R2</t>
        </is>
      </c>
      <c r="C220" s="61" t="n">
        <v>8</v>
      </c>
      <c r="D220" s="60" t="inlineStr">
        <is>
          <t>A</t>
        </is>
      </c>
      <c r="E220" s="60" t="inlineStr">
        <is>
          <t>FLM</t>
        </is>
      </c>
      <c r="F220" s="58" t="n"/>
      <c r="G220" s="58" t="n"/>
      <c r="H220" s="60" t="n">
        <v>17</v>
      </c>
      <c r="I220" s="60" t="n">
        <v>28</v>
      </c>
    </row>
    <row r="221">
      <c r="A221" s="58" t="inlineStr">
        <is>
          <t>R2-09-A</t>
        </is>
      </c>
      <c r="B221" s="60" t="inlineStr">
        <is>
          <t>R2</t>
        </is>
      </c>
      <c r="C221" s="61" t="n">
        <v>9</v>
      </c>
      <c r="D221" s="60" t="inlineStr">
        <is>
          <t>A</t>
        </is>
      </c>
      <c r="E221" s="60" t="inlineStr">
        <is>
          <t>FLM</t>
        </is>
      </c>
      <c r="F221" s="58" t="n"/>
      <c r="G221" s="58" t="n"/>
      <c r="H221" s="60" t="n">
        <v>17</v>
      </c>
      <c r="I221" s="60" t="n">
        <v>29</v>
      </c>
    </row>
    <row r="222">
      <c r="A222" s="58" t="inlineStr">
        <is>
          <t>R2-10-A</t>
        </is>
      </c>
      <c r="B222" s="60" t="inlineStr">
        <is>
          <t>R2</t>
        </is>
      </c>
      <c r="C222" s="61" t="n">
        <v>10</v>
      </c>
      <c r="D222" s="60" t="inlineStr">
        <is>
          <t>A</t>
        </is>
      </c>
      <c r="E222" s="60" t="inlineStr">
        <is>
          <t>FLM</t>
        </is>
      </c>
      <c r="F222" s="58" t="n"/>
      <c r="G222" s="58" t="n"/>
      <c r="H222" s="60" t="n">
        <v>17</v>
      </c>
      <c r="I222" s="60" t="n">
        <v>30</v>
      </c>
    </row>
    <row r="223">
      <c r="A223" s="58" t="inlineStr">
        <is>
          <t>R2-11-A</t>
        </is>
      </c>
      <c r="B223" s="60" t="inlineStr">
        <is>
          <t>R2</t>
        </is>
      </c>
      <c r="C223" s="61" t="n">
        <v>11</v>
      </c>
      <c r="D223" s="60" t="inlineStr">
        <is>
          <t>A</t>
        </is>
      </c>
      <c r="E223" s="60" t="inlineStr">
        <is>
          <t>FLM</t>
        </is>
      </c>
      <c r="F223" s="58" t="n"/>
      <c r="G223" s="58" t="n"/>
      <c r="H223" s="60" t="n">
        <v>17</v>
      </c>
      <c r="I223" s="60" t="n">
        <v>31</v>
      </c>
    </row>
    <row r="224">
      <c r="A224" s="58" t="inlineStr">
        <is>
          <t>R2-12-A</t>
        </is>
      </c>
      <c r="B224" s="60" t="inlineStr">
        <is>
          <t>R2</t>
        </is>
      </c>
      <c r="C224" s="61" t="n">
        <v>12</v>
      </c>
      <c r="D224" s="60" t="inlineStr">
        <is>
          <t>A</t>
        </is>
      </c>
      <c r="E224" s="60" t="inlineStr">
        <is>
          <t>FLM</t>
        </is>
      </c>
      <c r="F224" s="58" t="n"/>
      <c r="G224" s="58" t="n"/>
      <c r="H224" s="60" t="n">
        <v>17</v>
      </c>
      <c r="I224" s="60" t="n">
        <v>32</v>
      </c>
    </row>
    <row r="225">
      <c r="A225" s="58" t="inlineStr">
        <is>
          <t>R2-13-A</t>
        </is>
      </c>
      <c r="B225" s="60" t="inlineStr">
        <is>
          <t>R2</t>
        </is>
      </c>
      <c r="C225" s="61" t="n">
        <v>13</v>
      </c>
      <c r="D225" s="60" t="inlineStr">
        <is>
          <t>A</t>
        </is>
      </c>
      <c r="E225" s="60" t="inlineStr">
        <is>
          <t>FLM</t>
        </is>
      </c>
      <c r="F225" s="58" t="n"/>
      <c r="G225" s="58" t="n"/>
      <c r="H225" s="60" t="n">
        <v>17</v>
      </c>
      <c r="I225" s="60" t="n">
        <v>33</v>
      </c>
    </row>
    <row r="226">
      <c r="A226" s="58" t="inlineStr">
        <is>
          <t>R2-14-A</t>
        </is>
      </c>
      <c r="B226" s="60" t="inlineStr">
        <is>
          <t>R2</t>
        </is>
      </c>
      <c r="C226" s="61" t="n">
        <v>14</v>
      </c>
      <c r="D226" s="60" t="inlineStr">
        <is>
          <t>A</t>
        </is>
      </c>
      <c r="E226" s="60" t="inlineStr">
        <is>
          <t>FLM</t>
        </is>
      </c>
      <c r="F226" s="58" t="n"/>
      <c r="G226" s="58" t="n"/>
      <c r="H226" s="60" t="n">
        <v>17</v>
      </c>
      <c r="I226" s="60" t="n">
        <v>34</v>
      </c>
    </row>
    <row r="227">
      <c r="A227" s="58" t="inlineStr">
        <is>
          <t>R2-15-A</t>
        </is>
      </c>
      <c r="B227" s="60" t="inlineStr">
        <is>
          <t>R2</t>
        </is>
      </c>
      <c r="C227" s="61" t="n">
        <v>15</v>
      </c>
      <c r="D227" s="60" t="inlineStr">
        <is>
          <t>A</t>
        </is>
      </c>
      <c r="E227" s="60" t="inlineStr">
        <is>
          <t>FLM</t>
        </is>
      </c>
      <c r="F227" s="58" t="n"/>
      <c r="G227" s="58" t="n"/>
      <c r="H227" s="60" t="n">
        <v>17</v>
      </c>
      <c r="I227" s="60" t="n">
        <v>35</v>
      </c>
    </row>
    <row r="228">
      <c r="A228" s="58" t="inlineStr">
        <is>
          <t>R2-16-A</t>
        </is>
      </c>
      <c r="B228" s="60" t="inlineStr">
        <is>
          <t>R2</t>
        </is>
      </c>
      <c r="C228" s="61" t="n">
        <v>16</v>
      </c>
      <c r="D228" s="60" t="inlineStr">
        <is>
          <t>A</t>
        </is>
      </c>
      <c r="E228" s="60" t="inlineStr">
        <is>
          <t>FLM</t>
        </is>
      </c>
      <c r="F228" s="58" t="n"/>
      <c r="G228" s="58" t="n"/>
      <c r="H228" s="60" t="n">
        <v>17</v>
      </c>
      <c r="I228" s="60" t="n">
        <v>36</v>
      </c>
    </row>
    <row r="229">
      <c r="A229" s="58" t="inlineStr">
        <is>
          <t>R2-01-B</t>
        </is>
      </c>
      <c r="B229" s="60" t="inlineStr">
        <is>
          <t>R2</t>
        </is>
      </c>
      <c r="C229" s="61" t="n">
        <v>1</v>
      </c>
      <c r="D229" s="60" t="inlineStr">
        <is>
          <t>B</t>
        </is>
      </c>
      <c r="E229" s="60" t="inlineStr">
        <is>
          <t>FLM</t>
        </is>
      </c>
      <c r="F229" s="58" t="n"/>
      <c r="G229" s="58" t="n"/>
      <c r="H229" s="60" t="n">
        <v>18</v>
      </c>
      <c r="I229" s="60" t="n">
        <v>21</v>
      </c>
    </row>
    <row r="230">
      <c r="A230" s="58" t="inlineStr">
        <is>
          <t>R2-02-B</t>
        </is>
      </c>
      <c r="B230" s="60" t="inlineStr">
        <is>
          <t>R2</t>
        </is>
      </c>
      <c r="C230" s="61" t="n">
        <v>2</v>
      </c>
      <c r="D230" s="60" t="inlineStr">
        <is>
          <t>B</t>
        </is>
      </c>
      <c r="E230" s="60" t="inlineStr">
        <is>
          <t>FLM</t>
        </is>
      </c>
      <c r="F230" s="58" t="n"/>
      <c r="G230" s="58" t="n"/>
      <c r="H230" s="60" t="n">
        <v>18</v>
      </c>
      <c r="I230" s="60" t="n">
        <v>22</v>
      </c>
    </row>
    <row r="231">
      <c r="A231" s="58" t="inlineStr">
        <is>
          <t>R2-03-B</t>
        </is>
      </c>
      <c r="B231" s="60" t="inlineStr">
        <is>
          <t>R2</t>
        </is>
      </c>
      <c r="C231" s="61" t="n">
        <v>3</v>
      </c>
      <c r="D231" s="60" t="inlineStr">
        <is>
          <t>B</t>
        </is>
      </c>
      <c r="E231" s="60" t="inlineStr">
        <is>
          <t>FLM</t>
        </is>
      </c>
      <c r="F231" s="58" t="n"/>
      <c r="G231" s="58" t="n"/>
      <c r="H231" s="60" t="n">
        <v>18</v>
      </c>
      <c r="I231" s="60" t="n">
        <v>23</v>
      </c>
    </row>
    <row r="232">
      <c r="A232" s="58" t="inlineStr">
        <is>
          <t>R2-04-B</t>
        </is>
      </c>
      <c r="B232" s="60" t="inlineStr">
        <is>
          <t>R2</t>
        </is>
      </c>
      <c r="C232" s="61" t="n">
        <v>4</v>
      </c>
      <c r="D232" s="60" t="inlineStr">
        <is>
          <t>B</t>
        </is>
      </c>
      <c r="E232" s="60" t="inlineStr">
        <is>
          <t>FLM</t>
        </is>
      </c>
      <c r="F232" s="58" t="n"/>
      <c r="G232" s="58" t="n"/>
      <c r="H232" s="60" t="n">
        <v>18</v>
      </c>
      <c r="I232" s="60" t="n">
        <v>24</v>
      </c>
    </row>
    <row r="233">
      <c r="A233" s="58" t="inlineStr">
        <is>
          <t>R2-05-B</t>
        </is>
      </c>
      <c r="B233" s="60" t="inlineStr">
        <is>
          <t>R2</t>
        </is>
      </c>
      <c r="C233" s="61" t="n">
        <v>5</v>
      </c>
      <c r="D233" s="60" t="inlineStr">
        <is>
          <t>B</t>
        </is>
      </c>
      <c r="E233" s="60" t="inlineStr">
        <is>
          <t>FLM</t>
        </is>
      </c>
      <c r="F233" s="58" t="n"/>
      <c r="G233" s="58" t="n"/>
      <c r="H233" s="60" t="n">
        <v>18</v>
      </c>
      <c r="I233" s="60" t="n">
        <v>25</v>
      </c>
    </row>
    <row r="234">
      <c r="A234" s="58" t="inlineStr">
        <is>
          <t>R2-06-B</t>
        </is>
      </c>
      <c r="B234" s="60" t="inlineStr">
        <is>
          <t>R2</t>
        </is>
      </c>
      <c r="C234" s="61" t="n">
        <v>6</v>
      </c>
      <c r="D234" s="60" t="inlineStr">
        <is>
          <t>B</t>
        </is>
      </c>
      <c r="E234" s="60" t="inlineStr">
        <is>
          <t>FLM</t>
        </is>
      </c>
      <c r="F234" s="58" t="n"/>
      <c r="G234" s="58" t="n"/>
      <c r="H234" s="60" t="n">
        <v>18</v>
      </c>
      <c r="I234" s="60" t="n">
        <v>26</v>
      </c>
    </row>
    <row r="235">
      <c r="A235" s="58" t="inlineStr">
        <is>
          <t>R2-07-B</t>
        </is>
      </c>
      <c r="B235" s="60" t="inlineStr">
        <is>
          <t>R2</t>
        </is>
      </c>
      <c r="C235" s="61" t="n">
        <v>7</v>
      </c>
      <c r="D235" s="60" t="inlineStr">
        <is>
          <t>B</t>
        </is>
      </c>
      <c r="E235" s="60" t="inlineStr">
        <is>
          <t>FLM</t>
        </is>
      </c>
      <c r="F235" s="58" t="n"/>
      <c r="G235" s="58" t="n"/>
      <c r="H235" s="60" t="n">
        <v>18</v>
      </c>
      <c r="I235" s="60" t="n">
        <v>27</v>
      </c>
    </row>
    <row r="236">
      <c r="A236" s="58" t="inlineStr">
        <is>
          <t>R2-08-B</t>
        </is>
      </c>
      <c r="B236" s="60" t="inlineStr">
        <is>
          <t>R2</t>
        </is>
      </c>
      <c r="C236" s="61" t="n">
        <v>8</v>
      </c>
      <c r="D236" s="60" t="inlineStr">
        <is>
          <t>B</t>
        </is>
      </c>
      <c r="E236" s="60" t="inlineStr">
        <is>
          <t>FLM</t>
        </is>
      </c>
      <c r="F236" s="58" t="n"/>
      <c r="G236" s="58" t="n"/>
      <c r="H236" s="60" t="n">
        <v>18</v>
      </c>
      <c r="I236" s="60" t="n">
        <v>28</v>
      </c>
    </row>
    <row r="237">
      <c r="A237" s="58" t="inlineStr">
        <is>
          <t>R2-09-B</t>
        </is>
      </c>
      <c r="B237" s="60" t="inlineStr">
        <is>
          <t>R2</t>
        </is>
      </c>
      <c r="C237" s="61" t="n">
        <v>9</v>
      </c>
      <c r="D237" s="60" t="inlineStr">
        <is>
          <t>B</t>
        </is>
      </c>
      <c r="E237" s="60" t="inlineStr">
        <is>
          <t>FLM</t>
        </is>
      </c>
      <c r="F237" s="58" t="n"/>
      <c r="G237" s="58" t="n"/>
      <c r="H237" s="60" t="n">
        <v>18</v>
      </c>
      <c r="I237" s="60" t="n">
        <v>29</v>
      </c>
    </row>
    <row r="238">
      <c r="A238" s="58" t="inlineStr">
        <is>
          <t>R2-10-B</t>
        </is>
      </c>
      <c r="B238" s="60" t="inlineStr">
        <is>
          <t>R2</t>
        </is>
      </c>
      <c r="C238" s="61" t="n">
        <v>10</v>
      </c>
      <c r="D238" s="60" t="inlineStr">
        <is>
          <t>B</t>
        </is>
      </c>
      <c r="E238" s="60" t="inlineStr">
        <is>
          <t>FLM</t>
        </is>
      </c>
      <c r="F238" s="58" t="n"/>
      <c r="G238" s="58" t="n"/>
      <c r="H238" s="60" t="n">
        <v>18</v>
      </c>
      <c r="I238" s="60" t="n">
        <v>30</v>
      </c>
    </row>
    <row r="239">
      <c r="A239" s="58" t="inlineStr">
        <is>
          <t>R2-11-B</t>
        </is>
      </c>
      <c r="B239" s="60" t="inlineStr">
        <is>
          <t>R2</t>
        </is>
      </c>
      <c r="C239" s="61" t="n">
        <v>11</v>
      </c>
      <c r="D239" s="60" t="inlineStr">
        <is>
          <t>B</t>
        </is>
      </c>
      <c r="E239" s="60" t="inlineStr">
        <is>
          <t>FLM</t>
        </is>
      </c>
      <c r="F239" s="58" t="n"/>
      <c r="G239" s="58" t="n"/>
      <c r="H239" s="60" t="n">
        <v>18</v>
      </c>
      <c r="I239" s="60" t="n">
        <v>31</v>
      </c>
    </row>
    <row r="240">
      <c r="A240" s="58" t="inlineStr">
        <is>
          <t>R2-12-B</t>
        </is>
      </c>
      <c r="B240" s="60" t="inlineStr">
        <is>
          <t>R2</t>
        </is>
      </c>
      <c r="C240" s="61" t="n">
        <v>12</v>
      </c>
      <c r="D240" s="60" t="inlineStr">
        <is>
          <t>B</t>
        </is>
      </c>
      <c r="E240" s="60" t="inlineStr">
        <is>
          <t>FLM</t>
        </is>
      </c>
      <c r="F240" s="58" t="n"/>
      <c r="G240" s="58" t="n"/>
      <c r="H240" s="60" t="n">
        <v>18</v>
      </c>
      <c r="I240" s="60" t="n">
        <v>32</v>
      </c>
    </row>
    <row r="241">
      <c r="A241" s="58" t="inlineStr">
        <is>
          <t>R2-13-B</t>
        </is>
      </c>
      <c r="B241" s="60" t="inlineStr">
        <is>
          <t>R2</t>
        </is>
      </c>
      <c r="C241" s="61" t="n">
        <v>13</v>
      </c>
      <c r="D241" s="60" t="inlineStr">
        <is>
          <t>B</t>
        </is>
      </c>
      <c r="E241" s="60" t="inlineStr">
        <is>
          <t>FLM</t>
        </is>
      </c>
      <c r="F241" s="58" t="n"/>
      <c r="G241" s="58" t="n"/>
      <c r="H241" s="60" t="n">
        <v>18</v>
      </c>
      <c r="I241" s="60" t="n">
        <v>33</v>
      </c>
    </row>
    <row r="242">
      <c r="A242" s="58" t="inlineStr">
        <is>
          <t>R2-14-B</t>
        </is>
      </c>
      <c r="B242" s="60" t="inlineStr">
        <is>
          <t>R2</t>
        </is>
      </c>
      <c r="C242" s="61" t="n">
        <v>14</v>
      </c>
      <c r="D242" s="60" t="inlineStr">
        <is>
          <t>B</t>
        </is>
      </c>
      <c r="E242" s="60" t="inlineStr">
        <is>
          <t>FLM</t>
        </is>
      </c>
      <c r="F242" s="58" t="n"/>
      <c r="G242" s="58" t="n"/>
      <c r="H242" s="60" t="n">
        <v>18</v>
      </c>
      <c r="I242" s="60" t="n">
        <v>34</v>
      </c>
    </row>
    <row r="243">
      <c r="A243" s="58" t="inlineStr">
        <is>
          <t>R2-15-B</t>
        </is>
      </c>
      <c r="B243" s="60" t="inlineStr">
        <is>
          <t>R2</t>
        </is>
      </c>
      <c r="C243" s="61" t="n">
        <v>15</v>
      </c>
      <c r="D243" s="60" t="inlineStr">
        <is>
          <t>B</t>
        </is>
      </c>
      <c r="E243" s="60" t="inlineStr">
        <is>
          <t>FLM</t>
        </is>
      </c>
      <c r="F243" s="58" t="n"/>
      <c r="G243" s="58" t="n"/>
      <c r="H243" s="60" t="n">
        <v>18</v>
      </c>
      <c r="I243" s="60" t="n">
        <v>35</v>
      </c>
    </row>
    <row r="244">
      <c r="A244" s="58" t="inlineStr">
        <is>
          <t>R2-16-B</t>
        </is>
      </c>
      <c r="B244" s="60" t="inlineStr">
        <is>
          <t>R2</t>
        </is>
      </c>
      <c r="C244" s="61" t="n">
        <v>16</v>
      </c>
      <c r="D244" s="60" t="inlineStr">
        <is>
          <t>B</t>
        </is>
      </c>
      <c r="E244" s="60" t="inlineStr">
        <is>
          <t>FLM</t>
        </is>
      </c>
      <c r="F244" s="58" t="n"/>
      <c r="G244" s="58" t="n"/>
      <c r="H244" s="60" t="n">
        <v>18</v>
      </c>
      <c r="I244" s="60" t="n">
        <v>36</v>
      </c>
    </row>
    <row r="245">
      <c r="A245" s="58" t="inlineStr">
        <is>
          <t>R2-01-C</t>
        </is>
      </c>
      <c r="B245" s="60" t="inlineStr">
        <is>
          <t>R2</t>
        </is>
      </c>
      <c r="C245" s="61" t="n">
        <v>1</v>
      </c>
      <c r="D245" s="60" t="inlineStr">
        <is>
          <t>C</t>
        </is>
      </c>
      <c r="E245" s="60" t="inlineStr">
        <is>
          <t>FLM</t>
        </is>
      </c>
      <c r="F245" s="58" t="n"/>
      <c r="G245" s="58" t="n"/>
      <c r="H245" s="60" t="n">
        <v>19</v>
      </c>
      <c r="I245" s="60" t="n">
        <v>21</v>
      </c>
    </row>
    <row r="246">
      <c r="A246" s="58" t="inlineStr">
        <is>
          <t>R2-02-C</t>
        </is>
      </c>
      <c r="B246" s="60" t="inlineStr">
        <is>
          <t>R2</t>
        </is>
      </c>
      <c r="C246" s="61" t="n">
        <v>2</v>
      </c>
      <c r="D246" s="60" t="inlineStr">
        <is>
          <t>C</t>
        </is>
      </c>
      <c r="E246" s="60" t="inlineStr">
        <is>
          <t>FLM</t>
        </is>
      </c>
      <c r="F246" s="58" t="n"/>
      <c r="G246" s="58" t="n"/>
      <c r="H246" s="60" t="n">
        <v>19</v>
      </c>
      <c r="I246" s="60" t="n">
        <v>22</v>
      </c>
    </row>
    <row r="247">
      <c r="A247" s="58" t="inlineStr">
        <is>
          <t>R2-03-C</t>
        </is>
      </c>
      <c r="B247" s="60" t="inlineStr">
        <is>
          <t>R2</t>
        </is>
      </c>
      <c r="C247" s="61" t="n">
        <v>3</v>
      </c>
      <c r="D247" s="60" t="inlineStr">
        <is>
          <t>C</t>
        </is>
      </c>
      <c r="E247" s="60" t="inlineStr">
        <is>
          <t>FLM</t>
        </is>
      </c>
      <c r="F247" s="58" t="n"/>
      <c r="G247" s="58" t="n"/>
      <c r="H247" s="60" t="n">
        <v>19</v>
      </c>
      <c r="I247" s="60" t="n">
        <v>23</v>
      </c>
    </row>
    <row r="248">
      <c r="A248" s="58" t="inlineStr">
        <is>
          <t>R2-04-C</t>
        </is>
      </c>
      <c r="B248" s="60" t="inlineStr">
        <is>
          <t>R2</t>
        </is>
      </c>
      <c r="C248" s="61" t="n">
        <v>4</v>
      </c>
      <c r="D248" s="60" t="inlineStr">
        <is>
          <t>C</t>
        </is>
      </c>
      <c r="E248" s="60" t="inlineStr">
        <is>
          <t>FLM</t>
        </is>
      </c>
      <c r="F248" s="58" t="n"/>
      <c r="G248" s="58" t="n"/>
      <c r="H248" s="60" t="n">
        <v>19</v>
      </c>
      <c r="I248" s="60" t="n">
        <v>24</v>
      </c>
    </row>
    <row r="249">
      <c r="A249" s="58" t="inlineStr">
        <is>
          <t>R2-05-C</t>
        </is>
      </c>
      <c r="B249" s="60" t="inlineStr">
        <is>
          <t>R2</t>
        </is>
      </c>
      <c r="C249" s="61" t="n">
        <v>5</v>
      </c>
      <c r="D249" s="60" t="inlineStr">
        <is>
          <t>C</t>
        </is>
      </c>
      <c r="E249" s="60" t="inlineStr">
        <is>
          <t>FLM</t>
        </is>
      </c>
      <c r="F249" s="58" t="n"/>
      <c r="G249" s="58" t="n"/>
      <c r="H249" s="60" t="n">
        <v>19</v>
      </c>
      <c r="I249" s="60" t="n">
        <v>25</v>
      </c>
    </row>
    <row r="250">
      <c r="A250" s="58" t="inlineStr">
        <is>
          <t>R2-06-C</t>
        </is>
      </c>
      <c r="B250" s="60" t="inlineStr">
        <is>
          <t>R2</t>
        </is>
      </c>
      <c r="C250" s="61" t="n">
        <v>6</v>
      </c>
      <c r="D250" s="60" t="inlineStr">
        <is>
          <t>C</t>
        </is>
      </c>
      <c r="E250" s="60" t="inlineStr">
        <is>
          <t>FLM</t>
        </is>
      </c>
      <c r="F250" s="58" t="n"/>
      <c r="G250" s="58" t="n"/>
      <c r="H250" s="60" t="n">
        <v>19</v>
      </c>
      <c r="I250" s="60" t="n">
        <v>26</v>
      </c>
    </row>
    <row r="251">
      <c r="A251" s="58" t="inlineStr">
        <is>
          <t>R2-07-C</t>
        </is>
      </c>
      <c r="B251" s="60" t="inlineStr">
        <is>
          <t>R2</t>
        </is>
      </c>
      <c r="C251" s="61" t="n">
        <v>7</v>
      </c>
      <c r="D251" s="60" t="inlineStr">
        <is>
          <t>C</t>
        </is>
      </c>
      <c r="E251" s="60" t="inlineStr">
        <is>
          <t>FLM</t>
        </is>
      </c>
      <c r="F251" s="58" t="n"/>
      <c r="G251" s="58" t="n"/>
      <c r="H251" s="60" t="n">
        <v>19</v>
      </c>
      <c r="I251" s="60" t="n">
        <v>27</v>
      </c>
    </row>
    <row r="252">
      <c r="A252" s="58" t="inlineStr">
        <is>
          <t>R2-08-C</t>
        </is>
      </c>
      <c r="B252" s="60" t="inlineStr">
        <is>
          <t>R2</t>
        </is>
      </c>
      <c r="C252" s="61" t="n">
        <v>8</v>
      </c>
      <c r="D252" s="60" t="inlineStr">
        <is>
          <t>C</t>
        </is>
      </c>
      <c r="E252" s="60" t="inlineStr">
        <is>
          <t>FLM</t>
        </is>
      </c>
      <c r="F252" s="58" t="n"/>
      <c r="G252" s="58" t="n"/>
      <c r="H252" s="60" t="n">
        <v>19</v>
      </c>
      <c r="I252" s="60" t="n">
        <v>28</v>
      </c>
    </row>
    <row r="253">
      <c r="A253" s="58" t="inlineStr">
        <is>
          <t>R2-09-C</t>
        </is>
      </c>
      <c r="B253" s="60" t="inlineStr">
        <is>
          <t>R2</t>
        </is>
      </c>
      <c r="C253" s="61" t="n">
        <v>9</v>
      </c>
      <c r="D253" s="60" t="inlineStr">
        <is>
          <t>C</t>
        </is>
      </c>
      <c r="E253" s="60" t="inlineStr">
        <is>
          <t>FLM</t>
        </is>
      </c>
      <c r="F253" s="58" t="n"/>
      <c r="G253" s="58" t="n"/>
      <c r="H253" s="60" t="n">
        <v>19</v>
      </c>
      <c r="I253" s="60" t="n">
        <v>29</v>
      </c>
    </row>
    <row r="254">
      <c r="A254" s="58" t="inlineStr">
        <is>
          <t>R2-10-C</t>
        </is>
      </c>
      <c r="B254" s="60" t="inlineStr">
        <is>
          <t>R2</t>
        </is>
      </c>
      <c r="C254" s="61" t="n">
        <v>10</v>
      </c>
      <c r="D254" s="60" t="inlineStr">
        <is>
          <t>C</t>
        </is>
      </c>
      <c r="E254" s="60" t="inlineStr">
        <is>
          <t>FLM</t>
        </is>
      </c>
      <c r="F254" s="58" t="n"/>
      <c r="G254" s="58" t="n"/>
      <c r="H254" s="60" t="n">
        <v>19</v>
      </c>
      <c r="I254" s="60" t="n">
        <v>30</v>
      </c>
    </row>
    <row r="255">
      <c r="A255" s="58" t="inlineStr">
        <is>
          <t>R2-11-C</t>
        </is>
      </c>
      <c r="B255" s="60" t="inlineStr">
        <is>
          <t>R2</t>
        </is>
      </c>
      <c r="C255" s="61" t="n">
        <v>11</v>
      </c>
      <c r="D255" s="60" t="inlineStr">
        <is>
          <t>C</t>
        </is>
      </c>
      <c r="E255" s="60" t="inlineStr">
        <is>
          <t>FLM</t>
        </is>
      </c>
      <c r="F255" s="58" t="n"/>
      <c r="G255" s="58" t="n"/>
      <c r="H255" s="60" t="n">
        <v>19</v>
      </c>
      <c r="I255" s="60" t="n">
        <v>31</v>
      </c>
    </row>
    <row r="256">
      <c r="A256" s="58" t="inlineStr">
        <is>
          <t>R2-12-C</t>
        </is>
      </c>
      <c r="B256" s="60" t="inlineStr">
        <is>
          <t>R2</t>
        </is>
      </c>
      <c r="C256" s="61" t="n">
        <v>12</v>
      </c>
      <c r="D256" s="60" t="inlineStr">
        <is>
          <t>C</t>
        </is>
      </c>
      <c r="E256" s="60" t="inlineStr">
        <is>
          <t>FLM</t>
        </is>
      </c>
      <c r="F256" s="58" t="n"/>
      <c r="G256" s="58" t="n"/>
      <c r="H256" s="60" t="n">
        <v>19</v>
      </c>
      <c r="I256" s="60" t="n">
        <v>32</v>
      </c>
    </row>
    <row r="257">
      <c r="A257" s="58" t="inlineStr">
        <is>
          <t>R2-13-C</t>
        </is>
      </c>
      <c r="B257" s="60" t="inlineStr">
        <is>
          <t>R2</t>
        </is>
      </c>
      <c r="C257" s="61" t="n">
        <v>13</v>
      </c>
      <c r="D257" s="60" t="inlineStr">
        <is>
          <t>C</t>
        </is>
      </c>
      <c r="E257" s="60" t="inlineStr">
        <is>
          <t>FLM</t>
        </is>
      </c>
      <c r="F257" s="58" t="n"/>
      <c r="G257" s="58" t="n"/>
      <c r="H257" s="60" t="n">
        <v>19</v>
      </c>
      <c r="I257" s="60" t="n">
        <v>33</v>
      </c>
    </row>
    <row r="258">
      <c r="A258" s="58" t="inlineStr">
        <is>
          <t>R2-14-C</t>
        </is>
      </c>
      <c r="B258" s="60" t="inlineStr">
        <is>
          <t>R2</t>
        </is>
      </c>
      <c r="C258" s="61" t="n">
        <v>14</v>
      </c>
      <c r="D258" s="60" t="inlineStr">
        <is>
          <t>C</t>
        </is>
      </c>
      <c r="E258" s="60" t="inlineStr">
        <is>
          <t>FLM</t>
        </is>
      </c>
      <c r="F258" s="58" t="n"/>
      <c r="G258" s="58" t="n"/>
      <c r="H258" s="60" t="n">
        <v>19</v>
      </c>
      <c r="I258" s="60" t="n">
        <v>34</v>
      </c>
    </row>
    <row r="259">
      <c r="A259" s="58" t="inlineStr">
        <is>
          <t>R2-15-C</t>
        </is>
      </c>
      <c r="B259" s="60" t="inlineStr">
        <is>
          <t>R2</t>
        </is>
      </c>
      <c r="C259" s="61" t="n">
        <v>15</v>
      </c>
      <c r="D259" s="60" t="inlineStr">
        <is>
          <t>C</t>
        </is>
      </c>
      <c r="E259" s="60" t="inlineStr">
        <is>
          <t>FLM</t>
        </is>
      </c>
      <c r="F259" s="58" t="n"/>
      <c r="G259" s="58" t="n"/>
      <c r="H259" s="60" t="n">
        <v>19</v>
      </c>
      <c r="I259" s="60" t="n">
        <v>35</v>
      </c>
    </row>
    <row r="260">
      <c r="A260" s="58" t="inlineStr">
        <is>
          <t>R2-16-C</t>
        </is>
      </c>
      <c r="B260" s="60" t="inlineStr">
        <is>
          <t>R2</t>
        </is>
      </c>
      <c r="C260" s="61" t="n">
        <v>16</v>
      </c>
      <c r="D260" s="60" t="inlineStr">
        <is>
          <t>C</t>
        </is>
      </c>
      <c r="E260" s="60" t="inlineStr">
        <is>
          <t>FLM</t>
        </is>
      </c>
      <c r="F260" s="58" t="n"/>
      <c r="G260" s="58" t="n"/>
      <c r="H260" s="60" t="n">
        <v>19</v>
      </c>
      <c r="I260" s="60" t="n">
        <v>36</v>
      </c>
    </row>
    <row r="261">
      <c r="A261" s="58" t="inlineStr">
        <is>
          <t>R2-01-D</t>
        </is>
      </c>
      <c r="B261" s="60" t="inlineStr">
        <is>
          <t>R2</t>
        </is>
      </c>
      <c r="C261" s="61" t="n">
        <v>1</v>
      </c>
      <c r="D261" s="60" t="inlineStr">
        <is>
          <t>D</t>
        </is>
      </c>
      <c r="E261" s="60" t="inlineStr">
        <is>
          <t>FLM</t>
        </is>
      </c>
      <c r="F261" s="58" t="n"/>
      <c r="G261" s="58" t="n"/>
      <c r="H261" s="60" t="n">
        <v>20</v>
      </c>
      <c r="I261" s="60" t="n">
        <v>21</v>
      </c>
    </row>
    <row r="262">
      <c r="A262" s="58" t="inlineStr">
        <is>
          <t>R2-02-D</t>
        </is>
      </c>
      <c r="B262" s="60" t="inlineStr">
        <is>
          <t>R2</t>
        </is>
      </c>
      <c r="C262" s="61" t="n">
        <v>2</v>
      </c>
      <c r="D262" s="60" t="inlineStr">
        <is>
          <t>D</t>
        </is>
      </c>
      <c r="E262" s="60" t="inlineStr">
        <is>
          <t>FLM</t>
        </is>
      </c>
      <c r="F262" s="58" t="n"/>
      <c r="G262" s="58" t="n"/>
      <c r="H262" s="60" t="n">
        <v>20</v>
      </c>
      <c r="I262" s="60" t="n">
        <v>22</v>
      </c>
    </row>
    <row r="263">
      <c r="A263" s="58" t="inlineStr">
        <is>
          <t>R2-03-D</t>
        </is>
      </c>
      <c r="B263" s="60" t="inlineStr">
        <is>
          <t>R2</t>
        </is>
      </c>
      <c r="C263" s="61" t="n">
        <v>3</v>
      </c>
      <c r="D263" s="60" t="inlineStr">
        <is>
          <t>D</t>
        </is>
      </c>
      <c r="E263" s="60" t="inlineStr">
        <is>
          <t>FLM</t>
        </is>
      </c>
      <c r="F263" s="58" t="n"/>
      <c r="G263" s="58" t="n"/>
      <c r="H263" s="60" t="n">
        <v>20</v>
      </c>
      <c r="I263" s="60" t="n">
        <v>23</v>
      </c>
    </row>
    <row r="264">
      <c r="A264" s="58" t="inlineStr">
        <is>
          <t>R2-04-D</t>
        </is>
      </c>
      <c r="B264" s="60" t="inlineStr">
        <is>
          <t>R2</t>
        </is>
      </c>
      <c r="C264" s="61" t="n">
        <v>4</v>
      </c>
      <c r="D264" s="60" t="inlineStr">
        <is>
          <t>D</t>
        </is>
      </c>
      <c r="E264" s="60" t="inlineStr">
        <is>
          <t>FLM</t>
        </is>
      </c>
      <c r="F264" s="58" t="n"/>
      <c r="G264" s="58" t="n"/>
      <c r="H264" s="60" t="n">
        <v>20</v>
      </c>
      <c r="I264" s="60" t="n">
        <v>24</v>
      </c>
    </row>
    <row r="265">
      <c r="A265" s="58" t="inlineStr">
        <is>
          <t>R2-05-D</t>
        </is>
      </c>
      <c r="B265" s="60" t="inlineStr">
        <is>
          <t>R2</t>
        </is>
      </c>
      <c r="C265" s="61" t="n">
        <v>5</v>
      </c>
      <c r="D265" s="60" t="inlineStr">
        <is>
          <t>D</t>
        </is>
      </c>
      <c r="E265" s="60" t="inlineStr">
        <is>
          <t>FLM</t>
        </is>
      </c>
      <c r="F265" s="58" t="n"/>
      <c r="G265" s="58" t="n"/>
      <c r="H265" s="60" t="n">
        <v>20</v>
      </c>
      <c r="I265" s="60" t="n">
        <v>25</v>
      </c>
    </row>
    <row r="266">
      <c r="A266" s="58" t="inlineStr">
        <is>
          <t>R2-06-D</t>
        </is>
      </c>
      <c r="B266" s="60" t="inlineStr">
        <is>
          <t>R2</t>
        </is>
      </c>
      <c r="C266" s="61" t="n">
        <v>6</v>
      </c>
      <c r="D266" s="60" t="inlineStr">
        <is>
          <t>D</t>
        </is>
      </c>
      <c r="E266" s="60" t="inlineStr">
        <is>
          <t>FLM</t>
        </is>
      </c>
      <c r="F266" s="58" t="n"/>
      <c r="G266" s="58" t="n"/>
      <c r="H266" s="60" t="n">
        <v>20</v>
      </c>
      <c r="I266" s="60" t="n">
        <v>26</v>
      </c>
    </row>
    <row r="267">
      <c r="A267" s="58" t="inlineStr">
        <is>
          <t>R2-07-D</t>
        </is>
      </c>
      <c r="B267" s="60" t="inlineStr">
        <is>
          <t>R2</t>
        </is>
      </c>
      <c r="C267" s="61" t="n">
        <v>7</v>
      </c>
      <c r="D267" s="60" t="inlineStr">
        <is>
          <t>D</t>
        </is>
      </c>
      <c r="E267" s="60" t="inlineStr">
        <is>
          <t>FLM</t>
        </is>
      </c>
      <c r="F267" s="58" t="n"/>
      <c r="G267" s="58" t="n"/>
      <c r="H267" s="60" t="n">
        <v>20</v>
      </c>
      <c r="I267" s="60" t="n">
        <v>27</v>
      </c>
    </row>
    <row r="268">
      <c r="A268" s="58" t="inlineStr">
        <is>
          <t>R2-08-D</t>
        </is>
      </c>
      <c r="B268" s="60" t="inlineStr">
        <is>
          <t>R2</t>
        </is>
      </c>
      <c r="C268" s="61" t="n">
        <v>8</v>
      </c>
      <c r="D268" s="60" t="inlineStr">
        <is>
          <t>D</t>
        </is>
      </c>
      <c r="E268" s="60" t="inlineStr">
        <is>
          <t>FLM</t>
        </is>
      </c>
      <c r="F268" s="58" t="n"/>
      <c r="G268" s="58" t="n"/>
      <c r="H268" s="60" t="n">
        <v>20</v>
      </c>
      <c r="I268" s="60" t="n">
        <v>28</v>
      </c>
    </row>
    <row r="269">
      <c r="A269" s="58" t="inlineStr">
        <is>
          <t>R2-09-D</t>
        </is>
      </c>
      <c r="B269" s="60" t="inlineStr">
        <is>
          <t>R2</t>
        </is>
      </c>
      <c r="C269" s="61" t="n">
        <v>9</v>
      </c>
      <c r="D269" s="60" t="inlineStr">
        <is>
          <t>D</t>
        </is>
      </c>
      <c r="E269" s="60" t="inlineStr">
        <is>
          <t>FLM</t>
        </is>
      </c>
      <c r="F269" s="58" t="n"/>
      <c r="G269" s="58" t="n"/>
      <c r="H269" s="60" t="n">
        <v>20</v>
      </c>
      <c r="I269" s="60" t="n">
        <v>29</v>
      </c>
    </row>
    <row r="270">
      <c r="A270" s="58" t="inlineStr">
        <is>
          <t>R2-10-D</t>
        </is>
      </c>
      <c r="B270" s="60" t="inlineStr">
        <is>
          <t>R2</t>
        </is>
      </c>
      <c r="C270" s="61" t="n">
        <v>10</v>
      </c>
      <c r="D270" s="60" t="inlineStr">
        <is>
          <t>D</t>
        </is>
      </c>
      <c r="E270" s="60" t="inlineStr">
        <is>
          <t>FLM</t>
        </is>
      </c>
      <c r="F270" s="58" t="n"/>
      <c r="G270" s="58" t="n"/>
      <c r="H270" s="60" t="n">
        <v>20</v>
      </c>
      <c r="I270" s="60" t="n">
        <v>30</v>
      </c>
    </row>
    <row r="271">
      <c r="A271" s="58" t="inlineStr">
        <is>
          <t>R2-11-D</t>
        </is>
      </c>
      <c r="B271" s="60" t="inlineStr">
        <is>
          <t>R2</t>
        </is>
      </c>
      <c r="C271" s="61" t="n">
        <v>11</v>
      </c>
      <c r="D271" s="60" t="inlineStr">
        <is>
          <t>D</t>
        </is>
      </c>
      <c r="E271" s="60" t="inlineStr">
        <is>
          <t>FLM</t>
        </is>
      </c>
      <c r="F271" s="58" t="n"/>
      <c r="G271" s="58" t="n"/>
      <c r="H271" s="60" t="n">
        <v>20</v>
      </c>
      <c r="I271" s="60" t="n">
        <v>31</v>
      </c>
    </row>
    <row r="272">
      <c r="A272" s="58" t="inlineStr">
        <is>
          <t>R2-12-D</t>
        </is>
      </c>
      <c r="B272" s="60" t="inlineStr">
        <is>
          <t>R2</t>
        </is>
      </c>
      <c r="C272" s="61" t="n">
        <v>12</v>
      </c>
      <c r="D272" s="60" t="inlineStr">
        <is>
          <t>D</t>
        </is>
      </c>
      <c r="E272" s="60" t="inlineStr">
        <is>
          <t>FLM</t>
        </is>
      </c>
      <c r="F272" s="58" t="n"/>
      <c r="G272" s="58" t="n"/>
      <c r="H272" s="60" t="n">
        <v>20</v>
      </c>
      <c r="I272" s="60" t="n">
        <v>32</v>
      </c>
    </row>
    <row r="273">
      <c r="A273" s="58" t="inlineStr">
        <is>
          <t>R2-13-D</t>
        </is>
      </c>
      <c r="B273" s="60" t="inlineStr">
        <is>
          <t>R2</t>
        </is>
      </c>
      <c r="C273" s="61" t="n">
        <v>13</v>
      </c>
      <c r="D273" s="60" t="inlineStr">
        <is>
          <t>D</t>
        </is>
      </c>
      <c r="E273" s="60" t="inlineStr">
        <is>
          <t>FLM</t>
        </is>
      </c>
      <c r="F273" s="58" t="n"/>
      <c r="G273" s="58" t="n"/>
      <c r="H273" s="60" t="n">
        <v>20</v>
      </c>
      <c r="I273" s="60" t="n">
        <v>33</v>
      </c>
    </row>
    <row r="274">
      <c r="A274" s="58" t="inlineStr">
        <is>
          <t>R2-14-D</t>
        </is>
      </c>
      <c r="B274" s="60" t="inlineStr">
        <is>
          <t>R2</t>
        </is>
      </c>
      <c r="C274" s="61" t="n">
        <v>14</v>
      </c>
      <c r="D274" s="60" t="inlineStr">
        <is>
          <t>D</t>
        </is>
      </c>
      <c r="E274" s="60" t="inlineStr">
        <is>
          <t>FLM</t>
        </is>
      </c>
      <c r="F274" s="58" t="n"/>
      <c r="G274" s="58" t="n"/>
      <c r="H274" s="60" t="n">
        <v>20</v>
      </c>
      <c r="I274" s="60" t="n">
        <v>34</v>
      </c>
    </row>
    <row r="275">
      <c r="A275" s="58" t="inlineStr">
        <is>
          <t>R2-15-D</t>
        </is>
      </c>
      <c r="B275" s="60" t="inlineStr">
        <is>
          <t>R2</t>
        </is>
      </c>
      <c r="C275" s="61" t="n">
        <v>15</v>
      </c>
      <c r="D275" s="60" t="inlineStr">
        <is>
          <t>D</t>
        </is>
      </c>
      <c r="E275" s="60" t="inlineStr">
        <is>
          <t>FLM</t>
        </is>
      </c>
      <c r="F275" s="58" t="n"/>
      <c r="G275" s="58" t="n"/>
      <c r="H275" s="60" t="n">
        <v>20</v>
      </c>
      <c r="I275" s="60" t="n">
        <v>35</v>
      </c>
    </row>
    <row r="276">
      <c r="A276" s="58" t="inlineStr">
        <is>
          <t>R2-16-D</t>
        </is>
      </c>
      <c r="B276" s="60" t="inlineStr">
        <is>
          <t>R2</t>
        </is>
      </c>
      <c r="C276" s="61" t="n">
        <v>16</v>
      </c>
      <c r="D276" s="60" t="inlineStr">
        <is>
          <t>D</t>
        </is>
      </c>
      <c r="E276" s="60" t="inlineStr">
        <is>
          <t>FLM</t>
        </is>
      </c>
      <c r="F276" s="58" t="n"/>
      <c r="G276" s="58" t="n"/>
      <c r="H276" s="60" t="n">
        <v>20</v>
      </c>
      <c r="I276" s="60" t="n">
        <v>36</v>
      </c>
    </row>
    <row r="277">
      <c r="A277" s="58" t="inlineStr">
        <is>
          <t>R3-01-A</t>
        </is>
      </c>
      <c r="B277" s="60" t="inlineStr">
        <is>
          <t>R3</t>
        </is>
      </c>
      <c r="C277" s="61" t="n">
        <v>1</v>
      </c>
      <c r="D277" s="60" t="inlineStr">
        <is>
          <t>A</t>
        </is>
      </c>
      <c r="E277" s="60" t="inlineStr">
        <is>
          <t>BAG</t>
        </is>
      </c>
      <c r="F277" s="58" t="n"/>
      <c r="G277" s="58" t="n"/>
      <c r="H277" s="60" t="n">
        <v>12</v>
      </c>
      <c r="I277" s="60" t="n">
        <v>21</v>
      </c>
    </row>
    <row r="278">
      <c r="A278" s="58" t="inlineStr">
        <is>
          <t>R3-02-A</t>
        </is>
      </c>
      <c r="B278" s="60" t="inlineStr">
        <is>
          <t>R3</t>
        </is>
      </c>
      <c r="C278" s="61" t="n">
        <v>2</v>
      </c>
      <c r="D278" s="60" t="inlineStr">
        <is>
          <t>A</t>
        </is>
      </c>
      <c r="E278" s="60" t="inlineStr">
        <is>
          <t>BAG</t>
        </is>
      </c>
      <c r="F278" s="58" t="n"/>
      <c r="G278" s="58" t="n"/>
      <c r="H278" s="60" t="n">
        <v>12</v>
      </c>
      <c r="I278" s="60" t="n">
        <v>22</v>
      </c>
    </row>
    <row r="279">
      <c r="A279" s="58" t="inlineStr">
        <is>
          <t>R3-03-A</t>
        </is>
      </c>
      <c r="B279" s="60" t="inlineStr">
        <is>
          <t>R3</t>
        </is>
      </c>
      <c r="C279" s="61" t="n">
        <v>3</v>
      </c>
      <c r="D279" s="60" t="inlineStr">
        <is>
          <t>A</t>
        </is>
      </c>
      <c r="E279" s="60" t="inlineStr">
        <is>
          <t>BAG</t>
        </is>
      </c>
      <c r="F279" s="58" t="n"/>
      <c r="G279" s="58" t="n"/>
      <c r="H279" s="60" t="n">
        <v>12</v>
      </c>
      <c r="I279" s="60" t="n">
        <v>23</v>
      </c>
    </row>
    <row r="280">
      <c r="A280" s="58" t="inlineStr">
        <is>
          <t>R3-04-A</t>
        </is>
      </c>
      <c r="B280" s="60" t="inlineStr">
        <is>
          <t>R3</t>
        </is>
      </c>
      <c r="C280" s="61" t="n">
        <v>4</v>
      </c>
      <c r="D280" s="60" t="inlineStr">
        <is>
          <t>A</t>
        </is>
      </c>
      <c r="E280" s="60" t="inlineStr">
        <is>
          <t>BAG</t>
        </is>
      </c>
      <c r="F280" s="58" t="n"/>
      <c r="G280" s="58" t="n"/>
      <c r="H280" s="60" t="n">
        <v>12</v>
      </c>
      <c r="I280" s="60" t="n">
        <v>24</v>
      </c>
    </row>
    <row r="281">
      <c r="A281" s="58" t="inlineStr">
        <is>
          <t>R3-05-A</t>
        </is>
      </c>
      <c r="B281" s="60" t="inlineStr">
        <is>
          <t>R3</t>
        </is>
      </c>
      <c r="C281" s="61" t="n">
        <v>5</v>
      </c>
      <c r="D281" s="60" t="inlineStr">
        <is>
          <t>A</t>
        </is>
      </c>
      <c r="E281" s="60" t="inlineStr">
        <is>
          <t>BAG</t>
        </is>
      </c>
      <c r="F281" s="58" t="n"/>
      <c r="G281" s="58" t="n"/>
      <c r="H281" s="60" t="n">
        <v>12</v>
      </c>
      <c r="I281" s="60" t="n">
        <v>25</v>
      </c>
    </row>
    <row r="282">
      <c r="A282" s="58" t="inlineStr">
        <is>
          <t>R3-06-A</t>
        </is>
      </c>
      <c r="B282" s="60" t="inlineStr">
        <is>
          <t>R3</t>
        </is>
      </c>
      <c r="C282" s="61" t="n">
        <v>6</v>
      </c>
      <c r="D282" s="60" t="inlineStr">
        <is>
          <t>A</t>
        </is>
      </c>
      <c r="E282" s="60" t="inlineStr">
        <is>
          <t>BAG</t>
        </is>
      </c>
      <c r="F282" s="58" t="n"/>
      <c r="G282" s="58" t="n"/>
      <c r="H282" s="60" t="n">
        <v>12</v>
      </c>
      <c r="I282" s="60" t="n">
        <v>26</v>
      </c>
    </row>
    <row r="283">
      <c r="A283" s="58" t="inlineStr">
        <is>
          <t>R3-07-A</t>
        </is>
      </c>
      <c r="B283" s="60" t="inlineStr">
        <is>
          <t>R3</t>
        </is>
      </c>
      <c r="C283" s="61" t="n">
        <v>7</v>
      </c>
      <c r="D283" s="60" t="inlineStr">
        <is>
          <t>A</t>
        </is>
      </c>
      <c r="E283" s="60" t="inlineStr">
        <is>
          <t>BAG</t>
        </is>
      </c>
      <c r="F283" s="58" t="n"/>
      <c r="G283" s="58" t="n"/>
      <c r="H283" s="60" t="n">
        <v>12</v>
      </c>
      <c r="I283" s="60" t="n">
        <v>27</v>
      </c>
    </row>
    <row r="284">
      <c r="A284" s="58" t="inlineStr">
        <is>
          <t>R3-08-A</t>
        </is>
      </c>
      <c r="B284" s="60" t="inlineStr">
        <is>
          <t>R3</t>
        </is>
      </c>
      <c r="C284" s="61" t="n">
        <v>8</v>
      </c>
      <c r="D284" s="60" t="inlineStr">
        <is>
          <t>A</t>
        </is>
      </c>
      <c r="E284" s="60" t="inlineStr">
        <is>
          <t>BAG</t>
        </is>
      </c>
      <c r="F284" s="58" t="n"/>
      <c r="G284" s="58" t="n"/>
      <c r="H284" s="60" t="n">
        <v>12</v>
      </c>
      <c r="I284" s="60" t="n">
        <v>28</v>
      </c>
    </row>
    <row r="285">
      <c r="A285" s="58" t="inlineStr">
        <is>
          <t>R3-09-A</t>
        </is>
      </c>
      <c r="B285" s="60" t="inlineStr">
        <is>
          <t>R3</t>
        </is>
      </c>
      <c r="C285" s="61" t="n">
        <v>9</v>
      </c>
      <c r="D285" s="60" t="inlineStr">
        <is>
          <t>A</t>
        </is>
      </c>
      <c r="E285" s="60" t="inlineStr">
        <is>
          <t>BAG</t>
        </is>
      </c>
      <c r="F285" s="58" t="n"/>
      <c r="G285" s="58" t="n"/>
      <c r="H285" s="60" t="n">
        <v>12</v>
      </c>
      <c r="I285" s="60" t="n">
        <v>29</v>
      </c>
    </row>
    <row r="286">
      <c r="A286" s="58" t="inlineStr">
        <is>
          <t>R3-10-A</t>
        </is>
      </c>
      <c r="B286" s="60" t="inlineStr">
        <is>
          <t>R3</t>
        </is>
      </c>
      <c r="C286" s="61" t="n">
        <v>10</v>
      </c>
      <c r="D286" s="60" t="inlineStr">
        <is>
          <t>A</t>
        </is>
      </c>
      <c r="E286" s="60" t="inlineStr">
        <is>
          <t>BAG</t>
        </is>
      </c>
      <c r="F286" s="58" t="n"/>
      <c r="G286" s="58" t="n"/>
      <c r="H286" s="60" t="n">
        <v>12</v>
      </c>
      <c r="I286" s="60" t="n">
        <v>30</v>
      </c>
    </row>
    <row r="287">
      <c r="A287" s="58" t="inlineStr">
        <is>
          <t>R3-11-A</t>
        </is>
      </c>
      <c r="B287" s="60" t="inlineStr">
        <is>
          <t>R3</t>
        </is>
      </c>
      <c r="C287" s="61" t="n">
        <v>11</v>
      </c>
      <c r="D287" s="60" t="inlineStr">
        <is>
          <t>A</t>
        </is>
      </c>
      <c r="E287" s="60" t="inlineStr">
        <is>
          <t>BAG</t>
        </is>
      </c>
      <c r="F287" s="58" t="n"/>
      <c r="G287" s="58" t="n"/>
      <c r="H287" s="60" t="n">
        <v>12</v>
      </c>
      <c r="I287" s="60" t="n">
        <v>31</v>
      </c>
    </row>
    <row r="288">
      <c r="A288" s="58" t="inlineStr">
        <is>
          <t>R3-12-A</t>
        </is>
      </c>
      <c r="B288" s="60" t="inlineStr">
        <is>
          <t>R3</t>
        </is>
      </c>
      <c r="C288" s="61" t="n">
        <v>12</v>
      </c>
      <c r="D288" s="60" t="inlineStr">
        <is>
          <t>A</t>
        </is>
      </c>
      <c r="E288" s="60" t="inlineStr">
        <is>
          <t>BAG</t>
        </is>
      </c>
      <c r="F288" s="58" t="n"/>
      <c r="G288" s="58" t="n"/>
      <c r="H288" s="60" t="n">
        <v>12</v>
      </c>
      <c r="I288" s="60" t="n">
        <v>32</v>
      </c>
    </row>
    <row r="289">
      <c r="A289" s="58" t="inlineStr">
        <is>
          <t>R3-13-A</t>
        </is>
      </c>
      <c r="B289" s="60" t="inlineStr">
        <is>
          <t>R3</t>
        </is>
      </c>
      <c r="C289" s="61" t="n">
        <v>13</v>
      </c>
      <c r="D289" s="60" t="inlineStr">
        <is>
          <t>A</t>
        </is>
      </c>
      <c r="E289" s="60" t="inlineStr">
        <is>
          <t>BAG</t>
        </is>
      </c>
      <c r="F289" s="58" t="n"/>
      <c r="G289" s="58" t="n"/>
      <c r="H289" s="60" t="n">
        <v>12</v>
      </c>
      <c r="I289" s="60" t="n">
        <v>33</v>
      </c>
    </row>
    <row r="290">
      <c r="A290" s="58" t="inlineStr">
        <is>
          <t>R3-14-A</t>
        </is>
      </c>
      <c r="B290" s="60" t="inlineStr">
        <is>
          <t>R3</t>
        </is>
      </c>
      <c r="C290" s="61" t="n">
        <v>14</v>
      </c>
      <c r="D290" s="60" t="inlineStr">
        <is>
          <t>A</t>
        </is>
      </c>
      <c r="E290" s="60" t="inlineStr">
        <is>
          <t>BAG</t>
        </is>
      </c>
      <c r="F290" s="58" t="n"/>
      <c r="G290" s="58" t="n"/>
      <c r="H290" s="60" t="n">
        <v>12</v>
      </c>
      <c r="I290" s="60" t="n">
        <v>34</v>
      </c>
    </row>
    <row r="291">
      <c r="A291" s="58" t="inlineStr">
        <is>
          <t>R3-15-A</t>
        </is>
      </c>
      <c r="B291" s="60" t="inlineStr">
        <is>
          <t>R3</t>
        </is>
      </c>
      <c r="C291" s="61" t="n">
        <v>15</v>
      </c>
      <c r="D291" s="60" t="inlineStr">
        <is>
          <t>A</t>
        </is>
      </c>
      <c r="E291" s="60" t="inlineStr">
        <is>
          <t>BAG</t>
        </is>
      </c>
      <c r="F291" s="58" t="n"/>
      <c r="G291" s="58" t="n"/>
      <c r="H291" s="60" t="n">
        <v>12</v>
      </c>
      <c r="I291" s="60" t="n">
        <v>35</v>
      </c>
    </row>
    <row r="292">
      <c r="A292" s="58" t="inlineStr">
        <is>
          <t>R3-16-A</t>
        </is>
      </c>
      <c r="B292" s="60" t="inlineStr">
        <is>
          <t>R3</t>
        </is>
      </c>
      <c r="C292" s="61" t="n">
        <v>16</v>
      </c>
      <c r="D292" s="60" t="inlineStr">
        <is>
          <t>A</t>
        </is>
      </c>
      <c r="E292" s="60" t="inlineStr">
        <is>
          <t>BAG</t>
        </is>
      </c>
      <c r="F292" s="58" t="n"/>
      <c r="G292" s="58" t="n"/>
      <c r="H292" s="60" t="n">
        <v>12</v>
      </c>
      <c r="I292" s="60" t="n">
        <v>36</v>
      </c>
    </row>
    <row r="293">
      <c r="A293" s="58" t="inlineStr">
        <is>
          <t>R3-01-B</t>
        </is>
      </c>
      <c r="B293" s="60" t="inlineStr">
        <is>
          <t>R3</t>
        </is>
      </c>
      <c r="C293" s="61" t="n">
        <v>1</v>
      </c>
      <c r="D293" s="60" t="inlineStr">
        <is>
          <t>B</t>
        </is>
      </c>
      <c r="E293" s="60" t="inlineStr">
        <is>
          <t>BAG</t>
        </is>
      </c>
      <c r="F293" s="58" t="n"/>
      <c r="G293" s="58" t="n"/>
      <c r="H293" s="60" t="n">
        <v>13</v>
      </c>
      <c r="I293" s="60" t="n">
        <v>21</v>
      </c>
    </row>
    <row r="294">
      <c r="A294" s="58" t="inlineStr">
        <is>
          <t>R3-02-B</t>
        </is>
      </c>
      <c r="B294" s="60" t="inlineStr">
        <is>
          <t>R3</t>
        </is>
      </c>
      <c r="C294" s="61" t="n">
        <v>2</v>
      </c>
      <c r="D294" s="60" t="inlineStr">
        <is>
          <t>B</t>
        </is>
      </c>
      <c r="E294" s="60" t="inlineStr">
        <is>
          <t>BAG</t>
        </is>
      </c>
      <c r="F294" s="58" t="n"/>
      <c r="G294" s="58" t="n"/>
      <c r="H294" s="60" t="n">
        <v>13</v>
      </c>
      <c r="I294" s="60" t="n">
        <v>22</v>
      </c>
    </row>
    <row r="295">
      <c r="A295" s="58" t="inlineStr">
        <is>
          <t>R3-03-B</t>
        </is>
      </c>
      <c r="B295" s="60" t="inlineStr">
        <is>
          <t>R3</t>
        </is>
      </c>
      <c r="C295" s="61" t="n">
        <v>3</v>
      </c>
      <c r="D295" s="60" t="inlineStr">
        <is>
          <t>B</t>
        </is>
      </c>
      <c r="E295" s="60" t="inlineStr">
        <is>
          <t>BAG</t>
        </is>
      </c>
      <c r="F295" s="58" t="n"/>
      <c r="G295" s="58" t="n"/>
      <c r="H295" s="60" t="n">
        <v>13</v>
      </c>
      <c r="I295" s="60" t="n">
        <v>23</v>
      </c>
    </row>
    <row r="296">
      <c r="A296" s="58" t="inlineStr">
        <is>
          <t>R3-04-B</t>
        </is>
      </c>
      <c r="B296" s="60" t="inlineStr">
        <is>
          <t>R3</t>
        </is>
      </c>
      <c r="C296" s="61" t="n">
        <v>4</v>
      </c>
      <c r="D296" s="60" t="inlineStr">
        <is>
          <t>B</t>
        </is>
      </c>
      <c r="E296" s="60" t="inlineStr">
        <is>
          <t>BAG</t>
        </is>
      </c>
      <c r="F296" s="58" t="n"/>
      <c r="G296" s="58" t="n"/>
      <c r="H296" s="60" t="n">
        <v>13</v>
      </c>
      <c r="I296" s="60" t="n">
        <v>24</v>
      </c>
    </row>
    <row r="297">
      <c r="A297" s="58" t="inlineStr">
        <is>
          <t>R3-05-B</t>
        </is>
      </c>
      <c r="B297" s="60" t="inlineStr">
        <is>
          <t>R3</t>
        </is>
      </c>
      <c r="C297" s="61" t="n">
        <v>5</v>
      </c>
      <c r="D297" s="60" t="inlineStr">
        <is>
          <t>B</t>
        </is>
      </c>
      <c r="E297" s="60" t="inlineStr">
        <is>
          <t>BAG</t>
        </is>
      </c>
      <c r="F297" s="58" t="n"/>
      <c r="G297" s="58" t="n"/>
      <c r="H297" s="60" t="n">
        <v>13</v>
      </c>
      <c r="I297" s="60" t="n">
        <v>25</v>
      </c>
    </row>
    <row r="298">
      <c r="A298" s="58" t="inlineStr">
        <is>
          <t>R3-06-B</t>
        </is>
      </c>
      <c r="B298" s="60" t="inlineStr">
        <is>
          <t>R3</t>
        </is>
      </c>
      <c r="C298" s="61" t="n">
        <v>6</v>
      </c>
      <c r="D298" s="60" t="inlineStr">
        <is>
          <t>B</t>
        </is>
      </c>
      <c r="E298" s="60" t="inlineStr">
        <is>
          <t>BAG</t>
        </is>
      </c>
      <c r="F298" s="58" t="n"/>
      <c r="G298" s="58" t="n"/>
      <c r="H298" s="60" t="n">
        <v>13</v>
      </c>
      <c r="I298" s="60" t="n">
        <v>26</v>
      </c>
    </row>
    <row r="299">
      <c r="A299" s="58" t="inlineStr">
        <is>
          <t>R3-07-B</t>
        </is>
      </c>
      <c r="B299" s="60" t="inlineStr">
        <is>
          <t>R3</t>
        </is>
      </c>
      <c r="C299" s="61" t="n">
        <v>7</v>
      </c>
      <c r="D299" s="60" t="inlineStr">
        <is>
          <t>B</t>
        </is>
      </c>
      <c r="E299" s="60" t="inlineStr">
        <is>
          <t>BAG</t>
        </is>
      </c>
      <c r="F299" s="58" t="n"/>
      <c r="G299" s="58" t="n"/>
      <c r="H299" s="60" t="n">
        <v>13</v>
      </c>
      <c r="I299" s="60" t="n">
        <v>27</v>
      </c>
    </row>
    <row r="300">
      <c r="A300" s="58" t="inlineStr">
        <is>
          <t>R3-08-B</t>
        </is>
      </c>
      <c r="B300" s="60" t="inlineStr">
        <is>
          <t>R3</t>
        </is>
      </c>
      <c r="C300" s="61" t="n">
        <v>8</v>
      </c>
      <c r="D300" s="60" t="inlineStr">
        <is>
          <t>B</t>
        </is>
      </c>
      <c r="E300" s="60" t="inlineStr">
        <is>
          <t>BAG</t>
        </is>
      </c>
      <c r="F300" s="58" t="n"/>
      <c r="G300" s="58" t="n"/>
      <c r="H300" s="60" t="n">
        <v>13</v>
      </c>
      <c r="I300" s="60" t="n">
        <v>28</v>
      </c>
    </row>
    <row r="301">
      <c r="A301" s="58" t="inlineStr">
        <is>
          <t>R3-09-B</t>
        </is>
      </c>
      <c r="B301" s="60" t="inlineStr">
        <is>
          <t>R3</t>
        </is>
      </c>
      <c r="C301" s="61" t="n">
        <v>9</v>
      </c>
      <c r="D301" s="60" t="inlineStr">
        <is>
          <t>B</t>
        </is>
      </c>
      <c r="E301" s="60" t="inlineStr">
        <is>
          <t>BAG</t>
        </is>
      </c>
      <c r="F301" s="58" t="n"/>
      <c r="G301" s="58" t="n"/>
      <c r="H301" s="60" t="n">
        <v>13</v>
      </c>
      <c r="I301" s="60" t="n">
        <v>29</v>
      </c>
    </row>
    <row r="302">
      <c r="A302" s="58" t="inlineStr">
        <is>
          <t>R3-10-B</t>
        </is>
      </c>
      <c r="B302" s="60" t="inlineStr">
        <is>
          <t>R3</t>
        </is>
      </c>
      <c r="C302" s="61" t="n">
        <v>10</v>
      </c>
      <c r="D302" s="60" t="inlineStr">
        <is>
          <t>B</t>
        </is>
      </c>
      <c r="E302" s="60" t="inlineStr">
        <is>
          <t>BAG</t>
        </is>
      </c>
      <c r="F302" s="58" t="n"/>
      <c r="G302" s="58" t="n"/>
      <c r="H302" s="60" t="n">
        <v>13</v>
      </c>
      <c r="I302" s="60" t="n">
        <v>30</v>
      </c>
    </row>
    <row r="303">
      <c r="A303" s="58" t="inlineStr">
        <is>
          <t>R3-11-B</t>
        </is>
      </c>
      <c r="B303" s="60" t="inlineStr">
        <is>
          <t>R3</t>
        </is>
      </c>
      <c r="C303" s="61" t="n">
        <v>11</v>
      </c>
      <c r="D303" s="60" t="inlineStr">
        <is>
          <t>B</t>
        </is>
      </c>
      <c r="E303" s="60" t="inlineStr">
        <is>
          <t>BAG</t>
        </is>
      </c>
      <c r="F303" s="58" t="n"/>
      <c r="G303" s="58" t="n"/>
      <c r="H303" s="60" t="n">
        <v>13</v>
      </c>
      <c r="I303" s="60" t="n">
        <v>31</v>
      </c>
    </row>
    <row r="304">
      <c r="A304" s="58" t="inlineStr">
        <is>
          <t>R3-12-B</t>
        </is>
      </c>
      <c r="B304" s="60" t="inlineStr">
        <is>
          <t>R3</t>
        </is>
      </c>
      <c r="C304" s="61" t="n">
        <v>12</v>
      </c>
      <c r="D304" s="60" t="inlineStr">
        <is>
          <t>B</t>
        </is>
      </c>
      <c r="E304" s="60" t="inlineStr">
        <is>
          <t>BAG</t>
        </is>
      </c>
      <c r="F304" s="58" t="n"/>
      <c r="G304" s="58" t="n"/>
      <c r="H304" s="60" t="n">
        <v>13</v>
      </c>
      <c r="I304" s="60" t="n">
        <v>32</v>
      </c>
    </row>
    <row r="305">
      <c r="A305" s="58" t="inlineStr">
        <is>
          <t>R3-13-B</t>
        </is>
      </c>
      <c r="B305" s="60" t="inlineStr">
        <is>
          <t>R3</t>
        </is>
      </c>
      <c r="C305" s="61" t="n">
        <v>13</v>
      </c>
      <c r="D305" s="60" t="inlineStr">
        <is>
          <t>B</t>
        </is>
      </c>
      <c r="E305" s="60" t="inlineStr">
        <is>
          <t>BAG</t>
        </is>
      </c>
      <c r="F305" s="58" t="n"/>
      <c r="G305" s="58" t="n"/>
      <c r="H305" s="60" t="n">
        <v>13</v>
      </c>
      <c r="I305" s="60" t="n">
        <v>33</v>
      </c>
    </row>
    <row r="306">
      <c r="A306" s="58" t="inlineStr">
        <is>
          <t>R3-14-B</t>
        </is>
      </c>
      <c r="B306" s="60" t="inlineStr">
        <is>
          <t>R3</t>
        </is>
      </c>
      <c r="C306" s="61" t="n">
        <v>14</v>
      </c>
      <c r="D306" s="60" t="inlineStr">
        <is>
          <t>B</t>
        </is>
      </c>
      <c r="E306" s="60" t="inlineStr">
        <is>
          <t>BAG</t>
        </is>
      </c>
      <c r="F306" s="58" t="n"/>
      <c r="G306" s="58" t="n"/>
      <c r="H306" s="60" t="n">
        <v>13</v>
      </c>
      <c r="I306" s="60" t="n">
        <v>34</v>
      </c>
    </row>
    <row r="307">
      <c r="A307" s="58" t="inlineStr">
        <is>
          <t>R3-15-B</t>
        </is>
      </c>
      <c r="B307" s="60" t="inlineStr">
        <is>
          <t>R3</t>
        </is>
      </c>
      <c r="C307" s="61" t="n">
        <v>15</v>
      </c>
      <c r="D307" s="60" t="inlineStr">
        <is>
          <t>B</t>
        </is>
      </c>
      <c r="E307" s="60" t="inlineStr">
        <is>
          <t>BAG</t>
        </is>
      </c>
      <c r="F307" s="58" t="n"/>
      <c r="G307" s="58" t="n"/>
      <c r="H307" s="60" t="n">
        <v>13</v>
      </c>
      <c r="I307" s="60" t="n">
        <v>35</v>
      </c>
    </row>
    <row r="308">
      <c r="A308" s="58" t="inlineStr">
        <is>
          <t>R3-16-B</t>
        </is>
      </c>
      <c r="B308" s="60" t="inlineStr">
        <is>
          <t>R3</t>
        </is>
      </c>
      <c r="C308" s="61" t="n">
        <v>16</v>
      </c>
      <c r="D308" s="60" t="inlineStr">
        <is>
          <t>B</t>
        </is>
      </c>
      <c r="E308" s="60" t="inlineStr">
        <is>
          <t>BAG</t>
        </is>
      </c>
      <c r="F308" s="58" t="n"/>
      <c r="G308" s="58" t="n"/>
      <c r="H308" s="60" t="n">
        <v>13</v>
      </c>
      <c r="I308" s="60" t="n">
        <v>36</v>
      </c>
    </row>
    <row r="309">
      <c r="A309" s="58" t="inlineStr">
        <is>
          <t>R3-01-C</t>
        </is>
      </c>
      <c r="B309" s="60" t="inlineStr">
        <is>
          <t>R3</t>
        </is>
      </c>
      <c r="C309" s="61" t="n">
        <v>1</v>
      </c>
      <c r="D309" s="60" t="inlineStr">
        <is>
          <t>C</t>
        </is>
      </c>
      <c r="E309" s="60" t="inlineStr">
        <is>
          <t>BAG</t>
        </is>
      </c>
      <c r="F309" s="58" t="n"/>
      <c r="G309" s="58" t="n"/>
      <c r="H309" s="60" t="n">
        <v>14</v>
      </c>
      <c r="I309" s="60" t="n">
        <v>21</v>
      </c>
    </row>
    <row r="310">
      <c r="A310" s="58" t="inlineStr">
        <is>
          <t>R3-02-C</t>
        </is>
      </c>
      <c r="B310" s="60" t="inlineStr">
        <is>
          <t>R3</t>
        </is>
      </c>
      <c r="C310" s="61" t="n">
        <v>2</v>
      </c>
      <c r="D310" s="60" t="inlineStr">
        <is>
          <t>C</t>
        </is>
      </c>
      <c r="E310" s="60" t="inlineStr">
        <is>
          <t>BAG</t>
        </is>
      </c>
      <c r="F310" s="58" t="n"/>
      <c r="G310" s="58" t="n"/>
      <c r="H310" s="60" t="n">
        <v>14</v>
      </c>
      <c r="I310" s="60" t="n">
        <v>22</v>
      </c>
    </row>
    <row r="311">
      <c r="A311" s="58" t="inlineStr">
        <is>
          <t>R3-03-C</t>
        </is>
      </c>
      <c r="B311" s="60" t="inlineStr">
        <is>
          <t>R3</t>
        </is>
      </c>
      <c r="C311" s="61" t="n">
        <v>3</v>
      </c>
      <c r="D311" s="60" t="inlineStr">
        <is>
          <t>C</t>
        </is>
      </c>
      <c r="E311" s="60" t="inlineStr">
        <is>
          <t>BAG</t>
        </is>
      </c>
      <c r="F311" s="58" t="n"/>
      <c r="G311" s="58" t="n"/>
      <c r="H311" s="60" t="n">
        <v>14</v>
      </c>
      <c r="I311" s="60" t="n">
        <v>23</v>
      </c>
    </row>
    <row r="312">
      <c r="A312" s="58" t="inlineStr">
        <is>
          <t>R3-04-C</t>
        </is>
      </c>
      <c r="B312" s="60" t="inlineStr">
        <is>
          <t>R3</t>
        </is>
      </c>
      <c r="C312" s="61" t="n">
        <v>4</v>
      </c>
      <c r="D312" s="60" t="inlineStr">
        <is>
          <t>C</t>
        </is>
      </c>
      <c r="E312" s="60" t="inlineStr">
        <is>
          <t>BAG</t>
        </is>
      </c>
      <c r="F312" s="58" t="n"/>
      <c r="G312" s="58" t="n"/>
      <c r="H312" s="60" t="n">
        <v>14</v>
      </c>
      <c r="I312" s="60" t="n">
        <v>24</v>
      </c>
    </row>
    <row r="313">
      <c r="A313" s="58" t="inlineStr">
        <is>
          <t>R3-05-C</t>
        </is>
      </c>
      <c r="B313" s="60" t="inlineStr">
        <is>
          <t>R3</t>
        </is>
      </c>
      <c r="C313" s="61" t="n">
        <v>5</v>
      </c>
      <c r="D313" s="60" t="inlineStr">
        <is>
          <t>C</t>
        </is>
      </c>
      <c r="E313" s="60" t="inlineStr">
        <is>
          <t>BAG</t>
        </is>
      </c>
      <c r="F313" s="58" t="n"/>
      <c r="G313" s="58" t="n"/>
      <c r="H313" s="60" t="n">
        <v>14</v>
      </c>
      <c r="I313" s="60" t="n">
        <v>25</v>
      </c>
    </row>
    <row r="314">
      <c r="A314" s="58" t="inlineStr">
        <is>
          <t>R3-06-C</t>
        </is>
      </c>
      <c r="B314" s="60" t="inlineStr">
        <is>
          <t>R3</t>
        </is>
      </c>
      <c r="C314" s="61" t="n">
        <v>6</v>
      </c>
      <c r="D314" s="60" t="inlineStr">
        <is>
          <t>C</t>
        </is>
      </c>
      <c r="E314" s="60" t="inlineStr">
        <is>
          <t>BAG</t>
        </is>
      </c>
      <c r="F314" s="58" t="n"/>
      <c r="G314" s="58" t="n"/>
      <c r="H314" s="60" t="n">
        <v>14</v>
      </c>
      <c r="I314" s="60" t="n">
        <v>26</v>
      </c>
    </row>
    <row r="315">
      <c r="A315" s="58" t="inlineStr">
        <is>
          <t>R3-07-C</t>
        </is>
      </c>
      <c r="B315" s="60" t="inlineStr">
        <is>
          <t>R3</t>
        </is>
      </c>
      <c r="C315" s="61" t="n">
        <v>7</v>
      </c>
      <c r="D315" s="60" t="inlineStr">
        <is>
          <t>C</t>
        </is>
      </c>
      <c r="E315" s="60" t="inlineStr">
        <is>
          <t>BAG</t>
        </is>
      </c>
      <c r="F315" s="58" t="n"/>
      <c r="G315" s="58" t="n"/>
      <c r="H315" s="60" t="n">
        <v>14</v>
      </c>
      <c r="I315" s="60" t="n">
        <v>27</v>
      </c>
    </row>
    <row r="316">
      <c r="A316" s="58" t="inlineStr">
        <is>
          <t>R3-08-C</t>
        </is>
      </c>
      <c r="B316" s="60" t="inlineStr">
        <is>
          <t>R3</t>
        </is>
      </c>
      <c r="C316" s="61" t="n">
        <v>8</v>
      </c>
      <c r="D316" s="60" t="inlineStr">
        <is>
          <t>C</t>
        </is>
      </c>
      <c r="E316" s="60" t="inlineStr">
        <is>
          <t>BAG</t>
        </is>
      </c>
      <c r="F316" s="58" t="n"/>
      <c r="G316" s="58" t="n"/>
      <c r="H316" s="60" t="n">
        <v>14</v>
      </c>
      <c r="I316" s="60" t="n">
        <v>28</v>
      </c>
    </row>
    <row r="317">
      <c r="A317" s="58" t="inlineStr">
        <is>
          <t>R3-09-C</t>
        </is>
      </c>
      <c r="B317" s="60" t="inlineStr">
        <is>
          <t>R3</t>
        </is>
      </c>
      <c r="C317" s="61" t="n">
        <v>9</v>
      </c>
      <c r="D317" s="60" t="inlineStr">
        <is>
          <t>C</t>
        </is>
      </c>
      <c r="E317" s="60" t="inlineStr">
        <is>
          <t>BAG</t>
        </is>
      </c>
      <c r="F317" s="58" t="n"/>
      <c r="G317" s="58" t="n"/>
      <c r="H317" s="60" t="n">
        <v>14</v>
      </c>
      <c r="I317" s="60" t="n">
        <v>29</v>
      </c>
    </row>
    <row r="318">
      <c r="A318" s="58" t="inlineStr">
        <is>
          <t>R3-10-C</t>
        </is>
      </c>
      <c r="B318" s="60" t="inlineStr">
        <is>
          <t>R3</t>
        </is>
      </c>
      <c r="C318" s="61" t="n">
        <v>10</v>
      </c>
      <c r="D318" s="60" t="inlineStr">
        <is>
          <t>C</t>
        </is>
      </c>
      <c r="E318" s="60" t="inlineStr">
        <is>
          <t>BAG</t>
        </is>
      </c>
      <c r="F318" s="58" t="n"/>
      <c r="G318" s="58" t="n"/>
      <c r="H318" s="60" t="n">
        <v>14</v>
      </c>
      <c r="I318" s="60" t="n">
        <v>30</v>
      </c>
    </row>
    <row r="319">
      <c r="A319" s="58" t="inlineStr">
        <is>
          <t>R3-11-C</t>
        </is>
      </c>
      <c r="B319" s="60" t="inlineStr">
        <is>
          <t>R3</t>
        </is>
      </c>
      <c r="C319" s="61" t="n">
        <v>11</v>
      </c>
      <c r="D319" s="60" t="inlineStr">
        <is>
          <t>C</t>
        </is>
      </c>
      <c r="E319" s="60" t="inlineStr">
        <is>
          <t>BAG</t>
        </is>
      </c>
      <c r="F319" s="58" t="n"/>
      <c r="G319" s="58" t="n"/>
      <c r="H319" s="60" t="n">
        <v>14</v>
      </c>
      <c r="I319" s="60" t="n">
        <v>31</v>
      </c>
    </row>
    <row r="320">
      <c r="A320" s="58" t="inlineStr">
        <is>
          <t>R3-12-C</t>
        </is>
      </c>
      <c r="B320" s="60" t="inlineStr">
        <is>
          <t>R3</t>
        </is>
      </c>
      <c r="C320" s="61" t="n">
        <v>12</v>
      </c>
      <c r="D320" s="60" t="inlineStr">
        <is>
          <t>C</t>
        </is>
      </c>
      <c r="E320" s="60" t="inlineStr">
        <is>
          <t>BAG</t>
        </is>
      </c>
      <c r="F320" s="58" t="n"/>
      <c r="G320" s="58" t="n"/>
      <c r="H320" s="60" t="n">
        <v>14</v>
      </c>
      <c r="I320" s="60" t="n">
        <v>32</v>
      </c>
    </row>
    <row r="321">
      <c r="A321" s="58" t="inlineStr">
        <is>
          <t>R3-13-C</t>
        </is>
      </c>
      <c r="B321" s="60" t="inlineStr">
        <is>
          <t>R3</t>
        </is>
      </c>
      <c r="C321" s="61" t="n">
        <v>13</v>
      </c>
      <c r="D321" s="60" t="inlineStr">
        <is>
          <t>C</t>
        </is>
      </c>
      <c r="E321" s="60" t="inlineStr">
        <is>
          <t>BAG</t>
        </is>
      </c>
      <c r="F321" s="58" t="n"/>
      <c r="G321" s="58" t="n"/>
      <c r="H321" s="60" t="n">
        <v>14</v>
      </c>
      <c r="I321" s="60" t="n">
        <v>33</v>
      </c>
    </row>
    <row r="322">
      <c r="A322" s="58" t="inlineStr">
        <is>
          <t>R3-14-C</t>
        </is>
      </c>
      <c r="B322" s="60" t="inlineStr">
        <is>
          <t>R3</t>
        </is>
      </c>
      <c r="C322" s="61" t="n">
        <v>14</v>
      </c>
      <c r="D322" s="60" t="inlineStr">
        <is>
          <t>C</t>
        </is>
      </c>
      <c r="E322" s="60" t="inlineStr">
        <is>
          <t>BAG</t>
        </is>
      </c>
      <c r="F322" s="58" t="n"/>
      <c r="G322" s="58" t="n"/>
      <c r="H322" s="60" t="n">
        <v>14</v>
      </c>
      <c r="I322" s="60" t="n">
        <v>34</v>
      </c>
    </row>
    <row r="323">
      <c r="A323" s="58" t="inlineStr">
        <is>
          <t>R3-15-C</t>
        </is>
      </c>
      <c r="B323" s="60" t="inlineStr">
        <is>
          <t>R3</t>
        </is>
      </c>
      <c r="C323" s="61" t="n">
        <v>15</v>
      </c>
      <c r="D323" s="60" t="inlineStr">
        <is>
          <t>C</t>
        </is>
      </c>
      <c r="E323" s="60" t="inlineStr">
        <is>
          <t>BAG</t>
        </is>
      </c>
      <c r="F323" s="58" t="n"/>
      <c r="G323" s="58" t="n"/>
      <c r="H323" s="60" t="n">
        <v>14</v>
      </c>
      <c r="I323" s="60" t="n">
        <v>35</v>
      </c>
    </row>
    <row r="324">
      <c r="A324" s="58" t="inlineStr">
        <is>
          <t>R3-16-C</t>
        </is>
      </c>
      <c r="B324" s="60" t="inlineStr">
        <is>
          <t>R3</t>
        </is>
      </c>
      <c r="C324" s="61" t="n">
        <v>16</v>
      </c>
      <c r="D324" s="60" t="inlineStr">
        <is>
          <t>C</t>
        </is>
      </c>
      <c r="E324" s="60" t="inlineStr">
        <is>
          <t>BAG</t>
        </is>
      </c>
      <c r="F324" s="58" t="n"/>
      <c r="G324" s="58" t="n"/>
      <c r="H324" s="60" t="n">
        <v>14</v>
      </c>
      <c r="I324" s="60" t="n">
        <v>36</v>
      </c>
    </row>
    <row r="325">
      <c r="A325" s="58" t="inlineStr">
        <is>
          <t>R3-01-D</t>
        </is>
      </c>
      <c r="B325" s="60" t="inlineStr">
        <is>
          <t>R3</t>
        </is>
      </c>
      <c r="C325" s="61" t="n">
        <v>1</v>
      </c>
      <c r="D325" s="60" t="inlineStr">
        <is>
          <t>D</t>
        </is>
      </c>
      <c r="E325" s="60" t="inlineStr">
        <is>
          <t>BAG</t>
        </is>
      </c>
      <c r="F325" s="58" t="n"/>
      <c r="G325" s="58" t="n"/>
      <c r="H325" s="60" t="n">
        <v>15</v>
      </c>
      <c r="I325" s="60" t="n">
        <v>21</v>
      </c>
    </row>
    <row r="326">
      <c r="A326" s="58" t="inlineStr">
        <is>
          <t>R3-02-D</t>
        </is>
      </c>
      <c r="B326" s="60" t="inlineStr">
        <is>
          <t>R3</t>
        </is>
      </c>
      <c r="C326" s="61" t="n">
        <v>2</v>
      </c>
      <c r="D326" s="60" t="inlineStr">
        <is>
          <t>D</t>
        </is>
      </c>
      <c r="E326" s="60" t="inlineStr">
        <is>
          <t>BAG</t>
        </is>
      </c>
      <c r="F326" s="58" t="n"/>
      <c r="G326" s="58" t="n"/>
      <c r="H326" s="60" t="n">
        <v>15</v>
      </c>
      <c r="I326" s="60" t="n">
        <v>22</v>
      </c>
    </row>
    <row r="327">
      <c r="A327" s="58" t="inlineStr">
        <is>
          <t>R3-03-D</t>
        </is>
      </c>
      <c r="B327" s="60" t="inlineStr">
        <is>
          <t>R3</t>
        </is>
      </c>
      <c r="C327" s="61" t="n">
        <v>3</v>
      </c>
      <c r="D327" s="60" t="inlineStr">
        <is>
          <t>D</t>
        </is>
      </c>
      <c r="E327" s="60" t="inlineStr">
        <is>
          <t>BAG</t>
        </is>
      </c>
      <c r="F327" s="58" t="n"/>
      <c r="G327" s="58" t="n"/>
      <c r="H327" s="60" t="n">
        <v>15</v>
      </c>
      <c r="I327" s="60" t="n">
        <v>23</v>
      </c>
    </row>
    <row r="328">
      <c r="A328" s="58" t="inlineStr">
        <is>
          <t>R3-04-D</t>
        </is>
      </c>
      <c r="B328" s="60" t="inlineStr">
        <is>
          <t>R3</t>
        </is>
      </c>
      <c r="C328" s="61" t="n">
        <v>4</v>
      </c>
      <c r="D328" s="60" t="inlineStr">
        <is>
          <t>D</t>
        </is>
      </c>
      <c r="E328" s="60" t="inlineStr">
        <is>
          <t>BAG</t>
        </is>
      </c>
      <c r="F328" s="58" t="n"/>
      <c r="G328" s="58" t="n"/>
      <c r="H328" s="60" t="n">
        <v>15</v>
      </c>
      <c r="I328" s="60" t="n">
        <v>24</v>
      </c>
    </row>
    <row r="329">
      <c r="A329" s="58" t="inlineStr">
        <is>
          <t>R3-05-D</t>
        </is>
      </c>
      <c r="B329" s="60" t="inlineStr">
        <is>
          <t>R3</t>
        </is>
      </c>
      <c r="C329" s="61" t="n">
        <v>5</v>
      </c>
      <c r="D329" s="60" t="inlineStr">
        <is>
          <t>D</t>
        </is>
      </c>
      <c r="E329" s="60" t="inlineStr">
        <is>
          <t>BAG</t>
        </is>
      </c>
      <c r="F329" s="58" t="n"/>
      <c r="G329" s="58" t="n"/>
      <c r="H329" s="60" t="n">
        <v>15</v>
      </c>
      <c r="I329" s="60" t="n">
        <v>25</v>
      </c>
    </row>
    <row r="330">
      <c r="A330" s="58" t="inlineStr">
        <is>
          <t>R3-06-D</t>
        </is>
      </c>
      <c r="B330" s="60" t="inlineStr">
        <is>
          <t>R3</t>
        </is>
      </c>
      <c r="C330" s="61" t="n">
        <v>6</v>
      </c>
      <c r="D330" s="60" t="inlineStr">
        <is>
          <t>D</t>
        </is>
      </c>
      <c r="E330" s="60" t="inlineStr">
        <is>
          <t>BAG</t>
        </is>
      </c>
      <c r="F330" s="58" t="n"/>
      <c r="G330" s="58" t="n"/>
      <c r="H330" s="60" t="n">
        <v>15</v>
      </c>
      <c r="I330" s="60" t="n">
        <v>26</v>
      </c>
    </row>
    <row r="331">
      <c r="A331" s="58" t="inlineStr">
        <is>
          <t>R3-07-D</t>
        </is>
      </c>
      <c r="B331" s="60" t="inlineStr">
        <is>
          <t>R3</t>
        </is>
      </c>
      <c r="C331" s="61" t="n">
        <v>7</v>
      </c>
      <c r="D331" s="60" t="inlineStr">
        <is>
          <t>D</t>
        </is>
      </c>
      <c r="E331" s="60" t="inlineStr">
        <is>
          <t>BAG</t>
        </is>
      </c>
      <c r="F331" s="58" t="n"/>
      <c r="G331" s="58" t="n"/>
      <c r="H331" s="60" t="n">
        <v>15</v>
      </c>
      <c r="I331" s="60" t="n">
        <v>27</v>
      </c>
    </row>
    <row r="332">
      <c r="A332" s="58" t="inlineStr">
        <is>
          <t>R3-08-D</t>
        </is>
      </c>
      <c r="B332" s="60" t="inlineStr">
        <is>
          <t>R3</t>
        </is>
      </c>
      <c r="C332" s="61" t="n">
        <v>8</v>
      </c>
      <c r="D332" s="60" t="inlineStr">
        <is>
          <t>D</t>
        </is>
      </c>
      <c r="E332" s="60" t="inlineStr">
        <is>
          <t>BAG</t>
        </is>
      </c>
      <c r="F332" s="58" t="n"/>
      <c r="G332" s="58" t="n"/>
      <c r="H332" s="60" t="n">
        <v>15</v>
      </c>
      <c r="I332" s="60" t="n">
        <v>28</v>
      </c>
    </row>
    <row r="333">
      <c r="A333" s="58" t="inlineStr">
        <is>
          <t>R3-09-D</t>
        </is>
      </c>
      <c r="B333" s="60" t="inlineStr">
        <is>
          <t>R3</t>
        </is>
      </c>
      <c r="C333" s="61" t="n">
        <v>9</v>
      </c>
      <c r="D333" s="60" t="inlineStr">
        <is>
          <t>D</t>
        </is>
      </c>
      <c r="E333" s="60" t="inlineStr">
        <is>
          <t>BAG</t>
        </is>
      </c>
      <c r="F333" s="58" t="n"/>
      <c r="G333" s="58" t="n"/>
      <c r="H333" s="60" t="n">
        <v>15</v>
      </c>
      <c r="I333" s="60" t="n">
        <v>29</v>
      </c>
    </row>
    <row r="334">
      <c r="A334" s="58" t="inlineStr">
        <is>
          <t>R3-10-D</t>
        </is>
      </c>
      <c r="B334" s="60" t="inlineStr">
        <is>
          <t>R3</t>
        </is>
      </c>
      <c r="C334" s="61" t="n">
        <v>10</v>
      </c>
      <c r="D334" s="60" t="inlineStr">
        <is>
          <t>D</t>
        </is>
      </c>
      <c r="E334" s="60" t="inlineStr">
        <is>
          <t>BAG</t>
        </is>
      </c>
      <c r="F334" s="58" t="n"/>
      <c r="G334" s="58" t="n"/>
      <c r="H334" s="60" t="n">
        <v>15</v>
      </c>
      <c r="I334" s="60" t="n">
        <v>30</v>
      </c>
    </row>
    <row r="335">
      <c r="A335" s="58" t="inlineStr">
        <is>
          <t>R3-11-D</t>
        </is>
      </c>
      <c r="B335" s="60" t="inlineStr">
        <is>
          <t>R3</t>
        </is>
      </c>
      <c r="C335" s="61" t="n">
        <v>11</v>
      </c>
      <c r="D335" s="60" t="inlineStr">
        <is>
          <t>D</t>
        </is>
      </c>
      <c r="E335" s="60" t="inlineStr">
        <is>
          <t>BAG</t>
        </is>
      </c>
      <c r="F335" s="58" t="n"/>
      <c r="G335" s="58" t="n"/>
      <c r="H335" s="60" t="n">
        <v>15</v>
      </c>
      <c r="I335" s="60" t="n">
        <v>31</v>
      </c>
    </row>
    <row r="336">
      <c r="A336" s="58" t="inlineStr">
        <is>
          <t>R3-12-D</t>
        </is>
      </c>
      <c r="B336" s="60" t="inlineStr">
        <is>
          <t>R3</t>
        </is>
      </c>
      <c r="C336" s="61" t="n">
        <v>12</v>
      </c>
      <c r="D336" s="60" t="inlineStr">
        <is>
          <t>D</t>
        </is>
      </c>
      <c r="E336" s="60" t="inlineStr">
        <is>
          <t>BAG</t>
        </is>
      </c>
      <c r="F336" s="58" t="n"/>
      <c r="G336" s="58" t="n"/>
      <c r="H336" s="60" t="n">
        <v>15</v>
      </c>
      <c r="I336" s="60" t="n">
        <v>32</v>
      </c>
    </row>
    <row r="337">
      <c r="A337" s="58" t="inlineStr">
        <is>
          <t>R3-13-D</t>
        </is>
      </c>
      <c r="B337" s="60" t="inlineStr">
        <is>
          <t>R3</t>
        </is>
      </c>
      <c r="C337" s="61" t="n">
        <v>13</v>
      </c>
      <c r="D337" s="60" t="inlineStr">
        <is>
          <t>D</t>
        </is>
      </c>
      <c r="E337" s="60" t="inlineStr">
        <is>
          <t>BAG</t>
        </is>
      </c>
      <c r="F337" s="58" t="n"/>
      <c r="G337" s="58" t="n"/>
      <c r="H337" s="60" t="n">
        <v>15</v>
      </c>
      <c r="I337" s="60" t="n">
        <v>33</v>
      </c>
    </row>
    <row r="338">
      <c r="A338" s="58" t="inlineStr">
        <is>
          <t>R3-14-D</t>
        </is>
      </c>
      <c r="B338" s="60" t="inlineStr">
        <is>
          <t>R3</t>
        </is>
      </c>
      <c r="C338" s="61" t="n">
        <v>14</v>
      </c>
      <c r="D338" s="60" t="inlineStr">
        <is>
          <t>D</t>
        </is>
      </c>
      <c r="E338" s="60" t="inlineStr">
        <is>
          <t>BAG</t>
        </is>
      </c>
      <c r="F338" s="58" t="n"/>
      <c r="G338" s="58" t="n"/>
      <c r="H338" s="60" t="n">
        <v>15</v>
      </c>
      <c r="I338" s="60" t="n">
        <v>34</v>
      </c>
    </row>
    <row r="339">
      <c r="A339" s="58" t="inlineStr">
        <is>
          <t>R3-15-D</t>
        </is>
      </c>
      <c r="B339" s="60" t="inlineStr">
        <is>
          <t>R3</t>
        </is>
      </c>
      <c r="C339" s="61" t="n">
        <v>15</v>
      </c>
      <c r="D339" s="60" t="inlineStr">
        <is>
          <t>D</t>
        </is>
      </c>
      <c r="E339" s="60" t="inlineStr">
        <is>
          <t>BAG</t>
        </is>
      </c>
      <c r="F339" s="58" t="n"/>
      <c r="G339" s="58" t="n"/>
      <c r="H339" s="60" t="n">
        <v>15</v>
      </c>
      <c r="I339" s="60" t="n">
        <v>35</v>
      </c>
    </row>
    <row r="340">
      <c r="A340" s="58" t="inlineStr">
        <is>
          <t>R3-16-D</t>
        </is>
      </c>
      <c r="B340" s="60" t="inlineStr">
        <is>
          <t>R3</t>
        </is>
      </c>
      <c r="C340" s="61" t="n">
        <v>16</v>
      </c>
      <c r="D340" s="60" t="inlineStr">
        <is>
          <t>D</t>
        </is>
      </c>
      <c r="E340" s="60" t="inlineStr">
        <is>
          <t>BAG</t>
        </is>
      </c>
      <c r="F340" s="58" t="n"/>
      <c r="G340" s="58" t="n"/>
      <c r="H340" s="60" t="n">
        <v>15</v>
      </c>
      <c r="I340" s="60" t="n">
        <v>36</v>
      </c>
    </row>
    <row r="341">
      <c r="A341" s="58" t="inlineStr">
        <is>
          <t>R4-01-A</t>
        </is>
      </c>
      <c r="B341" s="60" t="inlineStr">
        <is>
          <t>R4</t>
        </is>
      </c>
      <c r="C341" s="61" t="n">
        <v>1</v>
      </c>
      <c r="D341" s="60" t="inlineStr">
        <is>
          <t>A</t>
        </is>
      </c>
      <c r="E341" s="60" t="inlineStr">
        <is>
          <t>BOX</t>
        </is>
      </c>
      <c r="F341" s="58" t="n"/>
      <c r="G341" s="58" t="n"/>
      <c r="H341" s="60" t="n">
        <v>7</v>
      </c>
      <c r="I341" s="60" t="n">
        <v>21</v>
      </c>
    </row>
    <row r="342">
      <c r="A342" s="58" t="inlineStr">
        <is>
          <t>R4-02-A</t>
        </is>
      </c>
      <c r="B342" s="60" t="inlineStr">
        <is>
          <t>R4</t>
        </is>
      </c>
      <c r="C342" s="61" t="n">
        <v>2</v>
      </c>
      <c r="D342" s="60" t="inlineStr">
        <is>
          <t>A</t>
        </is>
      </c>
      <c r="E342" s="60" t="inlineStr">
        <is>
          <t>BOX</t>
        </is>
      </c>
      <c r="F342" s="58" t="n"/>
      <c r="G342" s="58" t="n"/>
      <c r="H342" s="60" t="n">
        <v>7</v>
      </c>
      <c r="I342" s="60" t="n">
        <v>22</v>
      </c>
    </row>
    <row r="343">
      <c r="A343" s="58" t="inlineStr">
        <is>
          <t>R4-03-A</t>
        </is>
      </c>
      <c r="B343" s="60" t="inlineStr">
        <is>
          <t>R4</t>
        </is>
      </c>
      <c r="C343" s="61" t="n">
        <v>3</v>
      </c>
      <c r="D343" s="60" t="inlineStr">
        <is>
          <t>A</t>
        </is>
      </c>
      <c r="E343" s="60" t="inlineStr">
        <is>
          <t>BOX</t>
        </is>
      </c>
      <c r="F343" s="58" t="n"/>
      <c r="G343" s="58" t="n"/>
      <c r="H343" s="60" t="n">
        <v>7</v>
      </c>
      <c r="I343" s="60" t="n">
        <v>23</v>
      </c>
    </row>
    <row r="344">
      <c r="A344" s="58" t="inlineStr">
        <is>
          <t>R4-04-A</t>
        </is>
      </c>
      <c r="B344" s="60" t="inlineStr">
        <is>
          <t>R4</t>
        </is>
      </c>
      <c r="C344" s="61" t="n">
        <v>4</v>
      </c>
      <c r="D344" s="60" t="inlineStr">
        <is>
          <t>A</t>
        </is>
      </c>
      <c r="E344" s="60" t="inlineStr">
        <is>
          <t>BOX</t>
        </is>
      </c>
      <c r="F344" s="58" t="n"/>
      <c r="G344" s="58" t="n"/>
      <c r="H344" s="60" t="n">
        <v>7</v>
      </c>
      <c r="I344" s="60" t="n">
        <v>24</v>
      </c>
    </row>
    <row r="345">
      <c r="A345" s="58" t="inlineStr">
        <is>
          <t>R4-05-A</t>
        </is>
      </c>
      <c r="B345" s="60" t="inlineStr">
        <is>
          <t>R4</t>
        </is>
      </c>
      <c r="C345" s="61" t="n">
        <v>5</v>
      </c>
      <c r="D345" s="60" t="inlineStr">
        <is>
          <t>A</t>
        </is>
      </c>
      <c r="E345" s="60" t="inlineStr">
        <is>
          <t>BOX</t>
        </is>
      </c>
      <c r="F345" s="58" t="n"/>
      <c r="G345" s="58" t="n"/>
      <c r="H345" s="60" t="n">
        <v>7</v>
      </c>
      <c r="I345" s="60" t="n">
        <v>25</v>
      </c>
    </row>
    <row r="346">
      <c r="A346" s="58" t="inlineStr">
        <is>
          <t>R4-06-A</t>
        </is>
      </c>
      <c r="B346" s="60" t="inlineStr">
        <is>
          <t>R4</t>
        </is>
      </c>
      <c r="C346" s="61" t="n">
        <v>6</v>
      </c>
      <c r="D346" s="60" t="inlineStr">
        <is>
          <t>A</t>
        </is>
      </c>
      <c r="E346" s="60" t="inlineStr">
        <is>
          <t>BOX</t>
        </is>
      </c>
      <c r="F346" s="58" t="n"/>
      <c r="G346" s="58" t="n"/>
      <c r="H346" s="60" t="n">
        <v>7</v>
      </c>
      <c r="I346" s="60" t="n">
        <v>26</v>
      </c>
    </row>
    <row r="347">
      <c r="A347" s="58" t="inlineStr">
        <is>
          <t>R4-07-A</t>
        </is>
      </c>
      <c r="B347" s="60" t="inlineStr">
        <is>
          <t>R4</t>
        </is>
      </c>
      <c r="C347" s="61" t="n">
        <v>7</v>
      </c>
      <c r="D347" s="60" t="inlineStr">
        <is>
          <t>A</t>
        </is>
      </c>
      <c r="E347" s="60" t="inlineStr">
        <is>
          <t>BOX</t>
        </is>
      </c>
      <c r="F347" s="58" t="n"/>
      <c r="G347" s="58" t="n"/>
      <c r="H347" s="60" t="n">
        <v>7</v>
      </c>
      <c r="I347" s="60" t="n">
        <v>27</v>
      </c>
    </row>
    <row r="348">
      <c r="A348" s="58" t="inlineStr">
        <is>
          <t>R4-08-A</t>
        </is>
      </c>
      <c r="B348" s="60" t="inlineStr">
        <is>
          <t>R4</t>
        </is>
      </c>
      <c r="C348" s="61" t="n">
        <v>8</v>
      </c>
      <c r="D348" s="60" t="inlineStr">
        <is>
          <t>A</t>
        </is>
      </c>
      <c r="E348" s="60" t="inlineStr">
        <is>
          <t>BOX</t>
        </is>
      </c>
      <c r="F348" s="58" t="n"/>
      <c r="G348" s="58" t="n"/>
      <c r="H348" s="60" t="n">
        <v>7</v>
      </c>
      <c r="I348" s="60" t="n">
        <v>28</v>
      </c>
    </row>
    <row r="349">
      <c r="A349" s="58" t="inlineStr">
        <is>
          <t>R4-09-A</t>
        </is>
      </c>
      <c r="B349" s="60" t="inlineStr">
        <is>
          <t>R4</t>
        </is>
      </c>
      <c r="C349" s="61" t="n">
        <v>9</v>
      </c>
      <c r="D349" s="60" t="inlineStr">
        <is>
          <t>A</t>
        </is>
      </c>
      <c r="E349" s="60" t="inlineStr">
        <is>
          <t>BOX</t>
        </is>
      </c>
      <c r="F349" s="58" t="n"/>
      <c r="G349" s="58" t="n"/>
      <c r="H349" s="60" t="n">
        <v>7</v>
      </c>
      <c r="I349" s="60" t="n">
        <v>29</v>
      </c>
    </row>
    <row r="350">
      <c r="A350" s="58" t="inlineStr">
        <is>
          <t>R4-10-A</t>
        </is>
      </c>
      <c r="B350" s="60" t="inlineStr">
        <is>
          <t>R4</t>
        </is>
      </c>
      <c r="C350" s="61" t="n">
        <v>10</v>
      </c>
      <c r="D350" s="60" t="inlineStr">
        <is>
          <t>A</t>
        </is>
      </c>
      <c r="E350" s="60" t="inlineStr">
        <is>
          <t>BOX</t>
        </is>
      </c>
      <c r="F350" s="58" t="n"/>
      <c r="G350" s="58" t="n"/>
      <c r="H350" s="60" t="n">
        <v>7</v>
      </c>
      <c r="I350" s="60" t="n">
        <v>30</v>
      </c>
    </row>
    <row r="351">
      <c r="A351" s="58" t="inlineStr">
        <is>
          <t>R4-11-A</t>
        </is>
      </c>
      <c r="B351" s="60" t="inlineStr">
        <is>
          <t>R4</t>
        </is>
      </c>
      <c r="C351" s="61" t="n">
        <v>11</v>
      </c>
      <c r="D351" s="60" t="inlineStr">
        <is>
          <t>A</t>
        </is>
      </c>
      <c r="E351" s="60" t="inlineStr">
        <is>
          <t>BOX</t>
        </is>
      </c>
      <c r="F351" s="58" t="n"/>
      <c r="G351" s="58" t="n"/>
      <c r="H351" s="60" t="n">
        <v>7</v>
      </c>
      <c r="I351" s="60" t="n">
        <v>31</v>
      </c>
    </row>
    <row r="352">
      <c r="A352" s="58" t="inlineStr">
        <is>
          <t>R4-12-A</t>
        </is>
      </c>
      <c r="B352" s="60" t="inlineStr">
        <is>
          <t>R4</t>
        </is>
      </c>
      <c r="C352" s="61" t="n">
        <v>12</v>
      </c>
      <c r="D352" s="60" t="inlineStr">
        <is>
          <t>A</t>
        </is>
      </c>
      <c r="E352" s="60" t="inlineStr">
        <is>
          <t>BOX</t>
        </is>
      </c>
      <c r="F352" s="58" t="n"/>
      <c r="G352" s="58" t="n"/>
      <c r="H352" s="60" t="n">
        <v>7</v>
      </c>
      <c r="I352" s="60" t="n">
        <v>32</v>
      </c>
    </row>
    <row r="353">
      <c r="A353" s="58" t="inlineStr">
        <is>
          <t>R4-13-A</t>
        </is>
      </c>
      <c r="B353" s="60" t="inlineStr">
        <is>
          <t>R4</t>
        </is>
      </c>
      <c r="C353" s="61" t="n">
        <v>13</v>
      </c>
      <c r="D353" s="60" t="inlineStr">
        <is>
          <t>A</t>
        </is>
      </c>
      <c r="E353" s="60" t="inlineStr">
        <is>
          <t>BOX</t>
        </is>
      </c>
      <c r="F353" s="58" t="n"/>
      <c r="G353" s="58" t="n"/>
      <c r="H353" s="60" t="n">
        <v>7</v>
      </c>
      <c r="I353" s="60" t="n">
        <v>33</v>
      </c>
    </row>
    <row r="354">
      <c r="A354" s="58" t="inlineStr">
        <is>
          <t>R4-14-A</t>
        </is>
      </c>
      <c r="B354" s="60" t="inlineStr">
        <is>
          <t>R4</t>
        </is>
      </c>
      <c r="C354" s="61" t="n">
        <v>14</v>
      </c>
      <c r="D354" s="60" t="inlineStr">
        <is>
          <t>A</t>
        </is>
      </c>
      <c r="E354" s="60" t="inlineStr">
        <is>
          <t>BOX</t>
        </is>
      </c>
      <c r="F354" s="58" t="n"/>
      <c r="G354" s="58" t="n"/>
      <c r="H354" s="60" t="n">
        <v>7</v>
      </c>
      <c r="I354" s="60" t="n">
        <v>34</v>
      </c>
    </row>
    <row r="355">
      <c r="A355" s="58" t="inlineStr">
        <is>
          <t>R4-15-A</t>
        </is>
      </c>
      <c r="B355" s="60" t="inlineStr">
        <is>
          <t>R4</t>
        </is>
      </c>
      <c r="C355" s="61" t="n">
        <v>15</v>
      </c>
      <c r="D355" s="60" t="inlineStr">
        <is>
          <t>A</t>
        </is>
      </c>
      <c r="E355" s="60" t="inlineStr">
        <is>
          <t>BOX</t>
        </is>
      </c>
      <c r="F355" s="58" t="n"/>
      <c r="G355" s="58" t="n"/>
      <c r="H355" s="60" t="n">
        <v>7</v>
      </c>
      <c r="I355" s="60" t="n">
        <v>35</v>
      </c>
    </row>
    <row r="356">
      <c r="A356" s="58" t="inlineStr">
        <is>
          <t>R4-16-A</t>
        </is>
      </c>
      <c r="B356" s="60" t="inlineStr">
        <is>
          <t>R4</t>
        </is>
      </c>
      <c r="C356" s="61" t="n">
        <v>16</v>
      </c>
      <c r="D356" s="60" t="inlineStr">
        <is>
          <t>A</t>
        </is>
      </c>
      <c r="E356" s="60" t="inlineStr">
        <is>
          <t>BOX</t>
        </is>
      </c>
      <c r="F356" s="58" t="n"/>
      <c r="G356" s="58" t="n"/>
      <c r="H356" s="60" t="n">
        <v>7</v>
      </c>
      <c r="I356" s="60" t="n">
        <v>36</v>
      </c>
    </row>
    <row r="357">
      <c r="A357" s="58" t="inlineStr">
        <is>
          <t>R4-01-B</t>
        </is>
      </c>
      <c r="B357" s="60" t="inlineStr">
        <is>
          <t>R4</t>
        </is>
      </c>
      <c r="C357" s="61" t="n">
        <v>1</v>
      </c>
      <c r="D357" s="60" t="inlineStr">
        <is>
          <t>B</t>
        </is>
      </c>
      <c r="E357" s="60" t="inlineStr">
        <is>
          <t>BOX</t>
        </is>
      </c>
      <c r="F357" s="58" t="n"/>
      <c r="G357" s="58" t="n"/>
      <c r="H357" s="60" t="n">
        <v>8</v>
      </c>
      <c r="I357" s="60" t="n">
        <v>21</v>
      </c>
    </row>
    <row r="358">
      <c r="A358" s="58" t="inlineStr">
        <is>
          <t>R4-02-B</t>
        </is>
      </c>
      <c r="B358" s="60" t="inlineStr">
        <is>
          <t>R4</t>
        </is>
      </c>
      <c r="C358" s="61" t="n">
        <v>2</v>
      </c>
      <c r="D358" s="60" t="inlineStr">
        <is>
          <t>B</t>
        </is>
      </c>
      <c r="E358" s="60" t="inlineStr">
        <is>
          <t>BOX</t>
        </is>
      </c>
      <c r="F358" s="58" t="n"/>
      <c r="G358" s="58" t="n"/>
      <c r="H358" s="60" t="n">
        <v>8</v>
      </c>
      <c r="I358" s="60" t="n">
        <v>22</v>
      </c>
    </row>
    <row r="359">
      <c r="A359" s="58" t="inlineStr">
        <is>
          <t>R4-03-B</t>
        </is>
      </c>
      <c r="B359" s="60" t="inlineStr">
        <is>
          <t>R4</t>
        </is>
      </c>
      <c r="C359" s="61" t="n">
        <v>3</v>
      </c>
      <c r="D359" s="60" t="inlineStr">
        <is>
          <t>B</t>
        </is>
      </c>
      <c r="E359" s="60" t="inlineStr">
        <is>
          <t>BOX</t>
        </is>
      </c>
      <c r="F359" s="58" t="n"/>
      <c r="G359" s="58" t="n"/>
      <c r="H359" s="60" t="n">
        <v>8</v>
      </c>
      <c r="I359" s="60" t="n">
        <v>23</v>
      </c>
    </row>
    <row r="360">
      <c r="A360" s="58" t="inlineStr">
        <is>
          <t>R4-04-B</t>
        </is>
      </c>
      <c r="B360" s="60" t="inlineStr">
        <is>
          <t>R4</t>
        </is>
      </c>
      <c r="C360" s="61" t="n">
        <v>4</v>
      </c>
      <c r="D360" s="60" t="inlineStr">
        <is>
          <t>B</t>
        </is>
      </c>
      <c r="E360" s="60" t="inlineStr">
        <is>
          <t>BOX</t>
        </is>
      </c>
      <c r="F360" s="58" t="n"/>
      <c r="G360" s="58" t="n"/>
      <c r="H360" s="60" t="n">
        <v>8</v>
      </c>
      <c r="I360" s="60" t="n">
        <v>24</v>
      </c>
    </row>
    <row r="361">
      <c r="A361" s="58" t="inlineStr">
        <is>
          <t>R4-05-B</t>
        </is>
      </c>
      <c r="B361" s="60" t="inlineStr">
        <is>
          <t>R4</t>
        </is>
      </c>
      <c r="C361" s="61" t="n">
        <v>5</v>
      </c>
      <c r="D361" s="60" t="inlineStr">
        <is>
          <t>B</t>
        </is>
      </c>
      <c r="E361" s="60" t="inlineStr">
        <is>
          <t>BOX</t>
        </is>
      </c>
      <c r="F361" s="58" t="n"/>
      <c r="G361" s="58" t="n"/>
      <c r="H361" s="60" t="n">
        <v>8</v>
      </c>
      <c r="I361" s="60" t="n">
        <v>25</v>
      </c>
    </row>
    <row r="362">
      <c r="A362" s="58" t="inlineStr">
        <is>
          <t>R4-06-B</t>
        </is>
      </c>
      <c r="B362" s="60" t="inlineStr">
        <is>
          <t>R4</t>
        </is>
      </c>
      <c r="C362" s="61" t="n">
        <v>6</v>
      </c>
      <c r="D362" s="60" t="inlineStr">
        <is>
          <t>B</t>
        </is>
      </c>
      <c r="E362" s="60" t="inlineStr">
        <is>
          <t>BOX</t>
        </is>
      </c>
      <c r="F362" s="58" t="n"/>
      <c r="G362" s="58" t="n"/>
      <c r="H362" s="60" t="n">
        <v>8</v>
      </c>
      <c r="I362" s="60" t="n">
        <v>26</v>
      </c>
    </row>
    <row r="363">
      <c r="A363" s="58" t="inlineStr">
        <is>
          <t>R4-07-B</t>
        </is>
      </c>
      <c r="B363" s="60" t="inlineStr">
        <is>
          <t>R4</t>
        </is>
      </c>
      <c r="C363" s="61" t="n">
        <v>7</v>
      </c>
      <c r="D363" s="60" t="inlineStr">
        <is>
          <t>B</t>
        </is>
      </c>
      <c r="E363" s="60" t="inlineStr">
        <is>
          <t>BOX</t>
        </is>
      </c>
      <c r="F363" s="58" t="n"/>
      <c r="G363" s="58" t="n"/>
      <c r="H363" s="60" t="n">
        <v>8</v>
      </c>
      <c r="I363" s="60" t="n">
        <v>27</v>
      </c>
    </row>
    <row r="364">
      <c r="A364" s="58" t="inlineStr">
        <is>
          <t>R4-08-B</t>
        </is>
      </c>
      <c r="B364" s="60" t="inlineStr">
        <is>
          <t>R4</t>
        </is>
      </c>
      <c r="C364" s="61" t="n">
        <v>8</v>
      </c>
      <c r="D364" s="60" t="inlineStr">
        <is>
          <t>B</t>
        </is>
      </c>
      <c r="E364" s="60" t="inlineStr">
        <is>
          <t>BOX</t>
        </is>
      </c>
      <c r="F364" s="58" t="n"/>
      <c r="G364" s="58" t="n"/>
      <c r="H364" s="60" t="n">
        <v>8</v>
      </c>
      <c r="I364" s="60" t="n">
        <v>28</v>
      </c>
    </row>
    <row r="365">
      <c r="A365" s="58" t="inlineStr">
        <is>
          <t>R4-09-B</t>
        </is>
      </c>
      <c r="B365" s="60" t="inlineStr">
        <is>
          <t>R4</t>
        </is>
      </c>
      <c r="C365" s="61" t="n">
        <v>9</v>
      </c>
      <c r="D365" s="60" t="inlineStr">
        <is>
          <t>B</t>
        </is>
      </c>
      <c r="E365" s="60" t="inlineStr">
        <is>
          <t>BOX</t>
        </is>
      </c>
      <c r="F365" s="58" t="n"/>
      <c r="G365" s="58" t="n"/>
      <c r="H365" s="60" t="n">
        <v>8</v>
      </c>
      <c r="I365" s="60" t="n">
        <v>29</v>
      </c>
    </row>
    <row r="366">
      <c r="A366" s="58" t="inlineStr">
        <is>
          <t>R4-10-B</t>
        </is>
      </c>
      <c r="B366" s="60" t="inlineStr">
        <is>
          <t>R4</t>
        </is>
      </c>
      <c r="C366" s="61" t="n">
        <v>10</v>
      </c>
      <c r="D366" s="60" t="inlineStr">
        <is>
          <t>B</t>
        </is>
      </c>
      <c r="E366" s="60" t="inlineStr">
        <is>
          <t>BOX</t>
        </is>
      </c>
      <c r="F366" s="58" t="n"/>
      <c r="G366" s="58" t="n"/>
      <c r="H366" s="60" t="n">
        <v>8</v>
      </c>
      <c r="I366" s="60" t="n">
        <v>30</v>
      </c>
    </row>
    <row r="367">
      <c r="A367" s="58" t="inlineStr">
        <is>
          <t>R4-11-B</t>
        </is>
      </c>
      <c r="B367" s="60" t="inlineStr">
        <is>
          <t>R4</t>
        </is>
      </c>
      <c r="C367" s="61" t="n">
        <v>11</v>
      </c>
      <c r="D367" s="60" t="inlineStr">
        <is>
          <t>B</t>
        </is>
      </c>
      <c r="E367" s="60" t="inlineStr">
        <is>
          <t>BOX</t>
        </is>
      </c>
      <c r="F367" s="58" t="n"/>
      <c r="G367" s="58" t="n"/>
      <c r="H367" s="60" t="n">
        <v>8</v>
      </c>
      <c r="I367" s="60" t="n">
        <v>31</v>
      </c>
    </row>
    <row r="368">
      <c r="A368" s="58" t="inlineStr">
        <is>
          <t>R4-12-B</t>
        </is>
      </c>
      <c r="B368" s="60" t="inlineStr">
        <is>
          <t>R4</t>
        </is>
      </c>
      <c r="C368" s="61" t="n">
        <v>12</v>
      </c>
      <c r="D368" s="60" t="inlineStr">
        <is>
          <t>B</t>
        </is>
      </c>
      <c r="E368" s="60" t="inlineStr">
        <is>
          <t>BOX</t>
        </is>
      </c>
      <c r="F368" s="58" t="n"/>
      <c r="G368" s="58" t="n"/>
      <c r="H368" s="60" t="n">
        <v>8</v>
      </c>
      <c r="I368" s="60" t="n">
        <v>32</v>
      </c>
    </row>
    <row r="369">
      <c r="A369" s="58" t="inlineStr">
        <is>
          <t>R4-13-B</t>
        </is>
      </c>
      <c r="B369" s="60" t="inlineStr">
        <is>
          <t>R4</t>
        </is>
      </c>
      <c r="C369" s="61" t="n">
        <v>13</v>
      </c>
      <c r="D369" s="60" t="inlineStr">
        <is>
          <t>B</t>
        </is>
      </c>
      <c r="E369" s="60" t="inlineStr">
        <is>
          <t>BOX</t>
        </is>
      </c>
      <c r="F369" s="58" t="n"/>
      <c r="G369" s="58" t="n"/>
      <c r="H369" s="60" t="n">
        <v>8</v>
      </c>
      <c r="I369" s="60" t="n">
        <v>33</v>
      </c>
    </row>
    <row r="370">
      <c r="A370" s="58" t="inlineStr">
        <is>
          <t>R4-14-B</t>
        </is>
      </c>
      <c r="B370" s="60" t="inlineStr">
        <is>
          <t>R4</t>
        </is>
      </c>
      <c r="C370" s="61" t="n">
        <v>14</v>
      </c>
      <c r="D370" s="60" t="inlineStr">
        <is>
          <t>B</t>
        </is>
      </c>
      <c r="E370" s="60" t="inlineStr">
        <is>
          <t>BOX</t>
        </is>
      </c>
      <c r="F370" s="58" t="n"/>
      <c r="G370" s="58" t="n"/>
      <c r="H370" s="60" t="n">
        <v>8</v>
      </c>
      <c r="I370" s="60" t="n">
        <v>34</v>
      </c>
    </row>
    <row r="371">
      <c r="A371" s="58" t="inlineStr">
        <is>
          <t>R4-15-B</t>
        </is>
      </c>
      <c r="B371" s="60" t="inlineStr">
        <is>
          <t>R4</t>
        </is>
      </c>
      <c r="C371" s="61" t="n">
        <v>15</v>
      </c>
      <c r="D371" s="60" t="inlineStr">
        <is>
          <t>B</t>
        </is>
      </c>
      <c r="E371" s="60" t="inlineStr">
        <is>
          <t>BOX</t>
        </is>
      </c>
      <c r="F371" s="58" t="n"/>
      <c r="G371" s="58" t="n"/>
      <c r="H371" s="60" t="n">
        <v>8</v>
      </c>
      <c r="I371" s="60" t="n">
        <v>35</v>
      </c>
    </row>
    <row r="372">
      <c r="A372" s="58" t="inlineStr">
        <is>
          <t>R4-16-B</t>
        </is>
      </c>
      <c r="B372" s="60" t="inlineStr">
        <is>
          <t>R4</t>
        </is>
      </c>
      <c r="C372" s="61" t="n">
        <v>16</v>
      </c>
      <c r="D372" s="60" t="inlineStr">
        <is>
          <t>B</t>
        </is>
      </c>
      <c r="E372" s="60" t="inlineStr">
        <is>
          <t>BOX</t>
        </is>
      </c>
      <c r="F372" s="58" t="n"/>
      <c r="G372" s="58" t="n"/>
      <c r="H372" s="60" t="n">
        <v>8</v>
      </c>
      <c r="I372" s="60" t="n">
        <v>36</v>
      </c>
    </row>
    <row r="373">
      <c r="A373" s="58" t="inlineStr">
        <is>
          <t>R4-01-C</t>
        </is>
      </c>
      <c r="B373" s="60" t="inlineStr">
        <is>
          <t>R4</t>
        </is>
      </c>
      <c r="C373" s="61" t="n">
        <v>1</v>
      </c>
      <c r="D373" s="60" t="inlineStr">
        <is>
          <t>C</t>
        </is>
      </c>
      <c r="E373" s="60" t="inlineStr">
        <is>
          <t>BOX</t>
        </is>
      </c>
      <c r="F373" s="58" t="n"/>
      <c r="G373" s="58" t="n"/>
      <c r="H373" s="60" t="n">
        <v>9</v>
      </c>
      <c r="I373" s="60" t="n">
        <v>21</v>
      </c>
    </row>
    <row r="374">
      <c r="A374" s="58" t="inlineStr">
        <is>
          <t>R4-02-C</t>
        </is>
      </c>
      <c r="B374" s="60" t="inlineStr">
        <is>
          <t>R4</t>
        </is>
      </c>
      <c r="C374" s="61" t="n">
        <v>2</v>
      </c>
      <c r="D374" s="60" t="inlineStr">
        <is>
          <t>C</t>
        </is>
      </c>
      <c r="E374" s="60" t="inlineStr">
        <is>
          <t>BOX</t>
        </is>
      </c>
      <c r="F374" s="58" t="n"/>
      <c r="G374" s="58" t="n"/>
      <c r="H374" s="60" t="n">
        <v>9</v>
      </c>
      <c r="I374" s="60" t="n">
        <v>22</v>
      </c>
    </row>
    <row r="375">
      <c r="A375" s="58" t="inlineStr">
        <is>
          <t>R4-03-C</t>
        </is>
      </c>
      <c r="B375" s="60" t="inlineStr">
        <is>
          <t>R4</t>
        </is>
      </c>
      <c r="C375" s="61" t="n">
        <v>3</v>
      </c>
      <c r="D375" s="60" t="inlineStr">
        <is>
          <t>C</t>
        </is>
      </c>
      <c r="E375" s="60" t="inlineStr">
        <is>
          <t>BOX</t>
        </is>
      </c>
      <c r="F375" s="58" t="n"/>
      <c r="G375" s="58" t="n"/>
      <c r="H375" s="60" t="n">
        <v>9</v>
      </c>
      <c r="I375" s="60" t="n">
        <v>23</v>
      </c>
    </row>
    <row r="376">
      <c r="A376" s="58" t="inlineStr">
        <is>
          <t>R4-04-C</t>
        </is>
      </c>
      <c r="B376" s="60" t="inlineStr">
        <is>
          <t>R4</t>
        </is>
      </c>
      <c r="C376" s="61" t="n">
        <v>4</v>
      </c>
      <c r="D376" s="60" t="inlineStr">
        <is>
          <t>C</t>
        </is>
      </c>
      <c r="E376" s="60" t="inlineStr">
        <is>
          <t>BOX</t>
        </is>
      </c>
      <c r="F376" s="58" t="n"/>
      <c r="G376" s="58" t="n"/>
      <c r="H376" s="60" t="n">
        <v>9</v>
      </c>
      <c r="I376" s="60" t="n">
        <v>24</v>
      </c>
    </row>
    <row r="377">
      <c r="A377" s="58" t="inlineStr">
        <is>
          <t>R4-05-C</t>
        </is>
      </c>
      <c r="B377" s="60" t="inlineStr">
        <is>
          <t>R4</t>
        </is>
      </c>
      <c r="C377" s="61" t="n">
        <v>5</v>
      </c>
      <c r="D377" s="60" t="inlineStr">
        <is>
          <t>C</t>
        </is>
      </c>
      <c r="E377" s="60" t="inlineStr">
        <is>
          <t>BOX</t>
        </is>
      </c>
      <c r="F377" s="58" t="n"/>
      <c r="G377" s="58" t="n"/>
      <c r="H377" s="60" t="n">
        <v>9</v>
      </c>
      <c r="I377" s="60" t="n">
        <v>25</v>
      </c>
    </row>
    <row r="378">
      <c r="A378" s="58" t="inlineStr">
        <is>
          <t>R4-06-C</t>
        </is>
      </c>
      <c r="B378" s="60" t="inlineStr">
        <is>
          <t>R4</t>
        </is>
      </c>
      <c r="C378" s="61" t="n">
        <v>6</v>
      </c>
      <c r="D378" s="60" t="inlineStr">
        <is>
          <t>C</t>
        </is>
      </c>
      <c r="E378" s="60" t="inlineStr">
        <is>
          <t>BOX</t>
        </is>
      </c>
      <c r="F378" s="58" t="n"/>
      <c r="G378" s="58" t="n"/>
      <c r="H378" s="60" t="n">
        <v>9</v>
      </c>
      <c r="I378" s="60" t="n">
        <v>26</v>
      </c>
    </row>
    <row r="379">
      <c r="A379" s="58" t="inlineStr">
        <is>
          <t>R4-07-C</t>
        </is>
      </c>
      <c r="B379" s="60" t="inlineStr">
        <is>
          <t>R4</t>
        </is>
      </c>
      <c r="C379" s="61" t="n">
        <v>7</v>
      </c>
      <c r="D379" s="60" t="inlineStr">
        <is>
          <t>C</t>
        </is>
      </c>
      <c r="E379" s="60" t="inlineStr">
        <is>
          <t>BOX</t>
        </is>
      </c>
      <c r="F379" s="58" t="n"/>
      <c r="G379" s="58" t="n"/>
      <c r="H379" s="60" t="n">
        <v>9</v>
      </c>
      <c r="I379" s="60" t="n">
        <v>27</v>
      </c>
    </row>
    <row r="380">
      <c r="A380" s="58" t="inlineStr">
        <is>
          <t>R4-08-C</t>
        </is>
      </c>
      <c r="B380" s="60" t="inlineStr">
        <is>
          <t>R4</t>
        </is>
      </c>
      <c r="C380" s="61" t="n">
        <v>8</v>
      </c>
      <c r="D380" s="60" t="inlineStr">
        <is>
          <t>C</t>
        </is>
      </c>
      <c r="E380" s="60" t="inlineStr">
        <is>
          <t>BOX</t>
        </is>
      </c>
      <c r="F380" s="58" t="n"/>
      <c r="G380" s="58" t="n"/>
      <c r="H380" s="60" t="n">
        <v>9</v>
      </c>
      <c r="I380" s="60" t="n">
        <v>28</v>
      </c>
    </row>
    <row r="381">
      <c r="A381" s="58" t="inlineStr">
        <is>
          <t>R4-09-C</t>
        </is>
      </c>
      <c r="B381" s="60" t="inlineStr">
        <is>
          <t>R4</t>
        </is>
      </c>
      <c r="C381" s="61" t="n">
        <v>9</v>
      </c>
      <c r="D381" s="60" t="inlineStr">
        <is>
          <t>C</t>
        </is>
      </c>
      <c r="E381" s="60" t="inlineStr">
        <is>
          <t>BOX</t>
        </is>
      </c>
      <c r="F381" s="58" t="n"/>
      <c r="G381" s="58" t="n"/>
      <c r="H381" s="60" t="n">
        <v>9</v>
      </c>
      <c r="I381" s="60" t="n">
        <v>29</v>
      </c>
    </row>
    <row r="382">
      <c r="A382" s="58" t="inlineStr">
        <is>
          <t>R4-10-C</t>
        </is>
      </c>
      <c r="B382" s="60" t="inlineStr">
        <is>
          <t>R4</t>
        </is>
      </c>
      <c r="C382" s="61" t="n">
        <v>10</v>
      </c>
      <c r="D382" s="60" t="inlineStr">
        <is>
          <t>C</t>
        </is>
      </c>
      <c r="E382" s="60" t="inlineStr">
        <is>
          <t>BOX</t>
        </is>
      </c>
      <c r="F382" s="58" t="n"/>
      <c r="G382" s="58" t="n"/>
      <c r="H382" s="60" t="n">
        <v>9</v>
      </c>
      <c r="I382" s="60" t="n">
        <v>30</v>
      </c>
    </row>
    <row r="383">
      <c r="A383" s="58" t="inlineStr">
        <is>
          <t>R4-11-C</t>
        </is>
      </c>
      <c r="B383" s="60" t="inlineStr">
        <is>
          <t>R4</t>
        </is>
      </c>
      <c r="C383" s="61" t="n">
        <v>11</v>
      </c>
      <c r="D383" s="60" t="inlineStr">
        <is>
          <t>C</t>
        </is>
      </c>
      <c r="E383" s="60" t="inlineStr">
        <is>
          <t>BOX</t>
        </is>
      </c>
      <c r="F383" s="58" t="n"/>
      <c r="G383" s="58" t="n"/>
      <c r="H383" s="60" t="n">
        <v>9</v>
      </c>
      <c r="I383" s="60" t="n">
        <v>31</v>
      </c>
    </row>
    <row r="384">
      <c r="A384" s="58" t="inlineStr">
        <is>
          <t>R4-12-C</t>
        </is>
      </c>
      <c r="B384" s="60" t="inlineStr">
        <is>
          <t>R4</t>
        </is>
      </c>
      <c r="C384" s="61" t="n">
        <v>12</v>
      </c>
      <c r="D384" s="60" t="inlineStr">
        <is>
          <t>C</t>
        </is>
      </c>
      <c r="E384" s="60" t="inlineStr">
        <is>
          <t>BOX</t>
        </is>
      </c>
      <c r="F384" s="58" t="n"/>
      <c r="G384" s="58" t="n"/>
      <c r="H384" s="60" t="n">
        <v>9</v>
      </c>
      <c r="I384" s="60" t="n">
        <v>32</v>
      </c>
    </row>
    <row r="385">
      <c r="A385" s="58" t="inlineStr">
        <is>
          <t>R4-13-C</t>
        </is>
      </c>
      <c r="B385" s="60" t="inlineStr">
        <is>
          <t>R4</t>
        </is>
      </c>
      <c r="C385" s="61" t="n">
        <v>13</v>
      </c>
      <c r="D385" s="60" t="inlineStr">
        <is>
          <t>C</t>
        </is>
      </c>
      <c r="E385" s="60" t="inlineStr">
        <is>
          <t>BOX</t>
        </is>
      </c>
      <c r="F385" s="58" t="n"/>
      <c r="G385" s="58" t="n"/>
      <c r="H385" s="60" t="n">
        <v>9</v>
      </c>
      <c r="I385" s="60" t="n">
        <v>33</v>
      </c>
    </row>
    <row r="386">
      <c r="A386" s="58" t="inlineStr">
        <is>
          <t>R4-14-C</t>
        </is>
      </c>
      <c r="B386" s="60" t="inlineStr">
        <is>
          <t>R4</t>
        </is>
      </c>
      <c r="C386" s="61" t="n">
        <v>14</v>
      </c>
      <c r="D386" s="60" t="inlineStr">
        <is>
          <t>C</t>
        </is>
      </c>
      <c r="E386" s="60" t="inlineStr">
        <is>
          <t>BOX</t>
        </is>
      </c>
      <c r="F386" s="58" t="n"/>
      <c r="G386" s="58" t="n"/>
      <c r="H386" s="60" t="n">
        <v>9</v>
      </c>
      <c r="I386" s="60" t="n">
        <v>34</v>
      </c>
    </row>
    <row r="387">
      <c r="A387" s="58" t="inlineStr">
        <is>
          <t>R4-15-C</t>
        </is>
      </c>
      <c r="B387" s="60" t="inlineStr">
        <is>
          <t>R4</t>
        </is>
      </c>
      <c r="C387" s="61" t="n">
        <v>15</v>
      </c>
      <c r="D387" s="60" t="inlineStr">
        <is>
          <t>C</t>
        </is>
      </c>
      <c r="E387" s="60" t="inlineStr">
        <is>
          <t>BOX</t>
        </is>
      </c>
      <c r="F387" s="58" t="n"/>
      <c r="G387" s="58" t="n"/>
      <c r="H387" s="60" t="n">
        <v>9</v>
      </c>
      <c r="I387" s="60" t="n">
        <v>35</v>
      </c>
    </row>
    <row r="388">
      <c r="A388" s="58" t="inlineStr">
        <is>
          <t>R4-16-C</t>
        </is>
      </c>
      <c r="B388" s="60" t="inlineStr">
        <is>
          <t>R4</t>
        </is>
      </c>
      <c r="C388" s="61" t="n">
        <v>16</v>
      </c>
      <c r="D388" s="60" t="inlineStr">
        <is>
          <t>C</t>
        </is>
      </c>
      <c r="E388" s="60" t="inlineStr">
        <is>
          <t>BOX</t>
        </is>
      </c>
      <c r="F388" s="58" t="n"/>
      <c r="G388" s="58" t="n"/>
      <c r="H388" s="60" t="n">
        <v>9</v>
      </c>
      <c r="I388" s="60" t="n">
        <v>36</v>
      </c>
    </row>
    <row r="389">
      <c r="A389" s="58" t="inlineStr">
        <is>
          <t>R4-01-D</t>
        </is>
      </c>
      <c r="B389" s="60" t="inlineStr">
        <is>
          <t>R4</t>
        </is>
      </c>
      <c r="C389" s="61" t="n">
        <v>1</v>
      </c>
      <c r="D389" s="60" t="inlineStr">
        <is>
          <t>D</t>
        </is>
      </c>
      <c r="E389" s="60" t="inlineStr">
        <is>
          <t>BOX</t>
        </is>
      </c>
      <c r="F389" s="58" t="n"/>
      <c r="G389" s="58" t="n"/>
      <c r="H389" s="60" t="n">
        <v>10</v>
      </c>
      <c r="I389" s="60" t="n">
        <v>21</v>
      </c>
    </row>
    <row r="390">
      <c r="A390" s="58" t="inlineStr">
        <is>
          <t>R4-02-D</t>
        </is>
      </c>
      <c r="B390" s="60" t="inlineStr">
        <is>
          <t>R4</t>
        </is>
      </c>
      <c r="C390" s="61" t="n">
        <v>2</v>
      </c>
      <c r="D390" s="60" t="inlineStr">
        <is>
          <t>D</t>
        </is>
      </c>
      <c r="E390" s="60" t="inlineStr">
        <is>
          <t>BOX</t>
        </is>
      </c>
      <c r="F390" s="58" t="n"/>
      <c r="G390" s="58" t="n"/>
      <c r="H390" s="60" t="n">
        <v>10</v>
      </c>
      <c r="I390" s="60" t="n">
        <v>22</v>
      </c>
    </row>
    <row r="391">
      <c r="A391" s="58" t="inlineStr">
        <is>
          <t>R4-03-D</t>
        </is>
      </c>
      <c r="B391" s="60" t="inlineStr">
        <is>
          <t>R4</t>
        </is>
      </c>
      <c r="C391" s="61" t="n">
        <v>3</v>
      </c>
      <c r="D391" s="60" t="inlineStr">
        <is>
          <t>D</t>
        </is>
      </c>
      <c r="E391" s="60" t="inlineStr">
        <is>
          <t>BOX</t>
        </is>
      </c>
      <c r="F391" s="58" t="n"/>
      <c r="G391" s="58" t="n"/>
      <c r="H391" s="60" t="n">
        <v>10</v>
      </c>
      <c r="I391" s="60" t="n">
        <v>23</v>
      </c>
    </row>
    <row r="392">
      <c r="A392" s="58" t="inlineStr">
        <is>
          <t>R4-04-D</t>
        </is>
      </c>
      <c r="B392" s="60" t="inlineStr">
        <is>
          <t>R4</t>
        </is>
      </c>
      <c r="C392" s="61" t="n">
        <v>4</v>
      </c>
      <c r="D392" s="60" t="inlineStr">
        <is>
          <t>D</t>
        </is>
      </c>
      <c r="E392" s="60" t="inlineStr">
        <is>
          <t>BOX</t>
        </is>
      </c>
      <c r="F392" s="58" t="n"/>
      <c r="G392" s="58" t="n"/>
      <c r="H392" s="60" t="n">
        <v>10</v>
      </c>
      <c r="I392" s="60" t="n">
        <v>24</v>
      </c>
    </row>
    <row r="393">
      <c r="A393" s="58" t="inlineStr">
        <is>
          <t>R4-05-D</t>
        </is>
      </c>
      <c r="B393" s="60" t="inlineStr">
        <is>
          <t>R4</t>
        </is>
      </c>
      <c r="C393" s="61" t="n">
        <v>5</v>
      </c>
      <c r="D393" s="60" t="inlineStr">
        <is>
          <t>D</t>
        </is>
      </c>
      <c r="E393" s="60" t="inlineStr">
        <is>
          <t>BOX</t>
        </is>
      </c>
      <c r="F393" s="58" t="n"/>
      <c r="G393" s="58" t="n"/>
      <c r="H393" s="60" t="n">
        <v>10</v>
      </c>
      <c r="I393" s="60" t="n">
        <v>25</v>
      </c>
    </row>
    <row r="394">
      <c r="A394" s="58" t="inlineStr">
        <is>
          <t>R4-06-D</t>
        </is>
      </c>
      <c r="B394" s="60" t="inlineStr">
        <is>
          <t>R4</t>
        </is>
      </c>
      <c r="C394" s="61" t="n">
        <v>6</v>
      </c>
      <c r="D394" s="60" t="inlineStr">
        <is>
          <t>D</t>
        </is>
      </c>
      <c r="E394" s="60" t="inlineStr">
        <is>
          <t>BOX</t>
        </is>
      </c>
      <c r="F394" s="58" t="n"/>
      <c r="G394" s="58" t="n"/>
      <c r="H394" s="60" t="n">
        <v>10</v>
      </c>
      <c r="I394" s="60" t="n">
        <v>26</v>
      </c>
    </row>
    <row r="395">
      <c r="A395" s="58" t="inlineStr">
        <is>
          <t>R4-07-D</t>
        </is>
      </c>
      <c r="B395" s="60" t="inlineStr">
        <is>
          <t>R4</t>
        </is>
      </c>
      <c r="C395" s="61" t="n">
        <v>7</v>
      </c>
      <c r="D395" s="60" t="inlineStr">
        <is>
          <t>D</t>
        </is>
      </c>
      <c r="E395" s="60" t="inlineStr">
        <is>
          <t>BOX</t>
        </is>
      </c>
      <c r="F395" s="58" t="n"/>
      <c r="G395" s="58" t="n"/>
      <c r="H395" s="60" t="n">
        <v>10</v>
      </c>
      <c r="I395" s="60" t="n">
        <v>27</v>
      </c>
    </row>
    <row r="396">
      <c r="A396" s="58" t="inlineStr">
        <is>
          <t>R4-08-D</t>
        </is>
      </c>
      <c r="B396" s="60" t="inlineStr">
        <is>
          <t>R4</t>
        </is>
      </c>
      <c r="C396" s="61" t="n">
        <v>8</v>
      </c>
      <c r="D396" s="60" t="inlineStr">
        <is>
          <t>D</t>
        </is>
      </c>
      <c r="E396" s="60" t="inlineStr">
        <is>
          <t>BOX</t>
        </is>
      </c>
      <c r="F396" s="58" t="n"/>
      <c r="G396" s="58" t="n"/>
      <c r="H396" s="60" t="n">
        <v>10</v>
      </c>
      <c r="I396" s="60" t="n">
        <v>28</v>
      </c>
    </row>
    <row r="397">
      <c r="A397" s="58" t="inlineStr">
        <is>
          <t>R4-09-D</t>
        </is>
      </c>
      <c r="B397" s="60" t="inlineStr">
        <is>
          <t>R4</t>
        </is>
      </c>
      <c r="C397" s="61" t="n">
        <v>9</v>
      </c>
      <c r="D397" s="60" t="inlineStr">
        <is>
          <t>D</t>
        </is>
      </c>
      <c r="E397" s="60" t="inlineStr">
        <is>
          <t>BOX</t>
        </is>
      </c>
      <c r="F397" s="58" t="n"/>
      <c r="G397" s="58" t="n"/>
      <c r="H397" s="60" t="n">
        <v>10</v>
      </c>
      <c r="I397" s="60" t="n">
        <v>29</v>
      </c>
    </row>
    <row r="398">
      <c r="A398" s="58" t="inlineStr">
        <is>
          <t>R4-10-D</t>
        </is>
      </c>
      <c r="B398" s="60" t="inlineStr">
        <is>
          <t>R4</t>
        </is>
      </c>
      <c r="C398" s="61" t="n">
        <v>10</v>
      </c>
      <c r="D398" s="60" t="inlineStr">
        <is>
          <t>D</t>
        </is>
      </c>
      <c r="E398" s="60" t="inlineStr">
        <is>
          <t>BOX</t>
        </is>
      </c>
      <c r="F398" s="58" t="n"/>
      <c r="G398" s="58" t="n"/>
      <c r="H398" s="60" t="n">
        <v>10</v>
      </c>
      <c r="I398" s="60" t="n">
        <v>30</v>
      </c>
    </row>
    <row r="399">
      <c r="A399" s="58" t="inlineStr">
        <is>
          <t>R4-11-D</t>
        </is>
      </c>
      <c r="B399" s="60" t="inlineStr">
        <is>
          <t>R4</t>
        </is>
      </c>
      <c r="C399" s="61" t="n">
        <v>11</v>
      </c>
      <c r="D399" s="60" t="inlineStr">
        <is>
          <t>D</t>
        </is>
      </c>
      <c r="E399" s="60" t="inlineStr">
        <is>
          <t>BOX</t>
        </is>
      </c>
      <c r="F399" s="58" t="n"/>
      <c r="G399" s="58" t="n"/>
      <c r="H399" s="60" t="n">
        <v>10</v>
      </c>
      <c r="I399" s="60" t="n">
        <v>31</v>
      </c>
    </row>
    <row r="400">
      <c r="A400" s="58" t="inlineStr">
        <is>
          <t>R4-12-D</t>
        </is>
      </c>
      <c r="B400" s="60" t="inlineStr">
        <is>
          <t>R4</t>
        </is>
      </c>
      <c r="C400" s="61" t="n">
        <v>12</v>
      </c>
      <c r="D400" s="60" t="inlineStr">
        <is>
          <t>D</t>
        </is>
      </c>
      <c r="E400" s="60" t="inlineStr">
        <is>
          <t>BOX</t>
        </is>
      </c>
      <c r="F400" s="58" t="n"/>
      <c r="G400" s="58" t="n"/>
      <c r="H400" s="60" t="n">
        <v>10</v>
      </c>
      <c r="I400" s="60" t="n">
        <v>32</v>
      </c>
    </row>
    <row r="401">
      <c r="A401" s="58" t="inlineStr">
        <is>
          <t>R4-13-D</t>
        </is>
      </c>
      <c r="B401" s="60" t="inlineStr">
        <is>
          <t>R4</t>
        </is>
      </c>
      <c r="C401" s="61" t="n">
        <v>13</v>
      </c>
      <c r="D401" s="60" t="inlineStr">
        <is>
          <t>D</t>
        </is>
      </c>
      <c r="E401" s="60" t="inlineStr">
        <is>
          <t>BOX</t>
        </is>
      </c>
      <c r="F401" s="58" t="n"/>
      <c r="G401" s="58" t="n"/>
      <c r="H401" s="60" t="n">
        <v>10</v>
      </c>
      <c r="I401" s="60" t="n">
        <v>33</v>
      </c>
    </row>
    <row r="402">
      <c r="A402" s="58" t="inlineStr">
        <is>
          <t>R4-14-D</t>
        </is>
      </c>
      <c r="B402" s="60" t="inlineStr">
        <is>
          <t>R4</t>
        </is>
      </c>
      <c r="C402" s="61" t="n">
        <v>14</v>
      </c>
      <c r="D402" s="60" t="inlineStr">
        <is>
          <t>D</t>
        </is>
      </c>
      <c r="E402" s="60" t="inlineStr">
        <is>
          <t>BOX</t>
        </is>
      </c>
      <c r="F402" s="58" t="n"/>
      <c r="G402" s="58" t="n"/>
      <c r="H402" s="60" t="n">
        <v>10</v>
      </c>
      <c r="I402" s="60" t="n">
        <v>34</v>
      </c>
    </row>
    <row r="403">
      <c r="A403" s="58" t="inlineStr">
        <is>
          <t>R4-15-D</t>
        </is>
      </c>
      <c r="B403" s="60" t="inlineStr">
        <is>
          <t>R4</t>
        </is>
      </c>
      <c r="C403" s="61" t="n">
        <v>15</v>
      </c>
      <c r="D403" s="60" t="inlineStr">
        <is>
          <t>D</t>
        </is>
      </c>
      <c r="E403" s="60" t="inlineStr">
        <is>
          <t>BOX</t>
        </is>
      </c>
      <c r="F403" s="58" t="n"/>
      <c r="G403" s="58" t="n"/>
      <c r="H403" s="60" t="n">
        <v>10</v>
      </c>
      <c r="I403" s="60" t="n">
        <v>35</v>
      </c>
    </row>
    <row r="404">
      <c r="A404" s="58" t="inlineStr">
        <is>
          <t>R4-16-D</t>
        </is>
      </c>
      <c r="B404" s="60" t="inlineStr">
        <is>
          <t>R4</t>
        </is>
      </c>
      <c r="C404" s="61" t="n">
        <v>16</v>
      </c>
      <c r="D404" s="60" t="inlineStr">
        <is>
          <t>D</t>
        </is>
      </c>
      <c r="E404" s="60" t="inlineStr">
        <is>
          <t>BOX</t>
        </is>
      </c>
      <c r="F404" s="58" t="n"/>
      <c r="G404" s="58" t="n"/>
      <c r="H404" s="60" t="n">
        <v>10</v>
      </c>
      <c r="I404" s="60" t="n">
        <v>36</v>
      </c>
    </row>
  </sheetData>
  <mergeCells count="2">
    <mergeCell ref="A1:I1"/>
    <mergeCell ref="A2:I2"/>
  </mergeCells>
  <conditionalFormatting sqref="F5:F404">
    <cfRule type="expression" priority="1" dxfId="4">
      <formula>AND($F5&lt;&gt;"",$E5&lt;&gt;"",IFERROR(INDEX(ItemZoneList,MATCH($F5,ItemCodeList,0)),$E5)&lt;&gt;$E5)</formula>
    </cfRule>
  </conditionalFormatting>
  <dataValidations count="2">
    <dataValidation sqref="F5:F404" showDropDown="0" showInputMessage="0" showErrorMessage="1" allowBlank="1" errorTitle="Item not in this zone" error="That item is not listed for this position's zone (or is not on the Items sheet). Keep it anyway?" type="list" errorStyle="warning">
      <formula1>OFFSET(DDTop,0,IFERROR(MATCH($E5,DDZones,0),0),MAX(1,INDEX(DDCounts,1,IFERROR(MATCH($E5,DDZones,0),0)+1)),1)</formula1>
    </dataValidation>
    <dataValidation sqref="G5:G404" showDropDown="0" showInputMessage="0" showErrorMessage="0" allowBlank="1" type="decimal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AE1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9" customWidth="1" min="4" max="4"/>
    <col width="9" customWidth="1" min="5" max="5"/>
    <col width="7" customWidth="1" min="6" max="6"/>
    <col width="8" customWidth="1" min="7" max="7"/>
    <col width="7" customWidth="1" min="8" max="8"/>
    <col width="7" customWidth="1" min="10" max="10"/>
    <col width="20" customWidth="1" min="11" max="11"/>
    <col width="10" customWidth="1" min="12" max="12"/>
    <col width="46" customWidth="1" min="13" max="13"/>
    <col width="16" customWidth="1" min="15" max="15"/>
    <col width="11" customWidth="1" min="16" max="16"/>
    <col width="60" customWidth="1" min="17" max="17"/>
    <col width="7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 ht="30" customHeight="1">
      <c r="A1" s="33" t="inlineStr">
        <is>
          <t>Config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30" customHeight="1">
      <c r="A2" s="34" t="inlineStr">
        <is>
          <t>Everything editable lives here. Change aisles or zones, then press Rebuild Layout (or Refresh for colours only) on the Map sheet. Do not sort the Settings table.</t>
        </is>
      </c>
    </row>
    <row r="3">
      <c r="A3" s="38" t="inlineStr">
        <is>
          <t>Aisles (tblAisles)</t>
        </is>
      </c>
      <c r="B3" s="39" t="n"/>
      <c r="C3" s="39" t="n"/>
      <c r="D3" s="39" t="n"/>
      <c r="E3" s="39" t="n"/>
      <c r="F3" s="39" t="n"/>
      <c r="G3" s="39" t="n"/>
      <c r="H3" s="39" t="n"/>
      <c r="J3" s="38" t="inlineStr">
        <is>
          <t>Zones (tblZones)</t>
        </is>
      </c>
      <c r="K3" s="39" t="n"/>
      <c r="L3" s="39" t="n"/>
      <c r="M3" s="39" t="n"/>
      <c r="O3" s="38" t="inlineStr">
        <is>
          <t>Settings (tblSettings)</t>
        </is>
      </c>
      <c r="P3" s="39" t="n"/>
      <c r="Q3" s="39" t="n"/>
      <c r="T3" s="62" t="inlineStr">
        <is>
          <t>Automatic dropdown lists (formulas, do not edit)</t>
        </is>
      </c>
    </row>
    <row r="4" ht="30" customHeight="1">
      <c r="A4" s="56" t="inlineStr">
        <is>
          <t>AisleID</t>
        </is>
      </c>
      <c r="B4" s="56" t="inlineStr">
        <is>
          <t>Side</t>
        </is>
      </c>
      <c r="C4" s="56" t="inlineStr">
        <is>
          <t>Order</t>
        </is>
      </c>
      <c r="D4" s="56" t="inlineStr">
        <is>
          <t>PalletsAcross</t>
        </is>
      </c>
      <c r="E4" s="56" t="inlineStr">
        <is>
          <t>PalletsDeep</t>
        </is>
      </c>
      <c r="F4" s="56" t="inlineStr">
        <is>
          <t>Zone</t>
        </is>
      </c>
      <c r="G4" s="56" t="inlineStr">
        <is>
          <t>GapAfter</t>
        </is>
      </c>
      <c r="H4" s="56" t="inlineStr">
        <is>
          <t>Active</t>
        </is>
      </c>
      <c r="J4" s="56" t="inlineStr">
        <is>
          <t>Code</t>
        </is>
      </c>
      <c r="K4" s="56" t="inlineStr">
        <is>
          <t>Name</t>
        </is>
      </c>
      <c r="L4" s="56" t="inlineStr">
        <is>
          <t>Colour</t>
        </is>
      </c>
      <c r="M4" s="56" t="inlineStr">
        <is>
          <t>Covers</t>
        </is>
      </c>
      <c r="O4" s="56" t="inlineStr">
        <is>
          <t>Setting</t>
        </is>
      </c>
      <c r="P4" s="56" t="inlineStr">
        <is>
          <t>Value</t>
        </is>
      </c>
      <c r="Q4" s="56" t="inlineStr">
        <is>
          <t>Notes</t>
        </is>
      </c>
      <c r="S4" s="63" t="inlineStr">
        <is>
          <t>Zone</t>
        </is>
      </c>
      <c r="T4" s="64" t="inlineStr">
        <is>
          <t>ALL</t>
        </is>
      </c>
      <c r="U4" s="64">
        <f>IFERROR(INDEX(tblZones[Code],1)&amp;"","")</f>
        <v/>
      </c>
      <c r="V4" s="64">
        <f>IFERROR(INDEX(tblZones[Code],2)&amp;"","")</f>
        <v/>
      </c>
      <c r="W4" s="64">
        <f>IFERROR(INDEX(tblZones[Code],3)&amp;"","")</f>
        <v/>
      </c>
      <c r="X4" s="64">
        <f>IFERROR(INDEX(tblZones[Code],4)&amp;"","")</f>
        <v/>
      </c>
      <c r="Y4" s="64">
        <f>IFERROR(INDEX(tblZones[Code],5)&amp;"","")</f>
        <v/>
      </c>
      <c r="Z4" s="64">
        <f>IFERROR(INDEX(tblZones[Code],6)&amp;"","")</f>
        <v/>
      </c>
      <c r="AA4" s="64">
        <f>IFERROR(INDEX(tblZones[Code],7)&amp;"","")</f>
        <v/>
      </c>
      <c r="AB4" s="64">
        <f>IFERROR(INDEX(tblZones[Code],8)&amp;"","")</f>
        <v/>
      </c>
      <c r="AC4" s="64">
        <f>IFERROR(INDEX(tblZones[Code],9)&amp;"","")</f>
        <v/>
      </c>
      <c r="AD4" s="64">
        <f>IFERROR(INDEX(tblZones[Code],10)&amp;"","")</f>
        <v/>
      </c>
      <c r="AE4" s="64">
        <f>IFERROR(INDEX(tblZones[Code],11)&amp;"","")</f>
        <v/>
      </c>
    </row>
    <row r="5">
      <c r="A5" s="58" t="inlineStr">
        <is>
          <t>XL</t>
        </is>
      </c>
      <c r="B5" s="58" t="inlineStr">
        <is>
          <t>Left</t>
        </is>
      </c>
      <c r="C5" s="58" t="n">
        <v>1</v>
      </c>
      <c r="D5" s="58" t="n">
        <v>6</v>
      </c>
      <c r="E5" s="58" t="n">
        <v>16</v>
      </c>
      <c r="F5" s="58" t="inlineStr"/>
      <c r="G5" s="58" t="n">
        <v>0</v>
      </c>
      <c r="H5" s="58" t="inlineStr">
        <is>
          <t>Blocked</t>
        </is>
      </c>
      <c r="J5" s="58" t="inlineStr">
        <is>
          <t>BOX</t>
        </is>
      </c>
      <c r="K5" s="58" t="inlineStr">
        <is>
          <t>Boxes</t>
        </is>
      </c>
      <c r="L5" s="65" t="inlineStr">
        <is>
          <t>#C8A165</t>
        </is>
      </c>
      <c r="M5" s="66" t="inlineStr">
        <is>
          <t>All box types</t>
        </is>
      </c>
      <c r="O5" s="67" t="inlineStr">
        <is>
          <t>DefaultLowStock</t>
        </is>
      </c>
      <c r="P5" s="68" t="n">
        <v>2</v>
      </c>
      <c r="Q5" s="66" t="inlineStr">
        <is>
          <t>Pallets. An item is flagged LOW when pallets placed is at or below this, unless the item has its own ReorderPallets.</t>
        </is>
      </c>
      <c r="S5" s="63" t="inlineStr">
        <is>
          <t>Count</t>
        </is>
      </c>
      <c r="T5" s="64">
        <f>COUNTIF(tblItems[ItemCode],"?*")</f>
        <v/>
      </c>
      <c r="U5" s="64">
        <f>IF(U4="",0,COUNTIFS(tblItems[Zone],U4,tblItems[ItemCode],"?*"))</f>
        <v/>
      </c>
      <c r="V5" s="64">
        <f>IF(V4="",0,COUNTIFS(tblItems[Zone],V4,tblItems[ItemCode],"?*"))</f>
        <v/>
      </c>
      <c r="W5" s="64">
        <f>IF(W4="",0,COUNTIFS(tblItems[Zone],W4,tblItems[ItemCode],"?*"))</f>
        <v/>
      </c>
      <c r="X5" s="64">
        <f>IF(X4="",0,COUNTIFS(tblItems[Zone],X4,tblItems[ItemCode],"?*"))</f>
        <v/>
      </c>
      <c r="Y5" s="64">
        <f>IF(Y4="",0,COUNTIFS(tblItems[Zone],Y4,tblItems[ItemCode],"?*"))</f>
        <v/>
      </c>
      <c r="Z5" s="64">
        <f>IF(Z4="",0,COUNTIFS(tblItems[Zone],Z4,tblItems[ItemCode],"?*"))</f>
        <v/>
      </c>
      <c r="AA5" s="64">
        <f>IF(AA4="",0,COUNTIFS(tblItems[Zone],AA4,tblItems[ItemCode],"?*"))</f>
        <v/>
      </c>
      <c r="AB5" s="64">
        <f>IF(AB4="",0,COUNTIFS(tblItems[Zone],AB4,tblItems[ItemCode],"?*"))</f>
        <v/>
      </c>
      <c r="AC5" s="64">
        <f>IF(AC4="",0,COUNTIFS(tblItems[Zone],AC4,tblItems[ItemCode],"?*"))</f>
        <v/>
      </c>
      <c r="AD5" s="64">
        <f>IF(AD4="",0,COUNTIFS(tblItems[Zone],AD4,tblItems[ItemCode],"?*"))</f>
        <v/>
      </c>
      <c r="AE5" s="64">
        <f>IF(AE4="",0,COUNTIFS(tblItems[Zone],AE4,tblItems[ItemCode],"?*"))</f>
        <v/>
      </c>
    </row>
    <row r="6">
      <c r="A6" s="58" t="inlineStr">
        <is>
          <t>L1</t>
        </is>
      </c>
      <c r="B6" s="58" t="inlineStr">
        <is>
          <t>Left</t>
        </is>
      </c>
      <c r="C6" s="58" t="n">
        <v>2</v>
      </c>
      <c r="D6" s="58" t="n">
        <v>4</v>
      </c>
      <c r="E6" s="58" t="n">
        <v>16</v>
      </c>
      <c r="F6" s="58" t="inlineStr">
        <is>
          <t>BOX</t>
        </is>
      </c>
      <c r="G6" s="58" t="n">
        <v>0</v>
      </c>
      <c r="H6" s="58" t="inlineStr">
        <is>
          <t>Yes</t>
        </is>
      </c>
      <c r="J6" s="58" t="inlineStr">
        <is>
          <t>BAG</t>
        </is>
      </c>
      <c r="K6" s="58" t="inlineStr">
        <is>
          <t>Bags</t>
        </is>
      </c>
      <c r="L6" s="69" t="inlineStr">
        <is>
          <t>#4A90D9</t>
        </is>
      </c>
      <c r="M6" s="66" t="inlineStr">
        <is>
          <t>Packing bags</t>
        </is>
      </c>
      <c r="O6" s="67" t="inlineStr">
        <is>
          <t>CellSizePx</t>
        </is>
      </c>
      <c r="P6" s="68" t="n">
        <v>20</v>
      </c>
      <c r="Q6" s="66" t="inlineStr">
        <is>
          <t>Size of one pallet square on the Map, in pixels. Reduced automatically (down to MinCellSizePx) if the map is too big for the screen.</t>
        </is>
      </c>
      <c r="T6" s="70">
        <f t="array" ref="T6">IFERROR(INDEX(tblItems[ItemCode],SMALL(IF(tblItems[ItemCode]&lt;&gt;"",ROW(tblItems[ItemCode])-MIN(ROW(tblItems[ItemCode]))+1),ROWS(T$6:T6))),"")</f>
        <v/>
      </c>
      <c r="U6" s="70">
        <f t="array" ref="U6">IFERROR(INDEX(tblItems[ItemCode],SMALL(IF((tblItems[Zone]=U$4)*(tblItems[ItemCode]&lt;&gt;""),ROW(tblItems[ItemCode])-MIN(ROW(tblItems[ItemCode]))+1),ROWS(U$6:U6))),"")</f>
        <v/>
      </c>
      <c r="V6" s="70">
        <f t="array" ref="V6">IFERROR(INDEX(tblItems[ItemCode],SMALL(IF((tblItems[Zone]=V$4)*(tblItems[ItemCode]&lt;&gt;""),ROW(tblItems[ItemCode])-MIN(ROW(tblItems[ItemCode]))+1),ROWS(V$6:V6))),"")</f>
        <v/>
      </c>
      <c r="W6" s="70">
        <f t="array" ref="W6">IFERROR(INDEX(tblItems[ItemCode],SMALL(IF((tblItems[Zone]=W$4)*(tblItems[ItemCode]&lt;&gt;""),ROW(tblItems[ItemCode])-MIN(ROW(tblItems[ItemCode]))+1),ROWS(W$6:W6))),"")</f>
        <v/>
      </c>
      <c r="X6" s="70">
        <f t="array" ref="X6">IFERROR(INDEX(tblItems[ItemCode],SMALL(IF((tblItems[Zone]=X$4)*(tblItems[ItemCode]&lt;&gt;""),ROW(tblItems[ItemCode])-MIN(ROW(tblItems[ItemCode]))+1),ROWS(X$6:X6))),"")</f>
        <v/>
      </c>
      <c r="Y6" s="70">
        <f t="array" ref="Y6">IFERROR(INDEX(tblItems[ItemCode],SMALL(IF((tblItems[Zone]=Y$4)*(tblItems[ItemCode]&lt;&gt;""),ROW(tblItems[ItemCode])-MIN(ROW(tblItems[ItemCode]))+1),ROWS(Y$6:Y6))),"")</f>
        <v/>
      </c>
      <c r="Z6" s="70">
        <f t="array" ref="Z6">IFERROR(INDEX(tblItems[ItemCode],SMALL(IF((tblItems[Zone]=Z$4)*(tblItems[ItemCode]&lt;&gt;""),ROW(tblItems[ItemCode])-MIN(ROW(tblItems[ItemCode]))+1),ROWS(Z$6:Z6))),"")</f>
        <v/>
      </c>
      <c r="AA6" s="70">
        <f t="array" ref="AA6">IFERROR(INDEX(tblItems[ItemCode],SMALL(IF((tblItems[Zone]=AA$4)*(tblItems[ItemCode]&lt;&gt;""),ROW(tblItems[ItemCode])-MIN(ROW(tblItems[ItemCode]))+1),ROWS(AA$6:AA6))),"")</f>
        <v/>
      </c>
      <c r="AB6" s="70">
        <f t="array" ref="AB6">IFERROR(INDEX(tblItems[ItemCode],SMALL(IF((tblItems[Zone]=AB$4)*(tblItems[ItemCode]&lt;&gt;""),ROW(tblItems[ItemCode])-MIN(ROW(tblItems[ItemCode]))+1),ROWS(AB$6:AB6))),"")</f>
        <v/>
      </c>
      <c r="AC6" s="70">
        <f t="array" ref="AC6">IFERROR(INDEX(tblItems[ItemCode],SMALL(IF((tblItems[Zone]=AC$4)*(tblItems[ItemCode]&lt;&gt;""),ROW(tblItems[ItemCode])-MIN(ROW(tblItems[ItemCode]))+1),ROWS(AC$6:AC6))),"")</f>
        <v/>
      </c>
      <c r="AD6" s="70">
        <f t="array" ref="AD6">IFERROR(INDEX(tblItems[ItemCode],SMALL(IF((tblItems[Zone]=AD$4)*(tblItems[ItemCode]&lt;&gt;""),ROW(tblItems[ItemCode])-MIN(ROW(tblItems[ItemCode]))+1),ROWS(AD$6:AD6))),"")</f>
        <v/>
      </c>
      <c r="AE6" s="70">
        <f t="array" ref="AE6">IFERROR(INDEX(tblItems[ItemCode],SMALL(IF((tblItems[Zone]=AE$4)*(tblItems[ItemCode]&lt;&gt;""),ROW(tblItems[ItemCode])-MIN(ROW(tblItems[ItemCode]))+1),ROWS(AE$6:AE6))),"")</f>
        <v/>
      </c>
    </row>
    <row r="7">
      <c r="A7" s="58" t="inlineStr">
        <is>
          <t>L2</t>
        </is>
      </c>
      <c r="B7" s="58" t="inlineStr">
        <is>
          <t>Left</t>
        </is>
      </c>
      <c r="C7" s="58" t="n">
        <v>3</v>
      </c>
      <c r="D7" s="58" t="n">
        <v>4</v>
      </c>
      <c r="E7" s="58" t="n">
        <v>16</v>
      </c>
      <c r="F7" s="58" t="inlineStr">
        <is>
          <t>BOX</t>
        </is>
      </c>
      <c r="G7" s="58" t="n">
        <v>0</v>
      </c>
      <c r="H7" s="58" t="inlineStr">
        <is>
          <t>Yes</t>
        </is>
      </c>
      <c r="J7" s="58" t="inlineStr">
        <is>
          <t>FLM</t>
        </is>
      </c>
      <c r="K7" s="58" t="inlineStr">
        <is>
          <t>Films and Wrap</t>
        </is>
      </c>
      <c r="L7" s="71" t="inlineStr">
        <is>
          <t>#2BB3A3</t>
        </is>
      </c>
      <c r="M7" s="66" t="inlineStr">
        <is>
          <t>Pallet wrap, pre-stretch, hand film, recyclable film, bubble wrap</t>
        </is>
      </c>
      <c r="O7" s="67" t="inlineStr">
        <is>
          <t>MinCellSizePx</t>
        </is>
      </c>
      <c r="P7" s="68" t="n">
        <v>14</v>
      </c>
      <c r="Q7" s="66" t="inlineStr">
        <is>
          <t>Smallest pallet square allowed before zoom is used instead.</t>
        </is>
      </c>
      <c r="T7" s="70">
        <f t="array" ref="T7">IFERROR(INDEX(tblItems[ItemCode],SMALL(IF(tblItems[ItemCode]&lt;&gt;"",ROW(tblItems[ItemCode])-MIN(ROW(tblItems[ItemCode]))+1),ROWS(T$6:T7))),"")</f>
        <v/>
      </c>
      <c r="U7" s="70">
        <f t="array" ref="U7">IFERROR(INDEX(tblItems[ItemCode],SMALL(IF((tblItems[Zone]=U$4)*(tblItems[ItemCode]&lt;&gt;""),ROW(tblItems[ItemCode])-MIN(ROW(tblItems[ItemCode]))+1),ROWS(U$6:U7))),"")</f>
        <v/>
      </c>
      <c r="V7" s="70">
        <f t="array" ref="V7">IFERROR(INDEX(tblItems[ItemCode],SMALL(IF((tblItems[Zone]=V$4)*(tblItems[ItemCode]&lt;&gt;""),ROW(tblItems[ItemCode])-MIN(ROW(tblItems[ItemCode]))+1),ROWS(V$6:V7))),"")</f>
        <v/>
      </c>
      <c r="W7" s="70">
        <f t="array" ref="W7">IFERROR(INDEX(tblItems[ItemCode],SMALL(IF((tblItems[Zone]=W$4)*(tblItems[ItemCode]&lt;&gt;""),ROW(tblItems[ItemCode])-MIN(ROW(tblItems[ItemCode]))+1),ROWS(W$6:W7))),"")</f>
        <v/>
      </c>
      <c r="X7" s="70">
        <f t="array" ref="X7">IFERROR(INDEX(tblItems[ItemCode],SMALL(IF((tblItems[Zone]=X$4)*(tblItems[ItemCode]&lt;&gt;""),ROW(tblItems[ItemCode])-MIN(ROW(tblItems[ItemCode]))+1),ROWS(X$6:X7))),"")</f>
        <v/>
      </c>
      <c r="Y7" s="70">
        <f t="array" ref="Y7">IFERROR(INDEX(tblItems[ItemCode],SMALL(IF((tblItems[Zone]=Y$4)*(tblItems[ItemCode]&lt;&gt;""),ROW(tblItems[ItemCode])-MIN(ROW(tblItems[ItemCode]))+1),ROWS(Y$6:Y7))),"")</f>
        <v/>
      </c>
      <c r="Z7" s="70">
        <f t="array" ref="Z7">IFERROR(INDEX(tblItems[ItemCode],SMALL(IF((tblItems[Zone]=Z$4)*(tblItems[ItemCode]&lt;&gt;""),ROW(tblItems[ItemCode])-MIN(ROW(tblItems[ItemCode]))+1),ROWS(Z$6:Z7))),"")</f>
        <v/>
      </c>
      <c r="AA7" s="70">
        <f t="array" ref="AA7">IFERROR(INDEX(tblItems[ItemCode],SMALL(IF((tblItems[Zone]=AA$4)*(tblItems[ItemCode]&lt;&gt;""),ROW(tblItems[ItemCode])-MIN(ROW(tblItems[ItemCode]))+1),ROWS(AA$6:AA7))),"")</f>
        <v/>
      </c>
      <c r="AB7" s="70">
        <f t="array" ref="AB7">IFERROR(INDEX(tblItems[ItemCode],SMALL(IF((tblItems[Zone]=AB$4)*(tblItems[ItemCode]&lt;&gt;""),ROW(tblItems[ItemCode])-MIN(ROW(tblItems[ItemCode]))+1),ROWS(AB$6:AB7))),"")</f>
        <v/>
      </c>
      <c r="AC7" s="70">
        <f t="array" ref="AC7">IFERROR(INDEX(tblItems[ItemCode],SMALL(IF((tblItems[Zone]=AC$4)*(tblItems[ItemCode]&lt;&gt;""),ROW(tblItems[ItemCode])-MIN(ROW(tblItems[ItemCode]))+1),ROWS(AC$6:AC7))),"")</f>
        <v/>
      </c>
      <c r="AD7" s="70">
        <f t="array" ref="AD7">IFERROR(INDEX(tblItems[ItemCode],SMALL(IF((tblItems[Zone]=AD$4)*(tblItems[ItemCode]&lt;&gt;""),ROW(tblItems[ItemCode])-MIN(ROW(tblItems[ItemCode]))+1),ROWS(AD$6:AD7))),"")</f>
        <v/>
      </c>
      <c r="AE7" s="70">
        <f t="array" ref="AE7">IFERROR(INDEX(tblItems[ItemCode],SMALL(IF((tblItems[Zone]=AE$4)*(tblItems[ItemCode]&lt;&gt;""),ROW(tblItems[ItemCode])-MIN(ROW(tblItems[ItemCode]))+1),ROWS(AE$6:AE7))),"")</f>
        <v/>
      </c>
    </row>
    <row r="8">
      <c r="A8" s="58" t="inlineStr">
        <is>
          <t>L3</t>
        </is>
      </c>
      <c r="B8" s="58" t="inlineStr">
        <is>
          <t>Left</t>
        </is>
      </c>
      <c r="C8" s="58" t="n">
        <v>4</v>
      </c>
      <c r="D8" s="58" t="n">
        <v>4</v>
      </c>
      <c r="E8" s="58" t="n">
        <v>16</v>
      </c>
      <c r="F8" s="58" t="inlineStr">
        <is>
          <t>BOX</t>
        </is>
      </c>
      <c r="G8" s="58" t="n">
        <v>0</v>
      </c>
      <c r="H8" s="58" t="inlineStr">
        <is>
          <t>Yes</t>
        </is>
      </c>
      <c r="J8" s="58" t="inlineStr">
        <is>
          <t>LBL</t>
        </is>
      </c>
      <c r="K8" s="58" t="inlineStr">
        <is>
          <t>Labels and Packing</t>
        </is>
      </c>
      <c r="L8" s="72" t="inlineStr">
        <is>
          <t>#F2B134</t>
        </is>
      </c>
      <c r="M8" s="66" t="inlineStr">
        <is>
          <t>Labels, void fill, tape, other loose packing material</t>
        </is>
      </c>
      <c r="O8" s="67" t="inlineStr">
        <is>
          <t>ScreenWidthPx</t>
        </is>
      </c>
      <c r="P8" s="68" t="n">
        <v>1860</v>
      </c>
      <c r="Q8" s="66" t="inlineStr">
        <is>
          <t>Usable width of the screen for the Map at 100% zoom (1920 x 1080 monitor, Excel maximised).</t>
        </is>
      </c>
      <c r="T8" s="70">
        <f t="array" ref="T8">IFERROR(INDEX(tblItems[ItemCode],SMALL(IF(tblItems[ItemCode]&lt;&gt;"",ROW(tblItems[ItemCode])-MIN(ROW(tblItems[ItemCode]))+1),ROWS(T$6:T8))),"")</f>
        <v/>
      </c>
      <c r="U8" s="70">
        <f t="array" ref="U8">IFERROR(INDEX(tblItems[ItemCode],SMALL(IF((tblItems[Zone]=U$4)*(tblItems[ItemCode]&lt;&gt;""),ROW(tblItems[ItemCode])-MIN(ROW(tblItems[ItemCode]))+1),ROWS(U$6:U8))),"")</f>
        <v/>
      </c>
      <c r="V8" s="70">
        <f t="array" ref="V8">IFERROR(INDEX(tblItems[ItemCode],SMALL(IF((tblItems[Zone]=V$4)*(tblItems[ItemCode]&lt;&gt;""),ROW(tblItems[ItemCode])-MIN(ROW(tblItems[ItemCode]))+1),ROWS(V$6:V8))),"")</f>
        <v/>
      </c>
      <c r="W8" s="70">
        <f t="array" ref="W8">IFERROR(INDEX(tblItems[ItemCode],SMALL(IF((tblItems[Zone]=W$4)*(tblItems[ItemCode]&lt;&gt;""),ROW(tblItems[ItemCode])-MIN(ROW(tblItems[ItemCode]))+1),ROWS(W$6:W8))),"")</f>
        <v/>
      </c>
      <c r="X8" s="70">
        <f t="array" ref="X8">IFERROR(INDEX(tblItems[ItemCode],SMALL(IF((tblItems[Zone]=X$4)*(tblItems[ItemCode]&lt;&gt;""),ROW(tblItems[ItemCode])-MIN(ROW(tblItems[ItemCode]))+1),ROWS(X$6:X8))),"")</f>
        <v/>
      </c>
      <c r="Y8" s="70">
        <f t="array" ref="Y8">IFERROR(INDEX(tblItems[ItemCode],SMALL(IF((tblItems[Zone]=Y$4)*(tblItems[ItemCode]&lt;&gt;""),ROW(tblItems[ItemCode])-MIN(ROW(tblItems[ItemCode]))+1),ROWS(Y$6:Y8))),"")</f>
        <v/>
      </c>
      <c r="Z8" s="70">
        <f t="array" ref="Z8">IFERROR(INDEX(tblItems[ItemCode],SMALL(IF((tblItems[Zone]=Z$4)*(tblItems[ItemCode]&lt;&gt;""),ROW(tblItems[ItemCode])-MIN(ROW(tblItems[ItemCode]))+1),ROWS(Z$6:Z8))),"")</f>
        <v/>
      </c>
      <c r="AA8" s="70">
        <f t="array" ref="AA8">IFERROR(INDEX(tblItems[ItemCode],SMALL(IF((tblItems[Zone]=AA$4)*(tblItems[ItemCode]&lt;&gt;""),ROW(tblItems[ItemCode])-MIN(ROW(tblItems[ItemCode]))+1),ROWS(AA$6:AA8))),"")</f>
        <v/>
      </c>
      <c r="AB8" s="70">
        <f t="array" ref="AB8">IFERROR(INDEX(tblItems[ItemCode],SMALL(IF((tblItems[Zone]=AB$4)*(tblItems[ItemCode]&lt;&gt;""),ROW(tblItems[ItemCode])-MIN(ROW(tblItems[ItemCode]))+1),ROWS(AB$6:AB8))),"")</f>
        <v/>
      </c>
      <c r="AC8" s="70">
        <f t="array" ref="AC8">IFERROR(INDEX(tblItems[ItemCode],SMALL(IF((tblItems[Zone]=AC$4)*(tblItems[ItemCode]&lt;&gt;""),ROW(tblItems[ItemCode])-MIN(ROW(tblItems[ItemCode]))+1),ROWS(AC$6:AC8))),"")</f>
        <v/>
      </c>
      <c r="AD8" s="70">
        <f t="array" ref="AD8">IFERROR(INDEX(tblItems[ItemCode],SMALL(IF((tblItems[Zone]=AD$4)*(tblItems[ItemCode]&lt;&gt;""),ROW(tblItems[ItemCode])-MIN(ROW(tblItems[ItemCode]))+1),ROWS(AD$6:AD8))),"")</f>
        <v/>
      </c>
      <c r="AE8" s="70">
        <f t="array" ref="AE8">IFERROR(INDEX(tblItems[ItemCode],SMALL(IF((tblItems[Zone]=AE$4)*(tblItems[ItemCode]&lt;&gt;""),ROW(tblItems[ItemCode])-MIN(ROW(tblItems[ItemCode]))+1),ROWS(AE$6:AE8))),"")</f>
        <v/>
      </c>
    </row>
    <row r="9">
      <c r="A9" s="58" t="inlineStr">
        <is>
          <t>XR</t>
        </is>
      </c>
      <c r="B9" s="58" t="inlineStr">
        <is>
          <t>Right</t>
        </is>
      </c>
      <c r="C9" s="58" t="n">
        <v>1</v>
      </c>
      <c r="D9" s="58" t="n">
        <v>4</v>
      </c>
      <c r="E9" s="58" t="n">
        <v>16</v>
      </c>
      <c r="F9" s="58" t="inlineStr"/>
      <c r="G9" s="58" t="n">
        <v>0</v>
      </c>
      <c r="H9" s="58" t="inlineStr">
        <is>
          <t>Blocked</t>
        </is>
      </c>
      <c r="O9" s="67" t="inlineStr">
        <is>
          <t>ScreenHeightPx</t>
        </is>
      </c>
      <c r="P9" s="68" t="n">
        <v>760</v>
      </c>
      <c r="Q9" s="66" t="inlineStr">
        <is>
          <t>Usable height of the screen for the Map at 100% zoom (after ribbon, formula bar and sheet tabs).</t>
        </is>
      </c>
      <c r="T9" s="70">
        <f t="array" ref="T9">IFERROR(INDEX(tblItems[ItemCode],SMALL(IF(tblItems[ItemCode]&lt;&gt;"",ROW(tblItems[ItemCode])-MIN(ROW(tblItems[ItemCode]))+1),ROWS(T$6:T9))),"")</f>
        <v/>
      </c>
      <c r="U9" s="70">
        <f t="array" ref="U9">IFERROR(INDEX(tblItems[ItemCode],SMALL(IF((tblItems[Zone]=U$4)*(tblItems[ItemCode]&lt;&gt;""),ROW(tblItems[ItemCode])-MIN(ROW(tblItems[ItemCode]))+1),ROWS(U$6:U9))),"")</f>
        <v/>
      </c>
      <c r="V9" s="70">
        <f t="array" ref="V9">IFERROR(INDEX(tblItems[ItemCode],SMALL(IF((tblItems[Zone]=V$4)*(tblItems[ItemCode]&lt;&gt;""),ROW(tblItems[ItemCode])-MIN(ROW(tblItems[ItemCode]))+1),ROWS(V$6:V9))),"")</f>
        <v/>
      </c>
      <c r="W9" s="70">
        <f t="array" ref="W9">IFERROR(INDEX(tblItems[ItemCode],SMALL(IF((tblItems[Zone]=W$4)*(tblItems[ItemCode]&lt;&gt;""),ROW(tblItems[ItemCode])-MIN(ROW(tblItems[ItemCode]))+1),ROWS(W$6:W9))),"")</f>
        <v/>
      </c>
      <c r="X9" s="70">
        <f t="array" ref="X9">IFERROR(INDEX(tblItems[ItemCode],SMALL(IF((tblItems[Zone]=X$4)*(tblItems[ItemCode]&lt;&gt;""),ROW(tblItems[ItemCode])-MIN(ROW(tblItems[ItemCode]))+1),ROWS(X$6:X9))),"")</f>
        <v/>
      </c>
      <c r="Y9" s="70">
        <f t="array" ref="Y9">IFERROR(INDEX(tblItems[ItemCode],SMALL(IF((tblItems[Zone]=Y$4)*(tblItems[ItemCode]&lt;&gt;""),ROW(tblItems[ItemCode])-MIN(ROW(tblItems[ItemCode]))+1),ROWS(Y$6:Y9))),"")</f>
        <v/>
      </c>
      <c r="Z9" s="70">
        <f t="array" ref="Z9">IFERROR(INDEX(tblItems[ItemCode],SMALL(IF((tblItems[Zone]=Z$4)*(tblItems[ItemCode]&lt;&gt;""),ROW(tblItems[ItemCode])-MIN(ROW(tblItems[ItemCode]))+1),ROWS(Z$6:Z9))),"")</f>
        <v/>
      </c>
      <c r="AA9" s="70">
        <f t="array" ref="AA9">IFERROR(INDEX(tblItems[ItemCode],SMALL(IF((tblItems[Zone]=AA$4)*(tblItems[ItemCode]&lt;&gt;""),ROW(tblItems[ItemCode])-MIN(ROW(tblItems[ItemCode]))+1),ROWS(AA$6:AA9))),"")</f>
        <v/>
      </c>
      <c r="AB9" s="70">
        <f t="array" ref="AB9">IFERROR(INDEX(tblItems[ItemCode],SMALL(IF((tblItems[Zone]=AB$4)*(tblItems[ItemCode]&lt;&gt;""),ROW(tblItems[ItemCode])-MIN(ROW(tblItems[ItemCode]))+1),ROWS(AB$6:AB9))),"")</f>
        <v/>
      </c>
      <c r="AC9" s="70">
        <f t="array" ref="AC9">IFERROR(INDEX(tblItems[ItemCode],SMALL(IF((tblItems[Zone]=AC$4)*(tblItems[ItemCode]&lt;&gt;""),ROW(tblItems[ItemCode])-MIN(ROW(tblItems[ItemCode]))+1),ROWS(AC$6:AC9))),"")</f>
        <v/>
      </c>
      <c r="AD9" s="70">
        <f t="array" ref="AD9">IFERROR(INDEX(tblItems[ItemCode],SMALL(IF((tblItems[Zone]=AD$4)*(tblItems[ItemCode]&lt;&gt;""),ROW(tblItems[ItemCode])-MIN(ROW(tblItems[ItemCode]))+1),ROWS(AD$6:AD9))),"")</f>
        <v/>
      </c>
      <c r="AE9" s="70">
        <f t="array" ref="AE9">IFERROR(INDEX(tblItems[ItemCode],SMALL(IF((tblItems[Zone]=AE$4)*(tblItems[ItemCode]&lt;&gt;""),ROW(tblItems[ItemCode])-MIN(ROW(tblItems[ItemCode]))+1),ROWS(AE$6:AE9))),"")</f>
        <v/>
      </c>
    </row>
    <row r="10">
      <c r="A10" s="58" t="inlineStr">
        <is>
          <t>R1</t>
        </is>
      </c>
      <c r="B10" s="58" t="inlineStr">
        <is>
          <t>Right</t>
        </is>
      </c>
      <c r="C10" s="58" t="n">
        <v>2</v>
      </c>
      <c r="D10" s="58" t="n">
        <v>1</v>
      </c>
      <c r="E10" s="58" t="n">
        <v>16</v>
      </c>
      <c r="F10" s="58" t="inlineStr">
        <is>
          <t>LBL</t>
        </is>
      </c>
      <c r="G10" s="58" t="n">
        <v>0</v>
      </c>
      <c r="H10" s="58" t="inlineStr">
        <is>
          <t>Yes</t>
        </is>
      </c>
      <c r="J10" s="55" t="inlineStr">
        <is>
          <t>Add a zone by adding a row. Colour is a hex code like #C8A165; keep it clearly different from the magenta brand accent.</t>
        </is>
      </c>
      <c r="O10" s="67" t="inlineStr">
        <is>
          <t>WalkwayCells</t>
        </is>
      </c>
      <c r="P10" s="68" t="n">
        <v>3</v>
      </c>
      <c r="Q10" s="66" t="inlineStr">
        <is>
          <t>Width of the main walkway between left and right aisles, in cells.</t>
        </is>
      </c>
      <c r="T10" s="70">
        <f t="array" ref="T10">IFERROR(INDEX(tblItems[ItemCode],SMALL(IF(tblItems[ItemCode]&lt;&gt;"",ROW(tblItems[ItemCode])-MIN(ROW(tblItems[ItemCode]))+1),ROWS(T$6:T10))),"")</f>
        <v/>
      </c>
      <c r="U10" s="70">
        <f t="array" ref="U10">IFERROR(INDEX(tblItems[ItemCode],SMALL(IF((tblItems[Zone]=U$4)*(tblItems[ItemCode]&lt;&gt;""),ROW(tblItems[ItemCode])-MIN(ROW(tblItems[ItemCode]))+1),ROWS(U$6:U10))),"")</f>
        <v/>
      </c>
      <c r="V10" s="70">
        <f t="array" ref="V10">IFERROR(INDEX(tblItems[ItemCode],SMALL(IF((tblItems[Zone]=V$4)*(tblItems[ItemCode]&lt;&gt;""),ROW(tblItems[ItemCode])-MIN(ROW(tblItems[ItemCode]))+1),ROWS(V$6:V10))),"")</f>
        <v/>
      </c>
      <c r="W10" s="70">
        <f t="array" ref="W10">IFERROR(INDEX(tblItems[ItemCode],SMALL(IF((tblItems[Zone]=W$4)*(tblItems[ItemCode]&lt;&gt;""),ROW(tblItems[ItemCode])-MIN(ROW(tblItems[ItemCode]))+1),ROWS(W$6:W10))),"")</f>
        <v/>
      </c>
      <c r="X10" s="70">
        <f t="array" ref="X10">IFERROR(INDEX(tblItems[ItemCode],SMALL(IF((tblItems[Zone]=X$4)*(tblItems[ItemCode]&lt;&gt;""),ROW(tblItems[ItemCode])-MIN(ROW(tblItems[ItemCode]))+1),ROWS(X$6:X10))),"")</f>
        <v/>
      </c>
      <c r="Y10" s="70">
        <f t="array" ref="Y10">IFERROR(INDEX(tblItems[ItemCode],SMALL(IF((tblItems[Zone]=Y$4)*(tblItems[ItemCode]&lt;&gt;""),ROW(tblItems[ItemCode])-MIN(ROW(tblItems[ItemCode]))+1),ROWS(Y$6:Y10))),"")</f>
        <v/>
      </c>
      <c r="Z10" s="70">
        <f t="array" ref="Z10">IFERROR(INDEX(tblItems[ItemCode],SMALL(IF((tblItems[Zone]=Z$4)*(tblItems[ItemCode]&lt;&gt;""),ROW(tblItems[ItemCode])-MIN(ROW(tblItems[ItemCode]))+1),ROWS(Z$6:Z10))),"")</f>
        <v/>
      </c>
      <c r="AA10" s="70">
        <f t="array" ref="AA10">IFERROR(INDEX(tblItems[ItemCode],SMALL(IF((tblItems[Zone]=AA$4)*(tblItems[ItemCode]&lt;&gt;""),ROW(tblItems[ItemCode])-MIN(ROW(tblItems[ItemCode]))+1),ROWS(AA$6:AA10))),"")</f>
        <v/>
      </c>
      <c r="AB10" s="70">
        <f t="array" ref="AB10">IFERROR(INDEX(tblItems[ItemCode],SMALL(IF((tblItems[Zone]=AB$4)*(tblItems[ItemCode]&lt;&gt;""),ROW(tblItems[ItemCode])-MIN(ROW(tblItems[ItemCode]))+1),ROWS(AB$6:AB10))),"")</f>
        <v/>
      </c>
      <c r="AC10" s="70">
        <f t="array" ref="AC10">IFERROR(INDEX(tblItems[ItemCode],SMALL(IF((tblItems[Zone]=AC$4)*(tblItems[ItemCode]&lt;&gt;""),ROW(tblItems[ItemCode])-MIN(ROW(tblItems[ItemCode]))+1),ROWS(AC$6:AC10))),"")</f>
        <v/>
      </c>
      <c r="AD10" s="70">
        <f t="array" ref="AD10">IFERROR(INDEX(tblItems[ItemCode],SMALL(IF((tblItems[Zone]=AD$4)*(tblItems[ItemCode]&lt;&gt;""),ROW(tblItems[ItemCode])-MIN(ROW(tblItems[ItemCode]))+1),ROWS(AD$6:AD10))),"")</f>
        <v/>
      </c>
      <c r="AE10" s="70">
        <f t="array" ref="AE10">IFERROR(INDEX(tblItems[ItemCode],SMALL(IF((tblItems[Zone]=AE$4)*(tblItems[ItemCode]&lt;&gt;""),ROW(tblItems[ItemCode])-MIN(ROW(tblItems[ItemCode]))+1),ROWS(AE$6:AE10))),"")</f>
        <v/>
      </c>
    </row>
    <row r="11">
      <c r="A11" s="58" t="inlineStr">
        <is>
          <t>R2</t>
        </is>
      </c>
      <c r="B11" s="58" t="inlineStr">
        <is>
          <t>Right</t>
        </is>
      </c>
      <c r="C11" s="58" t="n">
        <v>3</v>
      </c>
      <c r="D11" s="58" t="n">
        <v>4</v>
      </c>
      <c r="E11" s="58" t="n">
        <v>16</v>
      </c>
      <c r="F11" s="58" t="inlineStr">
        <is>
          <t>FLM</t>
        </is>
      </c>
      <c r="G11" s="58" t="n">
        <v>0</v>
      </c>
      <c r="H11" s="58" t="inlineStr">
        <is>
          <t>Yes</t>
        </is>
      </c>
      <c r="O11" s="67" t="inlineStr">
        <is>
          <t>MapLabelChars</t>
        </is>
      </c>
      <c r="P11" s="68" t="n">
        <v>4</v>
      </c>
      <c r="Q11" s="66" t="inlineStr">
        <is>
          <t>How many characters of the item code to show on each pallet square.</t>
        </is>
      </c>
      <c r="T11" s="70">
        <f t="array" ref="T11">IFERROR(INDEX(tblItems[ItemCode],SMALL(IF(tblItems[ItemCode]&lt;&gt;"",ROW(tblItems[ItemCode])-MIN(ROW(tblItems[ItemCode]))+1),ROWS(T$6:T11))),"")</f>
        <v/>
      </c>
      <c r="U11" s="70">
        <f t="array" ref="U11">IFERROR(INDEX(tblItems[ItemCode],SMALL(IF((tblItems[Zone]=U$4)*(tblItems[ItemCode]&lt;&gt;""),ROW(tblItems[ItemCode])-MIN(ROW(tblItems[ItemCode]))+1),ROWS(U$6:U11))),"")</f>
        <v/>
      </c>
      <c r="V11" s="70">
        <f t="array" ref="V11">IFERROR(INDEX(tblItems[ItemCode],SMALL(IF((tblItems[Zone]=V$4)*(tblItems[ItemCode]&lt;&gt;""),ROW(tblItems[ItemCode])-MIN(ROW(tblItems[ItemCode]))+1),ROWS(V$6:V11))),"")</f>
        <v/>
      </c>
      <c r="W11" s="70">
        <f t="array" ref="W11">IFERROR(INDEX(tblItems[ItemCode],SMALL(IF((tblItems[Zone]=W$4)*(tblItems[ItemCode]&lt;&gt;""),ROW(tblItems[ItemCode])-MIN(ROW(tblItems[ItemCode]))+1),ROWS(W$6:W11))),"")</f>
        <v/>
      </c>
      <c r="X11" s="70">
        <f t="array" ref="X11">IFERROR(INDEX(tblItems[ItemCode],SMALL(IF((tblItems[Zone]=X$4)*(tblItems[ItemCode]&lt;&gt;""),ROW(tblItems[ItemCode])-MIN(ROW(tblItems[ItemCode]))+1),ROWS(X$6:X11))),"")</f>
        <v/>
      </c>
      <c r="Y11" s="70">
        <f t="array" ref="Y11">IFERROR(INDEX(tblItems[ItemCode],SMALL(IF((tblItems[Zone]=Y$4)*(tblItems[ItemCode]&lt;&gt;""),ROW(tblItems[ItemCode])-MIN(ROW(tblItems[ItemCode]))+1),ROWS(Y$6:Y11))),"")</f>
        <v/>
      </c>
      <c r="Z11" s="70">
        <f t="array" ref="Z11">IFERROR(INDEX(tblItems[ItemCode],SMALL(IF((tblItems[Zone]=Z$4)*(tblItems[ItemCode]&lt;&gt;""),ROW(tblItems[ItemCode])-MIN(ROW(tblItems[ItemCode]))+1),ROWS(Z$6:Z11))),"")</f>
        <v/>
      </c>
      <c r="AA11" s="70">
        <f t="array" ref="AA11">IFERROR(INDEX(tblItems[ItemCode],SMALL(IF((tblItems[Zone]=AA$4)*(tblItems[ItemCode]&lt;&gt;""),ROW(tblItems[ItemCode])-MIN(ROW(tblItems[ItemCode]))+1),ROWS(AA$6:AA11))),"")</f>
        <v/>
      </c>
      <c r="AB11" s="70">
        <f t="array" ref="AB11">IFERROR(INDEX(tblItems[ItemCode],SMALL(IF((tblItems[Zone]=AB$4)*(tblItems[ItemCode]&lt;&gt;""),ROW(tblItems[ItemCode])-MIN(ROW(tblItems[ItemCode]))+1),ROWS(AB$6:AB11))),"")</f>
        <v/>
      </c>
      <c r="AC11" s="70">
        <f t="array" ref="AC11">IFERROR(INDEX(tblItems[ItemCode],SMALL(IF((tblItems[Zone]=AC$4)*(tblItems[ItemCode]&lt;&gt;""),ROW(tblItems[ItemCode])-MIN(ROW(tblItems[ItemCode]))+1),ROWS(AC$6:AC11))),"")</f>
        <v/>
      </c>
      <c r="AD11" s="70">
        <f t="array" ref="AD11">IFERROR(INDEX(tblItems[ItemCode],SMALL(IF((tblItems[Zone]=AD$4)*(tblItems[ItemCode]&lt;&gt;""),ROW(tblItems[ItemCode])-MIN(ROW(tblItems[ItemCode]))+1),ROWS(AD$6:AD11))),"")</f>
        <v/>
      </c>
      <c r="AE11" s="70">
        <f t="array" ref="AE11">IFERROR(INDEX(tblItems[ItemCode],SMALL(IF((tblItems[Zone]=AE$4)*(tblItems[ItemCode]&lt;&gt;""),ROW(tblItems[ItemCode])-MIN(ROW(tblItems[ItemCode]))+1),ROWS(AE$6:AE11))),"")</f>
        <v/>
      </c>
    </row>
    <row r="12">
      <c r="A12" s="58" t="inlineStr">
        <is>
          <t>R3</t>
        </is>
      </c>
      <c r="B12" s="58" t="inlineStr">
        <is>
          <t>Right</t>
        </is>
      </c>
      <c r="C12" s="58" t="n">
        <v>4</v>
      </c>
      <c r="D12" s="58" t="n">
        <v>4</v>
      </c>
      <c r="E12" s="58" t="n">
        <v>16</v>
      </c>
      <c r="F12" s="58" t="inlineStr">
        <is>
          <t>BAG</t>
        </is>
      </c>
      <c r="G12" s="58" t="n">
        <v>0</v>
      </c>
      <c r="H12" s="58" t="inlineStr">
        <is>
          <t>Yes</t>
        </is>
      </c>
      <c r="O12" s="67" t="inlineStr">
        <is>
          <t>ShowMapLabels</t>
        </is>
      </c>
      <c r="P12" s="68" t="inlineStr">
        <is>
          <t>Auto</t>
        </is>
      </c>
      <c r="Q12" s="66" t="inlineStr">
        <is>
          <t>Yes, No or Auto. Auto hides item codes when squares are smaller than 16 pixels.</t>
        </is>
      </c>
      <c r="T12" s="70">
        <f t="array" ref="T12">IFERROR(INDEX(tblItems[ItemCode],SMALL(IF(tblItems[ItemCode]&lt;&gt;"",ROW(tblItems[ItemCode])-MIN(ROW(tblItems[ItemCode]))+1),ROWS(T$6:T12))),"")</f>
        <v/>
      </c>
      <c r="U12" s="70">
        <f t="array" ref="U12">IFERROR(INDEX(tblItems[ItemCode],SMALL(IF((tblItems[Zone]=U$4)*(tblItems[ItemCode]&lt;&gt;""),ROW(tblItems[ItemCode])-MIN(ROW(tblItems[ItemCode]))+1),ROWS(U$6:U12))),"")</f>
        <v/>
      </c>
      <c r="V12" s="70">
        <f t="array" ref="V12">IFERROR(INDEX(tblItems[ItemCode],SMALL(IF((tblItems[Zone]=V$4)*(tblItems[ItemCode]&lt;&gt;""),ROW(tblItems[ItemCode])-MIN(ROW(tblItems[ItemCode]))+1),ROWS(V$6:V12))),"")</f>
        <v/>
      </c>
      <c r="W12" s="70">
        <f t="array" ref="W12">IFERROR(INDEX(tblItems[ItemCode],SMALL(IF((tblItems[Zone]=W$4)*(tblItems[ItemCode]&lt;&gt;""),ROW(tblItems[ItemCode])-MIN(ROW(tblItems[ItemCode]))+1),ROWS(W$6:W12))),"")</f>
        <v/>
      </c>
      <c r="X12" s="70">
        <f t="array" ref="X12">IFERROR(INDEX(tblItems[ItemCode],SMALL(IF((tblItems[Zone]=X$4)*(tblItems[ItemCode]&lt;&gt;""),ROW(tblItems[ItemCode])-MIN(ROW(tblItems[ItemCode]))+1),ROWS(X$6:X12))),"")</f>
        <v/>
      </c>
      <c r="Y12" s="70">
        <f t="array" ref="Y12">IFERROR(INDEX(tblItems[ItemCode],SMALL(IF((tblItems[Zone]=Y$4)*(tblItems[ItemCode]&lt;&gt;""),ROW(tblItems[ItemCode])-MIN(ROW(tblItems[ItemCode]))+1),ROWS(Y$6:Y12))),"")</f>
        <v/>
      </c>
      <c r="Z12" s="70">
        <f t="array" ref="Z12">IFERROR(INDEX(tblItems[ItemCode],SMALL(IF((tblItems[Zone]=Z$4)*(tblItems[ItemCode]&lt;&gt;""),ROW(tblItems[ItemCode])-MIN(ROW(tblItems[ItemCode]))+1),ROWS(Z$6:Z12))),"")</f>
        <v/>
      </c>
      <c r="AA12" s="70">
        <f t="array" ref="AA12">IFERROR(INDEX(tblItems[ItemCode],SMALL(IF((tblItems[Zone]=AA$4)*(tblItems[ItemCode]&lt;&gt;""),ROW(tblItems[ItemCode])-MIN(ROW(tblItems[ItemCode]))+1),ROWS(AA$6:AA12))),"")</f>
        <v/>
      </c>
      <c r="AB12" s="70">
        <f t="array" ref="AB12">IFERROR(INDEX(tblItems[ItemCode],SMALL(IF((tblItems[Zone]=AB$4)*(tblItems[ItemCode]&lt;&gt;""),ROW(tblItems[ItemCode])-MIN(ROW(tblItems[ItemCode]))+1),ROWS(AB$6:AB12))),"")</f>
        <v/>
      </c>
      <c r="AC12" s="70">
        <f t="array" ref="AC12">IFERROR(INDEX(tblItems[ItemCode],SMALL(IF((tblItems[Zone]=AC$4)*(tblItems[ItemCode]&lt;&gt;""),ROW(tblItems[ItemCode])-MIN(ROW(tblItems[ItemCode]))+1),ROWS(AC$6:AC12))),"")</f>
        <v/>
      </c>
      <c r="AD12" s="70">
        <f t="array" ref="AD12">IFERROR(INDEX(tblItems[ItemCode],SMALL(IF((tblItems[Zone]=AD$4)*(tblItems[ItemCode]&lt;&gt;""),ROW(tblItems[ItemCode])-MIN(ROW(tblItems[ItemCode]))+1),ROWS(AD$6:AD12))),"")</f>
        <v/>
      </c>
      <c r="AE12" s="70">
        <f t="array" ref="AE12">IFERROR(INDEX(tblItems[ItemCode],SMALL(IF((tblItems[Zone]=AE$4)*(tblItems[ItemCode]&lt;&gt;""),ROW(tblItems[ItemCode])-MIN(ROW(tblItems[ItemCode]))+1),ROWS(AE$6:AE12))),"")</f>
        <v/>
      </c>
    </row>
    <row r="13">
      <c r="A13" s="58" t="inlineStr">
        <is>
          <t>R4</t>
        </is>
      </c>
      <c r="B13" s="58" t="inlineStr">
        <is>
          <t>Right</t>
        </is>
      </c>
      <c r="C13" s="58" t="n">
        <v>5</v>
      </c>
      <c r="D13" s="58" t="n">
        <v>4</v>
      </c>
      <c r="E13" s="58" t="n">
        <v>16</v>
      </c>
      <c r="F13" s="58" t="inlineStr">
        <is>
          <t>BOX</t>
        </is>
      </c>
      <c r="G13" s="58" t="n">
        <v>0</v>
      </c>
      <c r="H13" s="58" t="inlineStr">
        <is>
          <t>Yes</t>
        </is>
      </c>
      <c r="O13" s="67" t="inlineStr">
        <is>
          <t>BrandAccent</t>
        </is>
      </c>
      <c r="P13" s="73" t="inlineStr">
        <is>
          <t>#E6007E</t>
        </is>
      </c>
      <c r="Q13" s="66" t="inlineStr">
        <is>
          <t>GXO magenta (approximate). Used for accent lines and buttons. Correct it if you have the official value.</t>
        </is>
      </c>
      <c r="T13" s="70">
        <f t="array" ref="T13">IFERROR(INDEX(tblItems[ItemCode],SMALL(IF(tblItems[ItemCode]&lt;&gt;"",ROW(tblItems[ItemCode])-MIN(ROW(tblItems[ItemCode]))+1),ROWS(T$6:T13))),"")</f>
        <v/>
      </c>
      <c r="U13" s="70">
        <f t="array" ref="U13">IFERROR(INDEX(tblItems[ItemCode],SMALL(IF((tblItems[Zone]=U$4)*(tblItems[ItemCode]&lt;&gt;""),ROW(tblItems[ItemCode])-MIN(ROW(tblItems[ItemCode]))+1),ROWS(U$6:U13))),"")</f>
        <v/>
      </c>
      <c r="V13" s="70">
        <f t="array" ref="V13">IFERROR(INDEX(tblItems[ItemCode],SMALL(IF((tblItems[Zone]=V$4)*(tblItems[ItemCode]&lt;&gt;""),ROW(tblItems[ItemCode])-MIN(ROW(tblItems[ItemCode]))+1),ROWS(V$6:V13))),"")</f>
        <v/>
      </c>
      <c r="W13" s="70">
        <f t="array" ref="W13">IFERROR(INDEX(tblItems[ItemCode],SMALL(IF((tblItems[Zone]=W$4)*(tblItems[ItemCode]&lt;&gt;""),ROW(tblItems[ItemCode])-MIN(ROW(tblItems[ItemCode]))+1),ROWS(W$6:W13))),"")</f>
        <v/>
      </c>
      <c r="X13" s="70">
        <f t="array" ref="X13">IFERROR(INDEX(tblItems[ItemCode],SMALL(IF((tblItems[Zone]=X$4)*(tblItems[ItemCode]&lt;&gt;""),ROW(tblItems[ItemCode])-MIN(ROW(tblItems[ItemCode]))+1),ROWS(X$6:X13))),"")</f>
        <v/>
      </c>
      <c r="Y13" s="70">
        <f t="array" ref="Y13">IFERROR(INDEX(tblItems[ItemCode],SMALL(IF((tblItems[Zone]=Y$4)*(tblItems[ItemCode]&lt;&gt;""),ROW(tblItems[ItemCode])-MIN(ROW(tblItems[ItemCode]))+1),ROWS(Y$6:Y13))),"")</f>
        <v/>
      </c>
      <c r="Z13" s="70">
        <f t="array" ref="Z13">IFERROR(INDEX(tblItems[ItemCode],SMALL(IF((tblItems[Zone]=Z$4)*(tblItems[ItemCode]&lt;&gt;""),ROW(tblItems[ItemCode])-MIN(ROW(tblItems[ItemCode]))+1),ROWS(Z$6:Z13))),"")</f>
        <v/>
      </c>
      <c r="AA13" s="70">
        <f t="array" ref="AA13">IFERROR(INDEX(tblItems[ItemCode],SMALL(IF((tblItems[Zone]=AA$4)*(tblItems[ItemCode]&lt;&gt;""),ROW(tblItems[ItemCode])-MIN(ROW(tblItems[ItemCode]))+1),ROWS(AA$6:AA13))),"")</f>
        <v/>
      </c>
      <c r="AB13" s="70">
        <f t="array" ref="AB13">IFERROR(INDEX(tblItems[ItemCode],SMALL(IF((tblItems[Zone]=AB$4)*(tblItems[ItemCode]&lt;&gt;""),ROW(tblItems[ItemCode])-MIN(ROW(tblItems[ItemCode]))+1),ROWS(AB$6:AB13))),"")</f>
        <v/>
      </c>
      <c r="AC13" s="70">
        <f t="array" ref="AC13">IFERROR(INDEX(tblItems[ItemCode],SMALL(IF((tblItems[Zone]=AC$4)*(tblItems[ItemCode]&lt;&gt;""),ROW(tblItems[ItemCode])-MIN(ROW(tblItems[ItemCode]))+1),ROWS(AC$6:AC13))),"")</f>
        <v/>
      </c>
      <c r="AD13" s="70">
        <f t="array" ref="AD13">IFERROR(INDEX(tblItems[ItemCode],SMALL(IF((tblItems[Zone]=AD$4)*(tblItems[ItemCode]&lt;&gt;""),ROW(tblItems[ItemCode])-MIN(ROW(tblItems[ItemCode]))+1),ROWS(AD$6:AD13))),"")</f>
        <v/>
      </c>
      <c r="AE13" s="70">
        <f t="array" ref="AE13">IFERROR(INDEX(tblItems[ItemCode],SMALL(IF((tblItems[Zone]=AE$4)*(tblItems[ItemCode]&lt;&gt;""),ROW(tblItems[ItemCode])-MIN(ROW(tblItems[ItemCode]))+1),ROWS(AE$6:AE13))),"")</f>
        <v/>
      </c>
    </row>
    <row r="14">
      <c r="O14" s="67" t="inlineStr">
        <is>
          <t>HeaderFill</t>
        </is>
      </c>
      <c r="P14" s="74" t="inlineStr">
        <is>
          <t>#000000</t>
        </is>
      </c>
      <c r="Q14" s="66" t="inlineStr">
        <is>
          <t>Header and title bar background.</t>
        </is>
      </c>
      <c r="T14" s="70">
        <f t="array" ref="T14">IFERROR(INDEX(tblItems[ItemCode],SMALL(IF(tblItems[ItemCode]&lt;&gt;"",ROW(tblItems[ItemCode])-MIN(ROW(tblItems[ItemCode]))+1),ROWS(T$6:T14))),"")</f>
        <v/>
      </c>
      <c r="U14" s="70">
        <f t="array" ref="U14">IFERROR(INDEX(tblItems[ItemCode],SMALL(IF((tblItems[Zone]=U$4)*(tblItems[ItemCode]&lt;&gt;""),ROW(tblItems[ItemCode])-MIN(ROW(tblItems[ItemCode]))+1),ROWS(U$6:U14))),"")</f>
        <v/>
      </c>
      <c r="V14" s="70">
        <f t="array" ref="V14">IFERROR(INDEX(tblItems[ItemCode],SMALL(IF((tblItems[Zone]=V$4)*(tblItems[ItemCode]&lt;&gt;""),ROW(tblItems[ItemCode])-MIN(ROW(tblItems[ItemCode]))+1),ROWS(V$6:V14))),"")</f>
        <v/>
      </c>
      <c r="W14" s="70">
        <f t="array" ref="W14">IFERROR(INDEX(tblItems[ItemCode],SMALL(IF((tblItems[Zone]=W$4)*(tblItems[ItemCode]&lt;&gt;""),ROW(tblItems[ItemCode])-MIN(ROW(tblItems[ItemCode]))+1),ROWS(W$6:W14))),"")</f>
        <v/>
      </c>
      <c r="X14" s="70">
        <f t="array" ref="X14">IFERROR(INDEX(tblItems[ItemCode],SMALL(IF((tblItems[Zone]=X$4)*(tblItems[ItemCode]&lt;&gt;""),ROW(tblItems[ItemCode])-MIN(ROW(tblItems[ItemCode]))+1),ROWS(X$6:X14))),"")</f>
        <v/>
      </c>
      <c r="Y14" s="70">
        <f t="array" ref="Y14">IFERROR(INDEX(tblItems[ItemCode],SMALL(IF((tblItems[Zone]=Y$4)*(tblItems[ItemCode]&lt;&gt;""),ROW(tblItems[ItemCode])-MIN(ROW(tblItems[ItemCode]))+1),ROWS(Y$6:Y14))),"")</f>
        <v/>
      </c>
      <c r="Z14" s="70">
        <f t="array" ref="Z14">IFERROR(INDEX(tblItems[ItemCode],SMALL(IF((tblItems[Zone]=Z$4)*(tblItems[ItemCode]&lt;&gt;""),ROW(tblItems[ItemCode])-MIN(ROW(tblItems[ItemCode]))+1),ROWS(Z$6:Z14))),"")</f>
        <v/>
      </c>
      <c r="AA14" s="70">
        <f t="array" ref="AA14">IFERROR(INDEX(tblItems[ItemCode],SMALL(IF((tblItems[Zone]=AA$4)*(tblItems[ItemCode]&lt;&gt;""),ROW(tblItems[ItemCode])-MIN(ROW(tblItems[ItemCode]))+1),ROWS(AA$6:AA14))),"")</f>
        <v/>
      </c>
      <c r="AB14" s="70">
        <f t="array" ref="AB14">IFERROR(INDEX(tblItems[ItemCode],SMALL(IF((tblItems[Zone]=AB$4)*(tblItems[ItemCode]&lt;&gt;""),ROW(tblItems[ItemCode])-MIN(ROW(tblItems[ItemCode]))+1),ROWS(AB$6:AB14))),"")</f>
        <v/>
      </c>
      <c r="AC14" s="70">
        <f t="array" ref="AC14">IFERROR(INDEX(tblItems[ItemCode],SMALL(IF((tblItems[Zone]=AC$4)*(tblItems[ItemCode]&lt;&gt;""),ROW(tblItems[ItemCode])-MIN(ROW(tblItems[ItemCode]))+1),ROWS(AC$6:AC14))),"")</f>
        <v/>
      </c>
      <c r="AD14" s="70">
        <f t="array" ref="AD14">IFERROR(INDEX(tblItems[ItemCode],SMALL(IF((tblItems[Zone]=AD$4)*(tblItems[ItemCode]&lt;&gt;""),ROW(tblItems[ItemCode])-MIN(ROW(tblItems[ItemCode]))+1),ROWS(AD$6:AD14))),"")</f>
        <v/>
      </c>
      <c r="AE14" s="70">
        <f t="array" ref="AE14">IFERROR(INDEX(tblItems[ItemCode],SMALL(IF((tblItems[Zone]=AE$4)*(tblItems[ItemCode]&lt;&gt;""),ROW(tblItems[ItemCode])-MIN(ROW(tblItems[ItemCode]))+1),ROWS(AE$6:AE14))),"")</f>
        <v/>
      </c>
    </row>
    <row r="15">
      <c r="A15" s="55" t="inlineStr">
        <is>
          <t>Side: Left/Right as seen with the fire exit behind you, facing the bay. Order: 1 = nearest the fire exit.</t>
        </is>
      </c>
      <c r="O15" s="67" t="inlineStr">
        <is>
          <t>HeaderText</t>
        </is>
      </c>
      <c r="P15" s="75" t="inlineStr">
        <is>
          <t>#FFFFFF</t>
        </is>
      </c>
      <c r="Q15" s="66" t="inlineStr">
        <is>
          <t>Header and title bar text.</t>
        </is>
      </c>
      <c r="T15" s="70">
        <f t="array" ref="T15">IFERROR(INDEX(tblItems[ItemCode],SMALL(IF(tblItems[ItemCode]&lt;&gt;"",ROW(tblItems[ItemCode])-MIN(ROW(tblItems[ItemCode]))+1),ROWS(T$6:T15))),"")</f>
        <v/>
      </c>
      <c r="U15" s="70">
        <f t="array" ref="U15">IFERROR(INDEX(tblItems[ItemCode],SMALL(IF((tblItems[Zone]=U$4)*(tblItems[ItemCode]&lt;&gt;""),ROW(tblItems[ItemCode])-MIN(ROW(tblItems[ItemCode]))+1),ROWS(U$6:U15))),"")</f>
        <v/>
      </c>
      <c r="V15" s="70">
        <f t="array" ref="V15">IFERROR(INDEX(tblItems[ItemCode],SMALL(IF((tblItems[Zone]=V$4)*(tblItems[ItemCode]&lt;&gt;""),ROW(tblItems[ItemCode])-MIN(ROW(tblItems[ItemCode]))+1),ROWS(V$6:V15))),"")</f>
        <v/>
      </c>
      <c r="W15" s="70">
        <f t="array" ref="W15">IFERROR(INDEX(tblItems[ItemCode],SMALL(IF((tblItems[Zone]=W$4)*(tblItems[ItemCode]&lt;&gt;""),ROW(tblItems[ItemCode])-MIN(ROW(tblItems[ItemCode]))+1),ROWS(W$6:W15))),"")</f>
        <v/>
      </c>
      <c r="X15" s="70">
        <f t="array" ref="X15">IFERROR(INDEX(tblItems[ItemCode],SMALL(IF((tblItems[Zone]=X$4)*(tblItems[ItemCode]&lt;&gt;""),ROW(tblItems[ItemCode])-MIN(ROW(tblItems[ItemCode]))+1),ROWS(X$6:X15))),"")</f>
        <v/>
      </c>
      <c r="Y15" s="70">
        <f t="array" ref="Y15">IFERROR(INDEX(tblItems[ItemCode],SMALL(IF((tblItems[Zone]=Y$4)*(tblItems[ItemCode]&lt;&gt;""),ROW(tblItems[ItemCode])-MIN(ROW(tblItems[ItemCode]))+1),ROWS(Y$6:Y15))),"")</f>
        <v/>
      </c>
      <c r="Z15" s="70">
        <f t="array" ref="Z15">IFERROR(INDEX(tblItems[ItemCode],SMALL(IF((tblItems[Zone]=Z$4)*(tblItems[ItemCode]&lt;&gt;""),ROW(tblItems[ItemCode])-MIN(ROW(tblItems[ItemCode]))+1),ROWS(Z$6:Z15))),"")</f>
        <v/>
      </c>
      <c r="AA15" s="70">
        <f t="array" ref="AA15">IFERROR(INDEX(tblItems[ItemCode],SMALL(IF((tblItems[Zone]=AA$4)*(tblItems[ItemCode]&lt;&gt;""),ROW(tblItems[ItemCode])-MIN(ROW(tblItems[ItemCode]))+1),ROWS(AA$6:AA15))),"")</f>
        <v/>
      </c>
      <c r="AB15" s="70">
        <f t="array" ref="AB15">IFERROR(INDEX(tblItems[ItemCode],SMALL(IF((tblItems[Zone]=AB$4)*(tblItems[ItemCode]&lt;&gt;""),ROW(tblItems[ItemCode])-MIN(ROW(tblItems[ItemCode]))+1),ROWS(AB$6:AB15))),"")</f>
        <v/>
      </c>
      <c r="AC15" s="70">
        <f t="array" ref="AC15">IFERROR(INDEX(tblItems[ItemCode],SMALL(IF((tblItems[Zone]=AC$4)*(tblItems[ItemCode]&lt;&gt;""),ROW(tblItems[ItemCode])-MIN(ROW(tblItems[ItemCode]))+1),ROWS(AC$6:AC15))),"")</f>
        <v/>
      </c>
      <c r="AD15" s="70">
        <f t="array" ref="AD15">IFERROR(INDEX(tblItems[ItemCode],SMALL(IF((tblItems[Zone]=AD$4)*(tblItems[ItemCode]&lt;&gt;""),ROW(tblItems[ItemCode])-MIN(ROW(tblItems[ItemCode]))+1),ROWS(AD$6:AD15))),"")</f>
        <v/>
      </c>
      <c r="AE15" s="70">
        <f t="array" ref="AE15">IFERROR(INDEX(tblItems[ItemCode],SMALL(IF((tblItems[Zone]=AE$4)*(tblItems[ItemCode]&lt;&gt;""),ROW(tblItems[ItemCode])-MIN(ROW(tblItems[ItemCode]))+1),ROWS(AE$6:AE15))),"")</f>
        <v/>
      </c>
    </row>
    <row r="16">
      <c r="A16" s="55" t="inlineStr">
        <is>
          <t>Depth 01 is next to the main walkway. Column letters run A, B, C... from the top of each aisle on the Map.</t>
        </is>
      </c>
      <c r="O16" s="67" t="inlineStr">
        <is>
          <t>BandGrey</t>
        </is>
      </c>
      <c r="P16" s="76" t="inlineStr">
        <is>
          <t>#F2F2F2</t>
        </is>
      </c>
      <c r="Q16" s="66" t="inlineStr">
        <is>
          <t>Light grey used for banding and panels.</t>
        </is>
      </c>
      <c r="T16" s="70">
        <f t="array" ref="T16">IFERROR(INDEX(tblItems[ItemCode],SMALL(IF(tblItems[ItemCode]&lt;&gt;"",ROW(tblItems[ItemCode])-MIN(ROW(tblItems[ItemCode]))+1),ROWS(T$6:T16))),"")</f>
        <v/>
      </c>
      <c r="U16" s="70">
        <f t="array" ref="U16">IFERROR(INDEX(tblItems[ItemCode],SMALL(IF((tblItems[Zone]=U$4)*(tblItems[ItemCode]&lt;&gt;""),ROW(tblItems[ItemCode])-MIN(ROW(tblItems[ItemCode]))+1),ROWS(U$6:U16))),"")</f>
        <v/>
      </c>
      <c r="V16" s="70">
        <f t="array" ref="V16">IFERROR(INDEX(tblItems[ItemCode],SMALL(IF((tblItems[Zone]=V$4)*(tblItems[ItemCode]&lt;&gt;""),ROW(tblItems[ItemCode])-MIN(ROW(tblItems[ItemCode]))+1),ROWS(V$6:V16))),"")</f>
        <v/>
      </c>
      <c r="W16" s="70">
        <f t="array" ref="W16">IFERROR(INDEX(tblItems[ItemCode],SMALL(IF((tblItems[Zone]=W$4)*(tblItems[ItemCode]&lt;&gt;""),ROW(tblItems[ItemCode])-MIN(ROW(tblItems[ItemCode]))+1),ROWS(W$6:W16))),"")</f>
        <v/>
      </c>
      <c r="X16" s="70">
        <f t="array" ref="X16">IFERROR(INDEX(tblItems[ItemCode],SMALL(IF((tblItems[Zone]=X$4)*(tblItems[ItemCode]&lt;&gt;""),ROW(tblItems[ItemCode])-MIN(ROW(tblItems[ItemCode]))+1),ROWS(X$6:X16))),"")</f>
        <v/>
      </c>
      <c r="Y16" s="70">
        <f t="array" ref="Y16">IFERROR(INDEX(tblItems[ItemCode],SMALL(IF((tblItems[Zone]=Y$4)*(tblItems[ItemCode]&lt;&gt;""),ROW(tblItems[ItemCode])-MIN(ROW(tblItems[ItemCode]))+1),ROWS(Y$6:Y16))),"")</f>
        <v/>
      </c>
      <c r="Z16" s="70">
        <f t="array" ref="Z16">IFERROR(INDEX(tblItems[ItemCode],SMALL(IF((tblItems[Zone]=Z$4)*(tblItems[ItemCode]&lt;&gt;""),ROW(tblItems[ItemCode])-MIN(ROW(tblItems[ItemCode]))+1),ROWS(Z$6:Z16))),"")</f>
        <v/>
      </c>
      <c r="AA16" s="70">
        <f t="array" ref="AA16">IFERROR(INDEX(tblItems[ItemCode],SMALL(IF((tblItems[Zone]=AA$4)*(tblItems[ItemCode]&lt;&gt;""),ROW(tblItems[ItemCode])-MIN(ROW(tblItems[ItemCode]))+1),ROWS(AA$6:AA16))),"")</f>
        <v/>
      </c>
      <c r="AB16" s="70">
        <f t="array" ref="AB16">IFERROR(INDEX(tblItems[ItemCode],SMALL(IF((tblItems[Zone]=AB$4)*(tblItems[ItemCode]&lt;&gt;""),ROW(tblItems[ItemCode])-MIN(ROW(tblItems[ItemCode]))+1),ROWS(AB$6:AB16))),"")</f>
        <v/>
      </c>
      <c r="AC16" s="70">
        <f t="array" ref="AC16">IFERROR(INDEX(tblItems[ItemCode],SMALL(IF((tblItems[Zone]=AC$4)*(tblItems[ItemCode]&lt;&gt;""),ROW(tblItems[ItemCode])-MIN(ROW(tblItems[ItemCode]))+1),ROWS(AC$6:AC16))),"")</f>
        <v/>
      </c>
      <c r="AD16" s="70">
        <f t="array" ref="AD16">IFERROR(INDEX(tblItems[ItemCode],SMALL(IF((tblItems[Zone]=AD$4)*(tblItems[ItemCode]&lt;&gt;""),ROW(tblItems[ItemCode])-MIN(ROW(tblItems[ItemCode]))+1),ROWS(AD$6:AD16))),"")</f>
        <v/>
      </c>
      <c r="AE16" s="70">
        <f t="array" ref="AE16">IFERROR(INDEX(tblItems[ItemCode],SMALL(IF((tblItems[Zone]=AE$4)*(tblItems[ItemCode]&lt;&gt;""),ROW(tblItems[ItemCode])-MIN(ROW(tblItems[ItemCode]))+1),ROWS(AE$6:AE16))),"")</f>
        <v/>
      </c>
    </row>
    <row r="17">
      <c r="A17" s="55" t="inlineStr">
        <is>
          <t>Active: Yes = in use, No = hidden, Blocked = someone else's space, drawn grey and cannot be used.</t>
        </is>
      </c>
      <c r="O17" s="67" t="inlineStr">
        <is>
          <t>NoZoneGrey</t>
        </is>
      </c>
      <c r="P17" s="77" t="inlineStr">
        <is>
          <t>#D9D9D9</t>
        </is>
      </c>
      <c r="Q17" s="66" t="inlineStr">
        <is>
          <t>Positions that are not in any zone.</t>
        </is>
      </c>
      <c r="T17" s="70">
        <f t="array" ref="T17">IFERROR(INDEX(tblItems[ItemCode],SMALL(IF(tblItems[ItemCode]&lt;&gt;"",ROW(tblItems[ItemCode])-MIN(ROW(tblItems[ItemCode]))+1),ROWS(T$6:T17))),"")</f>
        <v/>
      </c>
      <c r="U17" s="70">
        <f t="array" ref="U17">IFERROR(INDEX(tblItems[ItemCode],SMALL(IF((tblItems[Zone]=U$4)*(tblItems[ItemCode]&lt;&gt;""),ROW(tblItems[ItemCode])-MIN(ROW(tblItems[ItemCode]))+1),ROWS(U$6:U17))),"")</f>
        <v/>
      </c>
      <c r="V17" s="70">
        <f t="array" ref="V17">IFERROR(INDEX(tblItems[ItemCode],SMALL(IF((tblItems[Zone]=V$4)*(tblItems[ItemCode]&lt;&gt;""),ROW(tblItems[ItemCode])-MIN(ROW(tblItems[ItemCode]))+1),ROWS(V$6:V17))),"")</f>
        <v/>
      </c>
      <c r="W17" s="70">
        <f t="array" ref="W17">IFERROR(INDEX(tblItems[ItemCode],SMALL(IF((tblItems[Zone]=W$4)*(tblItems[ItemCode]&lt;&gt;""),ROW(tblItems[ItemCode])-MIN(ROW(tblItems[ItemCode]))+1),ROWS(W$6:W17))),"")</f>
        <v/>
      </c>
      <c r="X17" s="70">
        <f t="array" ref="X17">IFERROR(INDEX(tblItems[ItemCode],SMALL(IF((tblItems[Zone]=X$4)*(tblItems[ItemCode]&lt;&gt;""),ROW(tblItems[ItemCode])-MIN(ROW(tblItems[ItemCode]))+1),ROWS(X$6:X17))),"")</f>
        <v/>
      </c>
      <c r="Y17" s="70">
        <f t="array" ref="Y17">IFERROR(INDEX(tblItems[ItemCode],SMALL(IF((tblItems[Zone]=Y$4)*(tblItems[ItemCode]&lt;&gt;""),ROW(tblItems[ItemCode])-MIN(ROW(tblItems[ItemCode]))+1),ROWS(Y$6:Y17))),"")</f>
        <v/>
      </c>
      <c r="Z17" s="70">
        <f t="array" ref="Z17">IFERROR(INDEX(tblItems[ItemCode],SMALL(IF((tblItems[Zone]=Z$4)*(tblItems[ItemCode]&lt;&gt;""),ROW(tblItems[ItemCode])-MIN(ROW(tblItems[ItemCode]))+1),ROWS(Z$6:Z17))),"")</f>
        <v/>
      </c>
      <c r="AA17" s="70">
        <f t="array" ref="AA17">IFERROR(INDEX(tblItems[ItemCode],SMALL(IF((tblItems[Zone]=AA$4)*(tblItems[ItemCode]&lt;&gt;""),ROW(tblItems[ItemCode])-MIN(ROW(tblItems[ItemCode]))+1),ROWS(AA$6:AA17))),"")</f>
        <v/>
      </c>
      <c r="AB17" s="70">
        <f t="array" ref="AB17">IFERROR(INDEX(tblItems[ItemCode],SMALL(IF((tblItems[Zone]=AB$4)*(tblItems[ItemCode]&lt;&gt;""),ROW(tblItems[ItemCode])-MIN(ROW(tblItems[ItemCode]))+1),ROWS(AB$6:AB17))),"")</f>
        <v/>
      </c>
      <c r="AC17" s="70">
        <f t="array" ref="AC17">IFERROR(INDEX(tblItems[ItemCode],SMALL(IF((tblItems[Zone]=AC$4)*(tblItems[ItemCode]&lt;&gt;""),ROW(tblItems[ItemCode])-MIN(ROW(tblItems[ItemCode]))+1),ROWS(AC$6:AC17))),"")</f>
        <v/>
      </c>
      <c r="AD17" s="70">
        <f t="array" ref="AD17">IFERROR(INDEX(tblItems[ItemCode],SMALL(IF((tblItems[Zone]=AD$4)*(tblItems[ItemCode]&lt;&gt;""),ROW(tblItems[ItemCode])-MIN(ROW(tblItems[ItemCode]))+1),ROWS(AD$6:AD17))),"")</f>
        <v/>
      </c>
      <c r="AE17" s="70">
        <f t="array" ref="AE17">IFERROR(INDEX(tblItems[ItemCode],SMALL(IF((tblItems[Zone]=AE$4)*(tblItems[ItemCode]&lt;&gt;""),ROW(tblItems[ItemCode])-MIN(ROW(tblItems[ItemCode]))+1),ROWS(AE$6:AE17))),"")</f>
        <v/>
      </c>
    </row>
    <row r="18">
      <c r="O18" s="67" t="inlineStr">
        <is>
          <t>NoZoneUsedGrey</t>
        </is>
      </c>
      <c r="P18" s="78" t="inlineStr">
        <is>
          <t>#A6A6A6</t>
        </is>
      </c>
      <c r="Q18" s="66" t="inlineStr">
        <is>
          <t>Occupied positions that are not in any zone.</t>
        </is>
      </c>
      <c r="T18" s="70">
        <f t="array" ref="T18">IFERROR(INDEX(tblItems[ItemCode],SMALL(IF(tblItems[ItemCode]&lt;&gt;"",ROW(tblItems[ItemCode])-MIN(ROW(tblItems[ItemCode]))+1),ROWS(T$6:T18))),"")</f>
        <v/>
      </c>
      <c r="U18" s="70">
        <f t="array" ref="U18">IFERROR(INDEX(tblItems[ItemCode],SMALL(IF((tblItems[Zone]=U$4)*(tblItems[ItemCode]&lt;&gt;""),ROW(tblItems[ItemCode])-MIN(ROW(tblItems[ItemCode]))+1),ROWS(U$6:U18))),"")</f>
        <v/>
      </c>
      <c r="V18" s="70">
        <f t="array" ref="V18">IFERROR(INDEX(tblItems[ItemCode],SMALL(IF((tblItems[Zone]=V$4)*(tblItems[ItemCode]&lt;&gt;""),ROW(tblItems[ItemCode])-MIN(ROW(tblItems[ItemCode]))+1),ROWS(V$6:V18))),"")</f>
        <v/>
      </c>
      <c r="W18" s="70">
        <f t="array" ref="W18">IFERROR(INDEX(tblItems[ItemCode],SMALL(IF((tblItems[Zone]=W$4)*(tblItems[ItemCode]&lt;&gt;""),ROW(tblItems[ItemCode])-MIN(ROW(tblItems[ItemCode]))+1),ROWS(W$6:W18))),"")</f>
        <v/>
      </c>
      <c r="X18" s="70">
        <f t="array" ref="X18">IFERROR(INDEX(tblItems[ItemCode],SMALL(IF((tblItems[Zone]=X$4)*(tblItems[ItemCode]&lt;&gt;""),ROW(tblItems[ItemCode])-MIN(ROW(tblItems[ItemCode]))+1),ROWS(X$6:X18))),"")</f>
        <v/>
      </c>
      <c r="Y18" s="70">
        <f t="array" ref="Y18">IFERROR(INDEX(tblItems[ItemCode],SMALL(IF((tblItems[Zone]=Y$4)*(tblItems[ItemCode]&lt;&gt;""),ROW(tblItems[ItemCode])-MIN(ROW(tblItems[ItemCode]))+1),ROWS(Y$6:Y18))),"")</f>
        <v/>
      </c>
      <c r="Z18" s="70">
        <f t="array" ref="Z18">IFERROR(INDEX(tblItems[ItemCode],SMALL(IF((tblItems[Zone]=Z$4)*(tblItems[ItemCode]&lt;&gt;""),ROW(tblItems[ItemCode])-MIN(ROW(tblItems[ItemCode]))+1),ROWS(Z$6:Z18))),"")</f>
        <v/>
      </c>
      <c r="AA18" s="70">
        <f t="array" ref="AA18">IFERROR(INDEX(tblItems[ItemCode],SMALL(IF((tblItems[Zone]=AA$4)*(tblItems[ItemCode]&lt;&gt;""),ROW(tblItems[ItemCode])-MIN(ROW(tblItems[ItemCode]))+1),ROWS(AA$6:AA18))),"")</f>
        <v/>
      </c>
      <c r="AB18" s="70">
        <f t="array" ref="AB18">IFERROR(INDEX(tblItems[ItemCode],SMALL(IF((tblItems[Zone]=AB$4)*(tblItems[ItemCode]&lt;&gt;""),ROW(tblItems[ItemCode])-MIN(ROW(tblItems[ItemCode]))+1),ROWS(AB$6:AB18))),"")</f>
        <v/>
      </c>
      <c r="AC18" s="70">
        <f t="array" ref="AC18">IFERROR(INDEX(tblItems[ItemCode],SMALL(IF((tblItems[Zone]=AC$4)*(tblItems[ItemCode]&lt;&gt;""),ROW(tblItems[ItemCode])-MIN(ROW(tblItems[ItemCode]))+1),ROWS(AC$6:AC18))),"")</f>
        <v/>
      </c>
      <c r="AD18" s="70">
        <f t="array" ref="AD18">IFERROR(INDEX(tblItems[ItemCode],SMALL(IF((tblItems[Zone]=AD$4)*(tblItems[ItemCode]&lt;&gt;""),ROW(tblItems[ItemCode])-MIN(ROW(tblItems[ItemCode]))+1),ROWS(AD$6:AD18))),"")</f>
        <v/>
      </c>
      <c r="AE18" s="70">
        <f t="array" ref="AE18">IFERROR(INDEX(tblItems[ItemCode],SMALL(IF((tblItems[Zone]=AE$4)*(tblItems[ItemCode]&lt;&gt;""),ROW(tblItems[ItemCode])-MIN(ROW(tblItems[ItemCode]))+1),ROWS(AE$6:AE18))),"")</f>
        <v/>
      </c>
    </row>
    <row r="19">
      <c r="O19" s="67" t="inlineStr">
        <is>
          <t>AlertRed</t>
        </is>
      </c>
      <c r="P19" s="79" t="inlineStr">
        <is>
          <t>#FF0000</t>
        </is>
      </c>
      <c r="Q19" s="66" t="inlineStr">
        <is>
          <t>Wrong-zone border and low-stock marker.</t>
        </is>
      </c>
      <c r="T19" s="70">
        <f t="array" ref="T19">IFERROR(INDEX(tblItems[ItemCode],SMALL(IF(tblItems[ItemCode]&lt;&gt;"",ROW(tblItems[ItemCode])-MIN(ROW(tblItems[ItemCode]))+1),ROWS(T$6:T19))),"")</f>
        <v/>
      </c>
      <c r="U19" s="70">
        <f t="array" ref="U19">IFERROR(INDEX(tblItems[ItemCode],SMALL(IF((tblItems[Zone]=U$4)*(tblItems[ItemCode]&lt;&gt;""),ROW(tblItems[ItemCode])-MIN(ROW(tblItems[ItemCode]))+1),ROWS(U$6:U19))),"")</f>
        <v/>
      </c>
      <c r="V19" s="70">
        <f t="array" ref="V19">IFERROR(INDEX(tblItems[ItemCode],SMALL(IF((tblItems[Zone]=V$4)*(tblItems[ItemCode]&lt;&gt;""),ROW(tblItems[ItemCode])-MIN(ROW(tblItems[ItemCode]))+1),ROWS(V$6:V19))),"")</f>
        <v/>
      </c>
      <c r="W19" s="70">
        <f t="array" ref="W19">IFERROR(INDEX(tblItems[ItemCode],SMALL(IF((tblItems[Zone]=W$4)*(tblItems[ItemCode]&lt;&gt;""),ROW(tblItems[ItemCode])-MIN(ROW(tblItems[ItemCode]))+1),ROWS(W$6:W19))),"")</f>
        <v/>
      </c>
      <c r="X19" s="70">
        <f t="array" ref="X19">IFERROR(INDEX(tblItems[ItemCode],SMALL(IF((tblItems[Zone]=X$4)*(tblItems[ItemCode]&lt;&gt;""),ROW(tblItems[ItemCode])-MIN(ROW(tblItems[ItemCode]))+1),ROWS(X$6:X19))),"")</f>
        <v/>
      </c>
      <c r="Y19" s="70">
        <f t="array" ref="Y19">IFERROR(INDEX(tblItems[ItemCode],SMALL(IF((tblItems[Zone]=Y$4)*(tblItems[ItemCode]&lt;&gt;""),ROW(tblItems[ItemCode])-MIN(ROW(tblItems[ItemCode]))+1),ROWS(Y$6:Y19))),"")</f>
        <v/>
      </c>
      <c r="Z19" s="70">
        <f t="array" ref="Z19">IFERROR(INDEX(tblItems[ItemCode],SMALL(IF((tblItems[Zone]=Z$4)*(tblItems[ItemCode]&lt;&gt;""),ROW(tblItems[ItemCode])-MIN(ROW(tblItems[ItemCode]))+1),ROWS(Z$6:Z19))),"")</f>
        <v/>
      </c>
      <c r="AA19" s="70">
        <f t="array" ref="AA19">IFERROR(INDEX(tblItems[ItemCode],SMALL(IF((tblItems[Zone]=AA$4)*(tblItems[ItemCode]&lt;&gt;""),ROW(tblItems[ItemCode])-MIN(ROW(tblItems[ItemCode]))+1),ROWS(AA$6:AA19))),"")</f>
        <v/>
      </c>
      <c r="AB19" s="70">
        <f t="array" ref="AB19">IFERROR(INDEX(tblItems[ItemCode],SMALL(IF((tblItems[Zone]=AB$4)*(tblItems[ItemCode]&lt;&gt;""),ROW(tblItems[ItemCode])-MIN(ROW(tblItems[ItemCode]))+1),ROWS(AB$6:AB19))),"")</f>
        <v/>
      </c>
      <c r="AC19" s="70">
        <f t="array" ref="AC19">IFERROR(INDEX(tblItems[ItemCode],SMALL(IF((tblItems[Zone]=AC$4)*(tblItems[ItemCode]&lt;&gt;""),ROW(tblItems[ItemCode])-MIN(ROW(tblItems[ItemCode]))+1),ROWS(AC$6:AC19))),"")</f>
        <v/>
      </c>
      <c r="AD19" s="70">
        <f t="array" ref="AD19">IFERROR(INDEX(tblItems[ItemCode],SMALL(IF((tblItems[Zone]=AD$4)*(tblItems[ItemCode]&lt;&gt;""),ROW(tblItems[ItemCode])-MIN(ROW(tblItems[ItemCode]))+1),ROWS(AD$6:AD19))),"")</f>
        <v/>
      </c>
      <c r="AE19" s="70">
        <f t="array" ref="AE19">IFERROR(INDEX(tblItems[ItemCode],SMALL(IF((tblItems[Zone]=AE$4)*(tblItems[ItemCode]&lt;&gt;""),ROW(tblItems[ItemCode])-MIN(ROW(tblItems[ItemCode]))+1),ROWS(AE$6:AE19))),"")</f>
        <v/>
      </c>
    </row>
    <row r="20">
      <c r="O20" s="67" t="inlineStr">
        <is>
          <t>FireExitGreen</t>
        </is>
      </c>
      <c r="P20" s="80" t="inlineStr">
        <is>
          <t>#00843D</t>
        </is>
      </c>
      <c r="Q20" s="66" t="inlineStr">
        <is>
          <t>Fire exit label.</t>
        </is>
      </c>
      <c r="T20" s="70">
        <f t="array" ref="T20">IFERROR(INDEX(tblItems[ItemCode],SMALL(IF(tblItems[ItemCode]&lt;&gt;"",ROW(tblItems[ItemCode])-MIN(ROW(tblItems[ItemCode]))+1),ROWS(T$6:T20))),"")</f>
        <v/>
      </c>
      <c r="U20" s="70">
        <f t="array" ref="U20">IFERROR(INDEX(tblItems[ItemCode],SMALL(IF((tblItems[Zone]=U$4)*(tblItems[ItemCode]&lt;&gt;""),ROW(tblItems[ItemCode])-MIN(ROW(tblItems[ItemCode]))+1),ROWS(U$6:U20))),"")</f>
        <v/>
      </c>
      <c r="V20" s="70">
        <f t="array" ref="V20">IFERROR(INDEX(tblItems[ItemCode],SMALL(IF((tblItems[Zone]=V$4)*(tblItems[ItemCode]&lt;&gt;""),ROW(tblItems[ItemCode])-MIN(ROW(tblItems[ItemCode]))+1),ROWS(V$6:V20))),"")</f>
        <v/>
      </c>
      <c r="W20" s="70">
        <f t="array" ref="W20">IFERROR(INDEX(tblItems[ItemCode],SMALL(IF((tblItems[Zone]=W$4)*(tblItems[ItemCode]&lt;&gt;""),ROW(tblItems[ItemCode])-MIN(ROW(tblItems[ItemCode]))+1),ROWS(W$6:W20))),"")</f>
        <v/>
      </c>
      <c r="X20" s="70">
        <f t="array" ref="X20">IFERROR(INDEX(tblItems[ItemCode],SMALL(IF((tblItems[Zone]=X$4)*(tblItems[ItemCode]&lt;&gt;""),ROW(tblItems[ItemCode])-MIN(ROW(tblItems[ItemCode]))+1),ROWS(X$6:X20))),"")</f>
        <v/>
      </c>
      <c r="Y20" s="70">
        <f t="array" ref="Y20">IFERROR(INDEX(tblItems[ItemCode],SMALL(IF((tblItems[Zone]=Y$4)*(tblItems[ItemCode]&lt;&gt;""),ROW(tblItems[ItemCode])-MIN(ROW(tblItems[ItemCode]))+1),ROWS(Y$6:Y20))),"")</f>
        <v/>
      </c>
      <c r="Z20" s="70">
        <f t="array" ref="Z20">IFERROR(INDEX(tblItems[ItemCode],SMALL(IF((tblItems[Zone]=Z$4)*(tblItems[ItemCode]&lt;&gt;""),ROW(tblItems[ItemCode])-MIN(ROW(tblItems[ItemCode]))+1),ROWS(Z$6:Z20))),"")</f>
        <v/>
      </c>
      <c r="AA20" s="70">
        <f t="array" ref="AA20">IFERROR(INDEX(tblItems[ItemCode],SMALL(IF((tblItems[Zone]=AA$4)*(tblItems[ItemCode]&lt;&gt;""),ROW(tblItems[ItemCode])-MIN(ROW(tblItems[ItemCode]))+1),ROWS(AA$6:AA20))),"")</f>
        <v/>
      </c>
      <c r="AB20" s="70">
        <f t="array" ref="AB20">IFERROR(INDEX(tblItems[ItemCode],SMALL(IF((tblItems[Zone]=AB$4)*(tblItems[ItemCode]&lt;&gt;""),ROW(tblItems[ItemCode])-MIN(ROW(tblItems[ItemCode]))+1),ROWS(AB$6:AB20))),"")</f>
        <v/>
      </c>
      <c r="AC20" s="70">
        <f t="array" ref="AC20">IFERROR(INDEX(tblItems[ItemCode],SMALL(IF((tblItems[Zone]=AC$4)*(tblItems[ItemCode]&lt;&gt;""),ROW(tblItems[ItemCode])-MIN(ROW(tblItems[ItemCode]))+1),ROWS(AC$6:AC20))),"")</f>
        <v/>
      </c>
      <c r="AD20" s="70">
        <f t="array" ref="AD20">IFERROR(INDEX(tblItems[ItemCode],SMALL(IF((tblItems[Zone]=AD$4)*(tblItems[ItemCode]&lt;&gt;""),ROW(tblItems[ItemCode])-MIN(ROW(tblItems[ItemCode]))+1),ROWS(AD$6:AD20))),"")</f>
        <v/>
      </c>
      <c r="AE20" s="70">
        <f t="array" ref="AE20">IFERROR(INDEX(tblItems[ItemCode],SMALL(IF((tblItems[Zone]=AE$4)*(tblItems[ItemCode]&lt;&gt;""),ROW(tblItems[ItemCode])-MIN(ROW(tblItems[ItemCode]))+1),ROWS(AE$6:AE20))),"")</f>
        <v/>
      </c>
    </row>
    <row r="21">
      <c r="O21" s="67" t="inlineStr">
        <is>
          <t>NotOursGrey</t>
        </is>
      </c>
      <c r="P21" s="81" t="inlineStr">
        <is>
          <t>#BFBFBF</t>
        </is>
      </c>
      <c r="Q21" s="66" t="inlineStr">
        <is>
          <t>Blocks marked Active = Blocked (someone else's space).</t>
        </is>
      </c>
      <c r="T21" s="70">
        <f t="array" ref="T21">IFERROR(INDEX(tblItems[ItemCode],SMALL(IF(tblItems[ItemCode]&lt;&gt;"",ROW(tblItems[ItemCode])-MIN(ROW(tblItems[ItemCode]))+1),ROWS(T$6:T21))),"")</f>
        <v/>
      </c>
      <c r="U21" s="70">
        <f t="array" ref="U21">IFERROR(INDEX(tblItems[ItemCode],SMALL(IF((tblItems[Zone]=U$4)*(tblItems[ItemCode]&lt;&gt;""),ROW(tblItems[ItemCode])-MIN(ROW(tblItems[ItemCode]))+1),ROWS(U$6:U21))),"")</f>
        <v/>
      </c>
      <c r="V21" s="70">
        <f t="array" ref="V21">IFERROR(INDEX(tblItems[ItemCode],SMALL(IF((tblItems[Zone]=V$4)*(tblItems[ItemCode]&lt;&gt;""),ROW(tblItems[ItemCode])-MIN(ROW(tblItems[ItemCode]))+1),ROWS(V$6:V21))),"")</f>
        <v/>
      </c>
      <c r="W21" s="70">
        <f t="array" ref="W21">IFERROR(INDEX(tblItems[ItemCode],SMALL(IF((tblItems[Zone]=W$4)*(tblItems[ItemCode]&lt;&gt;""),ROW(tblItems[ItemCode])-MIN(ROW(tblItems[ItemCode]))+1),ROWS(W$6:W21))),"")</f>
        <v/>
      </c>
      <c r="X21" s="70">
        <f t="array" ref="X21">IFERROR(INDEX(tblItems[ItemCode],SMALL(IF((tblItems[Zone]=X$4)*(tblItems[ItemCode]&lt;&gt;""),ROW(tblItems[ItemCode])-MIN(ROW(tblItems[ItemCode]))+1),ROWS(X$6:X21))),"")</f>
        <v/>
      </c>
      <c r="Y21" s="70">
        <f t="array" ref="Y21">IFERROR(INDEX(tblItems[ItemCode],SMALL(IF((tblItems[Zone]=Y$4)*(tblItems[ItemCode]&lt;&gt;""),ROW(tblItems[ItemCode])-MIN(ROW(tblItems[ItemCode]))+1),ROWS(Y$6:Y21))),"")</f>
        <v/>
      </c>
      <c r="Z21" s="70">
        <f t="array" ref="Z21">IFERROR(INDEX(tblItems[ItemCode],SMALL(IF((tblItems[Zone]=Z$4)*(tblItems[ItemCode]&lt;&gt;""),ROW(tblItems[ItemCode])-MIN(ROW(tblItems[ItemCode]))+1),ROWS(Z$6:Z21))),"")</f>
        <v/>
      </c>
      <c r="AA21" s="70">
        <f t="array" ref="AA21">IFERROR(INDEX(tblItems[ItemCode],SMALL(IF((tblItems[Zone]=AA$4)*(tblItems[ItemCode]&lt;&gt;""),ROW(tblItems[ItemCode])-MIN(ROW(tblItems[ItemCode]))+1),ROWS(AA$6:AA21))),"")</f>
        <v/>
      </c>
      <c r="AB21" s="70">
        <f t="array" ref="AB21">IFERROR(INDEX(tblItems[ItemCode],SMALL(IF((tblItems[Zone]=AB$4)*(tblItems[ItemCode]&lt;&gt;""),ROW(tblItems[ItemCode])-MIN(ROW(tblItems[ItemCode]))+1),ROWS(AB$6:AB21))),"")</f>
        <v/>
      </c>
      <c r="AC21" s="70">
        <f t="array" ref="AC21">IFERROR(INDEX(tblItems[ItemCode],SMALL(IF((tblItems[Zone]=AC$4)*(tblItems[ItemCode]&lt;&gt;""),ROW(tblItems[ItemCode])-MIN(ROW(tblItems[ItemCode]))+1),ROWS(AC$6:AC21))),"")</f>
        <v/>
      </c>
      <c r="AD21" s="70">
        <f t="array" ref="AD21">IFERROR(INDEX(tblItems[ItemCode],SMALL(IF((tblItems[Zone]=AD$4)*(tblItems[ItemCode]&lt;&gt;""),ROW(tblItems[ItemCode])-MIN(ROW(tblItems[ItemCode]))+1),ROWS(AD$6:AD21))),"")</f>
        <v/>
      </c>
      <c r="AE21" s="70">
        <f t="array" ref="AE21">IFERROR(INDEX(tblItems[ItemCode],SMALL(IF((tblItems[Zone]=AE$4)*(tblItems[ItemCode]&lt;&gt;""),ROW(tblItems[ItemCode])-MIN(ROW(tblItems[ItemCode]))+1),ROWS(AE$6:AE21))),"")</f>
        <v/>
      </c>
    </row>
    <row r="22">
      <c r="T22" s="70">
        <f t="array" ref="T22">IFERROR(INDEX(tblItems[ItemCode],SMALL(IF(tblItems[ItemCode]&lt;&gt;"",ROW(tblItems[ItemCode])-MIN(ROW(tblItems[ItemCode]))+1),ROWS(T$6:T22))),"")</f>
        <v/>
      </c>
      <c r="U22" s="70">
        <f t="array" ref="U22">IFERROR(INDEX(tblItems[ItemCode],SMALL(IF((tblItems[Zone]=U$4)*(tblItems[ItemCode]&lt;&gt;""),ROW(tblItems[ItemCode])-MIN(ROW(tblItems[ItemCode]))+1),ROWS(U$6:U22))),"")</f>
        <v/>
      </c>
      <c r="V22" s="70">
        <f t="array" ref="V22">IFERROR(INDEX(tblItems[ItemCode],SMALL(IF((tblItems[Zone]=V$4)*(tblItems[ItemCode]&lt;&gt;""),ROW(tblItems[ItemCode])-MIN(ROW(tblItems[ItemCode]))+1),ROWS(V$6:V22))),"")</f>
        <v/>
      </c>
      <c r="W22" s="70">
        <f t="array" ref="W22">IFERROR(INDEX(tblItems[ItemCode],SMALL(IF((tblItems[Zone]=W$4)*(tblItems[ItemCode]&lt;&gt;""),ROW(tblItems[ItemCode])-MIN(ROW(tblItems[ItemCode]))+1),ROWS(W$6:W22))),"")</f>
        <v/>
      </c>
      <c r="X22" s="70">
        <f t="array" ref="X22">IFERROR(INDEX(tblItems[ItemCode],SMALL(IF((tblItems[Zone]=X$4)*(tblItems[ItemCode]&lt;&gt;""),ROW(tblItems[ItemCode])-MIN(ROW(tblItems[ItemCode]))+1),ROWS(X$6:X22))),"")</f>
        <v/>
      </c>
      <c r="Y22" s="70">
        <f t="array" ref="Y22">IFERROR(INDEX(tblItems[ItemCode],SMALL(IF((tblItems[Zone]=Y$4)*(tblItems[ItemCode]&lt;&gt;""),ROW(tblItems[ItemCode])-MIN(ROW(tblItems[ItemCode]))+1),ROWS(Y$6:Y22))),"")</f>
        <v/>
      </c>
      <c r="Z22" s="70">
        <f t="array" ref="Z22">IFERROR(INDEX(tblItems[ItemCode],SMALL(IF((tblItems[Zone]=Z$4)*(tblItems[ItemCode]&lt;&gt;""),ROW(tblItems[ItemCode])-MIN(ROW(tblItems[ItemCode]))+1),ROWS(Z$6:Z22))),"")</f>
        <v/>
      </c>
      <c r="AA22" s="70">
        <f t="array" ref="AA22">IFERROR(INDEX(tblItems[ItemCode],SMALL(IF((tblItems[Zone]=AA$4)*(tblItems[ItemCode]&lt;&gt;""),ROW(tblItems[ItemCode])-MIN(ROW(tblItems[ItemCode]))+1),ROWS(AA$6:AA22))),"")</f>
        <v/>
      </c>
      <c r="AB22" s="70">
        <f t="array" ref="AB22">IFERROR(INDEX(tblItems[ItemCode],SMALL(IF((tblItems[Zone]=AB$4)*(tblItems[ItemCode]&lt;&gt;""),ROW(tblItems[ItemCode])-MIN(ROW(tblItems[ItemCode]))+1),ROWS(AB$6:AB22))),"")</f>
        <v/>
      </c>
      <c r="AC22" s="70">
        <f t="array" ref="AC22">IFERROR(INDEX(tblItems[ItemCode],SMALL(IF((tblItems[Zone]=AC$4)*(tblItems[ItemCode]&lt;&gt;""),ROW(tblItems[ItemCode])-MIN(ROW(tblItems[ItemCode]))+1),ROWS(AC$6:AC22))),"")</f>
        <v/>
      </c>
      <c r="AD22" s="70">
        <f t="array" ref="AD22">IFERROR(INDEX(tblItems[ItemCode],SMALL(IF((tblItems[Zone]=AD$4)*(tblItems[ItemCode]&lt;&gt;""),ROW(tblItems[ItemCode])-MIN(ROW(tblItems[ItemCode]))+1),ROWS(AD$6:AD22))),"")</f>
        <v/>
      </c>
      <c r="AE22" s="70">
        <f t="array" ref="AE22">IFERROR(INDEX(tblItems[ItemCode],SMALL(IF((tblItems[Zone]=AE$4)*(tblItems[ItemCode]&lt;&gt;""),ROW(tblItems[ItemCode])-MIN(ROW(tblItems[ItemCode]))+1),ROWS(AE$6:AE22))),"")</f>
        <v/>
      </c>
    </row>
    <row r="23">
      <c r="T23" s="70">
        <f t="array" ref="T23">IFERROR(INDEX(tblItems[ItemCode],SMALL(IF(tblItems[ItemCode]&lt;&gt;"",ROW(tblItems[ItemCode])-MIN(ROW(tblItems[ItemCode]))+1),ROWS(T$6:T23))),"")</f>
        <v/>
      </c>
      <c r="U23" s="70">
        <f t="array" ref="U23">IFERROR(INDEX(tblItems[ItemCode],SMALL(IF((tblItems[Zone]=U$4)*(tblItems[ItemCode]&lt;&gt;""),ROW(tblItems[ItemCode])-MIN(ROW(tblItems[ItemCode]))+1),ROWS(U$6:U23))),"")</f>
        <v/>
      </c>
      <c r="V23" s="70">
        <f t="array" ref="V23">IFERROR(INDEX(tblItems[ItemCode],SMALL(IF((tblItems[Zone]=V$4)*(tblItems[ItemCode]&lt;&gt;""),ROW(tblItems[ItemCode])-MIN(ROW(tblItems[ItemCode]))+1),ROWS(V$6:V23))),"")</f>
        <v/>
      </c>
      <c r="W23" s="70">
        <f t="array" ref="W23">IFERROR(INDEX(tblItems[ItemCode],SMALL(IF((tblItems[Zone]=W$4)*(tblItems[ItemCode]&lt;&gt;""),ROW(tblItems[ItemCode])-MIN(ROW(tblItems[ItemCode]))+1),ROWS(W$6:W23))),"")</f>
        <v/>
      </c>
      <c r="X23" s="70">
        <f t="array" ref="X23">IFERROR(INDEX(tblItems[ItemCode],SMALL(IF((tblItems[Zone]=X$4)*(tblItems[ItemCode]&lt;&gt;""),ROW(tblItems[ItemCode])-MIN(ROW(tblItems[ItemCode]))+1),ROWS(X$6:X23))),"")</f>
        <v/>
      </c>
      <c r="Y23" s="70">
        <f t="array" ref="Y23">IFERROR(INDEX(tblItems[ItemCode],SMALL(IF((tblItems[Zone]=Y$4)*(tblItems[ItemCode]&lt;&gt;""),ROW(tblItems[ItemCode])-MIN(ROW(tblItems[ItemCode]))+1),ROWS(Y$6:Y23))),"")</f>
        <v/>
      </c>
      <c r="Z23" s="70">
        <f t="array" ref="Z23">IFERROR(INDEX(tblItems[ItemCode],SMALL(IF((tblItems[Zone]=Z$4)*(tblItems[ItemCode]&lt;&gt;""),ROW(tblItems[ItemCode])-MIN(ROW(tblItems[ItemCode]))+1),ROWS(Z$6:Z23))),"")</f>
        <v/>
      </c>
      <c r="AA23" s="70">
        <f t="array" ref="AA23">IFERROR(INDEX(tblItems[ItemCode],SMALL(IF((tblItems[Zone]=AA$4)*(tblItems[ItemCode]&lt;&gt;""),ROW(tblItems[ItemCode])-MIN(ROW(tblItems[ItemCode]))+1),ROWS(AA$6:AA23))),"")</f>
        <v/>
      </c>
      <c r="AB23" s="70">
        <f t="array" ref="AB23">IFERROR(INDEX(tblItems[ItemCode],SMALL(IF((tblItems[Zone]=AB$4)*(tblItems[ItemCode]&lt;&gt;""),ROW(tblItems[ItemCode])-MIN(ROW(tblItems[ItemCode]))+1),ROWS(AB$6:AB23))),"")</f>
        <v/>
      </c>
      <c r="AC23" s="70">
        <f t="array" ref="AC23">IFERROR(INDEX(tblItems[ItemCode],SMALL(IF((tblItems[Zone]=AC$4)*(tblItems[ItemCode]&lt;&gt;""),ROW(tblItems[ItemCode])-MIN(ROW(tblItems[ItemCode]))+1),ROWS(AC$6:AC23))),"")</f>
        <v/>
      </c>
      <c r="AD23" s="70">
        <f t="array" ref="AD23">IFERROR(INDEX(tblItems[ItemCode],SMALL(IF((tblItems[Zone]=AD$4)*(tblItems[ItemCode]&lt;&gt;""),ROW(tblItems[ItemCode])-MIN(ROW(tblItems[ItemCode]))+1),ROWS(AD$6:AD23))),"")</f>
        <v/>
      </c>
      <c r="AE23" s="70">
        <f t="array" ref="AE23">IFERROR(INDEX(tblItems[ItemCode],SMALL(IF((tblItems[Zone]=AE$4)*(tblItems[ItemCode]&lt;&gt;""),ROW(tblItems[ItemCode])-MIN(ROW(tblItems[ItemCode]))+1),ROWS(AE$6:AE23))),"")</f>
        <v/>
      </c>
    </row>
    <row r="24">
      <c r="T24" s="70">
        <f t="array" ref="T24">IFERROR(INDEX(tblItems[ItemCode],SMALL(IF(tblItems[ItemCode]&lt;&gt;"",ROW(tblItems[ItemCode])-MIN(ROW(tblItems[ItemCode]))+1),ROWS(T$6:T24))),"")</f>
        <v/>
      </c>
      <c r="U24" s="70">
        <f t="array" ref="U24">IFERROR(INDEX(tblItems[ItemCode],SMALL(IF((tblItems[Zone]=U$4)*(tblItems[ItemCode]&lt;&gt;""),ROW(tblItems[ItemCode])-MIN(ROW(tblItems[ItemCode]))+1),ROWS(U$6:U24))),"")</f>
        <v/>
      </c>
      <c r="V24" s="70">
        <f t="array" ref="V24">IFERROR(INDEX(tblItems[ItemCode],SMALL(IF((tblItems[Zone]=V$4)*(tblItems[ItemCode]&lt;&gt;""),ROW(tblItems[ItemCode])-MIN(ROW(tblItems[ItemCode]))+1),ROWS(V$6:V24))),"")</f>
        <v/>
      </c>
      <c r="W24" s="70">
        <f t="array" ref="W24">IFERROR(INDEX(tblItems[ItemCode],SMALL(IF((tblItems[Zone]=W$4)*(tblItems[ItemCode]&lt;&gt;""),ROW(tblItems[ItemCode])-MIN(ROW(tblItems[ItemCode]))+1),ROWS(W$6:W24))),"")</f>
        <v/>
      </c>
      <c r="X24" s="70">
        <f t="array" ref="X24">IFERROR(INDEX(tblItems[ItemCode],SMALL(IF((tblItems[Zone]=X$4)*(tblItems[ItemCode]&lt;&gt;""),ROW(tblItems[ItemCode])-MIN(ROW(tblItems[ItemCode]))+1),ROWS(X$6:X24))),"")</f>
        <v/>
      </c>
      <c r="Y24" s="70">
        <f t="array" ref="Y24">IFERROR(INDEX(tblItems[ItemCode],SMALL(IF((tblItems[Zone]=Y$4)*(tblItems[ItemCode]&lt;&gt;""),ROW(tblItems[ItemCode])-MIN(ROW(tblItems[ItemCode]))+1),ROWS(Y$6:Y24))),"")</f>
        <v/>
      </c>
      <c r="Z24" s="70">
        <f t="array" ref="Z24">IFERROR(INDEX(tblItems[ItemCode],SMALL(IF((tblItems[Zone]=Z$4)*(tblItems[ItemCode]&lt;&gt;""),ROW(tblItems[ItemCode])-MIN(ROW(tblItems[ItemCode]))+1),ROWS(Z$6:Z24))),"")</f>
        <v/>
      </c>
      <c r="AA24" s="70">
        <f t="array" ref="AA24">IFERROR(INDEX(tblItems[ItemCode],SMALL(IF((tblItems[Zone]=AA$4)*(tblItems[ItemCode]&lt;&gt;""),ROW(tblItems[ItemCode])-MIN(ROW(tblItems[ItemCode]))+1),ROWS(AA$6:AA24))),"")</f>
        <v/>
      </c>
      <c r="AB24" s="70">
        <f t="array" ref="AB24">IFERROR(INDEX(tblItems[ItemCode],SMALL(IF((tblItems[Zone]=AB$4)*(tblItems[ItemCode]&lt;&gt;""),ROW(tblItems[ItemCode])-MIN(ROW(tblItems[ItemCode]))+1),ROWS(AB$6:AB24))),"")</f>
        <v/>
      </c>
      <c r="AC24" s="70">
        <f t="array" ref="AC24">IFERROR(INDEX(tblItems[ItemCode],SMALL(IF((tblItems[Zone]=AC$4)*(tblItems[ItemCode]&lt;&gt;""),ROW(tblItems[ItemCode])-MIN(ROW(tblItems[ItemCode]))+1),ROWS(AC$6:AC24))),"")</f>
        <v/>
      </c>
      <c r="AD24" s="70">
        <f t="array" ref="AD24">IFERROR(INDEX(tblItems[ItemCode],SMALL(IF((tblItems[Zone]=AD$4)*(tblItems[ItemCode]&lt;&gt;""),ROW(tblItems[ItemCode])-MIN(ROW(tblItems[ItemCode]))+1),ROWS(AD$6:AD24))),"")</f>
        <v/>
      </c>
      <c r="AE24" s="70">
        <f t="array" ref="AE24">IFERROR(INDEX(tblItems[ItemCode],SMALL(IF((tblItems[Zone]=AE$4)*(tblItems[ItemCode]&lt;&gt;""),ROW(tblItems[ItemCode])-MIN(ROW(tblItems[ItemCode]))+1),ROWS(AE$6:AE24))),"")</f>
        <v/>
      </c>
    </row>
    <row r="25">
      <c r="T25" s="70">
        <f t="array" ref="T25">IFERROR(INDEX(tblItems[ItemCode],SMALL(IF(tblItems[ItemCode]&lt;&gt;"",ROW(tblItems[ItemCode])-MIN(ROW(tblItems[ItemCode]))+1),ROWS(T$6:T25))),"")</f>
        <v/>
      </c>
      <c r="U25" s="70">
        <f t="array" ref="U25">IFERROR(INDEX(tblItems[ItemCode],SMALL(IF((tblItems[Zone]=U$4)*(tblItems[ItemCode]&lt;&gt;""),ROW(tblItems[ItemCode])-MIN(ROW(tblItems[ItemCode]))+1),ROWS(U$6:U25))),"")</f>
        <v/>
      </c>
      <c r="V25" s="70">
        <f t="array" ref="V25">IFERROR(INDEX(tblItems[ItemCode],SMALL(IF((tblItems[Zone]=V$4)*(tblItems[ItemCode]&lt;&gt;""),ROW(tblItems[ItemCode])-MIN(ROW(tblItems[ItemCode]))+1),ROWS(V$6:V25))),"")</f>
        <v/>
      </c>
      <c r="W25" s="70">
        <f t="array" ref="W25">IFERROR(INDEX(tblItems[ItemCode],SMALL(IF((tblItems[Zone]=W$4)*(tblItems[ItemCode]&lt;&gt;""),ROW(tblItems[ItemCode])-MIN(ROW(tblItems[ItemCode]))+1),ROWS(W$6:W25))),"")</f>
        <v/>
      </c>
      <c r="X25" s="70">
        <f t="array" ref="X25">IFERROR(INDEX(tblItems[ItemCode],SMALL(IF((tblItems[Zone]=X$4)*(tblItems[ItemCode]&lt;&gt;""),ROW(tblItems[ItemCode])-MIN(ROW(tblItems[ItemCode]))+1),ROWS(X$6:X25))),"")</f>
        <v/>
      </c>
      <c r="Y25" s="70">
        <f t="array" ref="Y25">IFERROR(INDEX(tblItems[ItemCode],SMALL(IF((tblItems[Zone]=Y$4)*(tblItems[ItemCode]&lt;&gt;""),ROW(tblItems[ItemCode])-MIN(ROW(tblItems[ItemCode]))+1),ROWS(Y$6:Y25))),"")</f>
        <v/>
      </c>
      <c r="Z25" s="70">
        <f t="array" ref="Z25">IFERROR(INDEX(tblItems[ItemCode],SMALL(IF((tblItems[Zone]=Z$4)*(tblItems[ItemCode]&lt;&gt;""),ROW(tblItems[ItemCode])-MIN(ROW(tblItems[ItemCode]))+1),ROWS(Z$6:Z25))),"")</f>
        <v/>
      </c>
      <c r="AA25" s="70">
        <f t="array" ref="AA25">IFERROR(INDEX(tblItems[ItemCode],SMALL(IF((tblItems[Zone]=AA$4)*(tblItems[ItemCode]&lt;&gt;""),ROW(tblItems[ItemCode])-MIN(ROW(tblItems[ItemCode]))+1),ROWS(AA$6:AA25))),"")</f>
        <v/>
      </c>
      <c r="AB25" s="70">
        <f t="array" ref="AB25">IFERROR(INDEX(tblItems[ItemCode],SMALL(IF((tblItems[Zone]=AB$4)*(tblItems[ItemCode]&lt;&gt;""),ROW(tblItems[ItemCode])-MIN(ROW(tblItems[ItemCode]))+1),ROWS(AB$6:AB25))),"")</f>
        <v/>
      </c>
      <c r="AC25" s="70">
        <f t="array" ref="AC25">IFERROR(INDEX(tblItems[ItemCode],SMALL(IF((tblItems[Zone]=AC$4)*(tblItems[ItemCode]&lt;&gt;""),ROW(tblItems[ItemCode])-MIN(ROW(tblItems[ItemCode]))+1),ROWS(AC$6:AC25))),"")</f>
        <v/>
      </c>
      <c r="AD25" s="70">
        <f t="array" ref="AD25">IFERROR(INDEX(tblItems[ItemCode],SMALL(IF((tblItems[Zone]=AD$4)*(tblItems[ItemCode]&lt;&gt;""),ROW(tblItems[ItemCode])-MIN(ROW(tblItems[ItemCode]))+1),ROWS(AD$6:AD25))),"")</f>
        <v/>
      </c>
      <c r="AE25" s="70">
        <f t="array" ref="AE25">IFERROR(INDEX(tblItems[ItemCode],SMALL(IF((tblItems[Zone]=AE$4)*(tblItems[ItemCode]&lt;&gt;""),ROW(tblItems[ItemCode])-MIN(ROW(tblItems[ItemCode]))+1),ROWS(AE$6:AE25))),"")</f>
        <v/>
      </c>
    </row>
    <row r="26">
      <c r="T26" s="70">
        <f t="array" ref="T26">IFERROR(INDEX(tblItems[ItemCode],SMALL(IF(tblItems[ItemCode]&lt;&gt;"",ROW(tblItems[ItemCode])-MIN(ROW(tblItems[ItemCode]))+1),ROWS(T$6:T26))),"")</f>
        <v/>
      </c>
      <c r="U26" s="70">
        <f t="array" ref="U26">IFERROR(INDEX(tblItems[ItemCode],SMALL(IF((tblItems[Zone]=U$4)*(tblItems[ItemCode]&lt;&gt;""),ROW(tblItems[ItemCode])-MIN(ROW(tblItems[ItemCode]))+1),ROWS(U$6:U26))),"")</f>
        <v/>
      </c>
      <c r="V26" s="70">
        <f t="array" ref="V26">IFERROR(INDEX(tblItems[ItemCode],SMALL(IF((tblItems[Zone]=V$4)*(tblItems[ItemCode]&lt;&gt;""),ROW(tblItems[ItemCode])-MIN(ROW(tblItems[ItemCode]))+1),ROWS(V$6:V26))),"")</f>
        <v/>
      </c>
      <c r="W26" s="70">
        <f t="array" ref="W26">IFERROR(INDEX(tblItems[ItemCode],SMALL(IF((tblItems[Zone]=W$4)*(tblItems[ItemCode]&lt;&gt;""),ROW(tblItems[ItemCode])-MIN(ROW(tblItems[ItemCode]))+1),ROWS(W$6:W26))),"")</f>
        <v/>
      </c>
      <c r="X26" s="70">
        <f t="array" ref="X26">IFERROR(INDEX(tblItems[ItemCode],SMALL(IF((tblItems[Zone]=X$4)*(tblItems[ItemCode]&lt;&gt;""),ROW(tblItems[ItemCode])-MIN(ROW(tblItems[ItemCode]))+1),ROWS(X$6:X26))),"")</f>
        <v/>
      </c>
      <c r="Y26" s="70">
        <f t="array" ref="Y26">IFERROR(INDEX(tblItems[ItemCode],SMALL(IF((tblItems[Zone]=Y$4)*(tblItems[ItemCode]&lt;&gt;""),ROW(tblItems[ItemCode])-MIN(ROW(tblItems[ItemCode]))+1),ROWS(Y$6:Y26))),"")</f>
        <v/>
      </c>
      <c r="Z26" s="70">
        <f t="array" ref="Z26">IFERROR(INDEX(tblItems[ItemCode],SMALL(IF((tblItems[Zone]=Z$4)*(tblItems[ItemCode]&lt;&gt;""),ROW(tblItems[ItemCode])-MIN(ROW(tblItems[ItemCode]))+1),ROWS(Z$6:Z26))),"")</f>
        <v/>
      </c>
      <c r="AA26" s="70">
        <f t="array" ref="AA26">IFERROR(INDEX(tblItems[ItemCode],SMALL(IF((tblItems[Zone]=AA$4)*(tblItems[ItemCode]&lt;&gt;""),ROW(tblItems[ItemCode])-MIN(ROW(tblItems[ItemCode]))+1),ROWS(AA$6:AA26))),"")</f>
        <v/>
      </c>
      <c r="AB26" s="70">
        <f t="array" ref="AB26">IFERROR(INDEX(tblItems[ItemCode],SMALL(IF((tblItems[Zone]=AB$4)*(tblItems[ItemCode]&lt;&gt;""),ROW(tblItems[ItemCode])-MIN(ROW(tblItems[ItemCode]))+1),ROWS(AB$6:AB26))),"")</f>
        <v/>
      </c>
      <c r="AC26" s="70">
        <f t="array" ref="AC26">IFERROR(INDEX(tblItems[ItemCode],SMALL(IF((tblItems[Zone]=AC$4)*(tblItems[ItemCode]&lt;&gt;""),ROW(tblItems[ItemCode])-MIN(ROW(tblItems[ItemCode]))+1),ROWS(AC$6:AC26))),"")</f>
        <v/>
      </c>
      <c r="AD26" s="70">
        <f t="array" ref="AD26">IFERROR(INDEX(tblItems[ItemCode],SMALL(IF((tblItems[Zone]=AD$4)*(tblItems[ItemCode]&lt;&gt;""),ROW(tblItems[ItemCode])-MIN(ROW(tblItems[ItemCode]))+1),ROWS(AD$6:AD26))),"")</f>
        <v/>
      </c>
      <c r="AE26" s="70">
        <f t="array" ref="AE26">IFERROR(INDEX(tblItems[ItemCode],SMALL(IF((tblItems[Zone]=AE$4)*(tblItems[ItemCode]&lt;&gt;""),ROW(tblItems[ItemCode])-MIN(ROW(tblItems[ItemCode]))+1),ROWS(AE$6:AE26))),"")</f>
        <v/>
      </c>
    </row>
    <row r="27">
      <c r="T27" s="70">
        <f t="array" ref="T27">IFERROR(INDEX(tblItems[ItemCode],SMALL(IF(tblItems[ItemCode]&lt;&gt;"",ROW(tblItems[ItemCode])-MIN(ROW(tblItems[ItemCode]))+1),ROWS(T$6:T27))),"")</f>
        <v/>
      </c>
      <c r="U27" s="70">
        <f t="array" ref="U27">IFERROR(INDEX(tblItems[ItemCode],SMALL(IF((tblItems[Zone]=U$4)*(tblItems[ItemCode]&lt;&gt;""),ROW(tblItems[ItemCode])-MIN(ROW(tblItems[ItemCode]))+1),ROWS(U$6:U27))),"")</f>
        <v/>
      </c>
      <c r="V27" s="70">
        <f t="array" ref="V27">IFERROR(INDEX(tblItems[ItemCode],SMALL(IF((tblItems[Zone]=V$4)*(tblItems[ItemCode]&lt;&gt;""),ROW(tblItems[ItemCode])-MIN(ROW(tblItems[ItemCode]))+1),ROWS(V$6:V27))),"")</f>
        <v/>
      </c>
      <c r="W27" s="70">
        <f t="array" ref="W27">IFERROR(INDEX(tblItems[ItemCode],SMALL(IF((tblItems[Zone]=W$4)*(tblItems[ItemCode]&lt;&gt;""),ROW(tblItems[ItemCode])-MIN(ROW(tblItems[ItemCode]))+1),ROWS(W$6:W27))),"")</f>
        <v/>
      </c>
      <c r="X27" s="70">
        <f t="array" ref="X27">IFERROR(INDEX(tblItems[ItemCode],SMALL(IF((tblItems[Zone]=X$4)*(tblItems[ItemCode]&lt;&gt;""),ROW(tblItems[ItemCode])-MIN(ROW(tblItems[ItemCode]))+1),ROWS(X$6:X27))),"")</f>
        <v/>
      </c>
      <c r="Y27" s="70">
        <f t="array" ref="Y27">IFERROR(INDEX(tblItems[ItemCode],SMALL(IF((tblItems[Zone]=Y$4)*(tblItems[ItemCode]&lt;&gt;""),ROW(tblItems[ItemCode])-MIN(ROW(tblItems[ItemCode]))+1),ROWS(Y$6:Y27))),"")</f>
        <v/>
      </c>
      <c r="Z27" s="70">
        <f t="array" ref="Z27">IFERROR(INDEX(tblItems[ItemCode],SMALL(IF((tblItems[Zone]=Z$4)*(tblItems[ItemCode]&lt;&gt;""),ROW(tblItems[ItemCode])-MIN(ROW(tblItems[ItemCode]))+1),ROWS(Z$6:Z27))),"")</f>
        <v/>
      </c>
      <c r="AA27" s="70">
        <f t="array" ref="AA27">IFERROR(INDEX(tblItems[ItemCode],SMALL(IF((tblItems[Zone]=AA$4)*(tblItems[ItemCode]&lt;&gt;""),ROW(tblItems[ItemCode])-MIN(ROW(tblItems[ItemCode]))+1),ROWS(AA$6:AA27))),"")</f>
        <v/>
      </c>
      <c r="AB27" s="70">
        <f t="array" ref="AB27">IFERROR(INDEX(tblItems[ItemCode],SMALL(IF((tblItems[Zone]=AB$4)*(tblItems[ItemCode]&lt;&gt;""),ROW(tblItems[ItemCode])-MIN(ROW(tblItems[ItemCode]))+1),ROWS(AB$6:AB27))),"")</f>
        <v/>
      </c>
      <c r="AC27" s="70">
        <f t="array" ref="AC27">IFERROR(INDEX(tblItems[ItemCode],SMALL(IF((tblItems[Zone]=AC$4)*(tblItems[ItemCode]&lt;&gt;""),ROW(tblItems[ItemCode])-MIN(ROW(tblItems[ItemCode]))+1),ROWS(AC$6:AC27))),"")</f>
        <v/>
      </c>
      <c r="AD27" s="70">
        <f t="array" ref="AD27">IFERROR(INDEX(tblItems[ItemCode],SMALL(IF((tblItems[Zone]=AD$4)*(tblItems[ItemCode]&lt;&gt;""),ROW(tblItems[ItemCode])-MIN(ROW(tblItems[ItemCode]))+1),ROWS(AD$6:AD27))),"")</f>
        <v/>
      </c>
      <c r="AE27" s="70">
        <f t="array" ref="AE27">IFERROR(INDEX(tblItems[ItemCode],SMALL(IF((tblItems[Zone]=AE$4)*(tblItems[ItemCode]&lt;&gt;""),ROW(tblItems[ItemCode])-MIN(ROW(tblItems[ItemCode]))+1),ROWS(AE$6:AE27))),"")</f>
        <v/>
      </c>
    </row>
    <row r="28">
      <c r="T28" s="70">
        <f t="array" ref="T28">IFERROR(INDEX(tblItems[ItemCode],SMALL(IF(tblItems[ItemCode]&lt;&gt;"",ROW(tblItems[ItemCode])-MIN(ROW(tblItems[ItemCode]))+1),ROWS(T$6:T28))),"")</f>
        <v/>
      </c>
      <c r="U28" s="70">
        <f t="array" ref="U28">IFERROR(INDEX(tblItems[ItemCode],SMALL(IF((tblItems[Zone]=U$4)*(tblItems[ItemCode]&lt;&gt;""),ROW(tblItems[ItemCode])-MIN(ROW(tblItems[ItemCode]))+1),ROWS(U$6:U28))),"")</f>
        <v/>
      </c>
      <c r="V28" s="70">
        <f t="array" ref="V28">IFERROR(INDEX(tblItems[ItemCode],SMALL(IF((tblItems[Zone]=V$4)*(tblItems[ItemCode]&lt;&gt;""),ROW(tblItems[ItemCode])-MIN(ROW(tblItems[ItemCode]))+1),ROWS(V$6:V28))),"")</f>
        <v/>
      </c>
      <c r="W28" s="70">
        <f t="array" ref="W28">IFERROR(INDEX(tblItems[ItemCode],SMALL(IF((tblItems[Zone]=W$4)*(tblItems[ItemCode]&lt;&gt;""),ROW(tblItems[ItemCode])-MIN(ROW(tblItems[ItemCode]))+1),ROWS(W$6:W28))),"")</f>
        <v/>
      </c>
      <c r="X28" s="70">
        <f t="array" ref="X28">IFERROR(INDEX(tblItems[ItemCode],SMALL(IF((tblItems[Zone]=X$4)*(tblItems[ItemCode]&lt;&gt;""),ROW(tblItems[ItemCode])-MIN(ROW(tblItems[ItemCode]))+1),ROWS(X$6:X28))),"")</f>
        <v/>
      </c>
      <c r="Y28" s="70">
        <f t="array" ref="Y28">IFERROR(INDEX(tblItems[ItemCode],SMALL(IF((tblItems[Zone]=Y$4)*(tblItems[ItemCode]&lt;&gt;""),ROW(tblItems[ItemCode])-MIN(ROW(tblItems[ItemCode]))+1),ROWS(Y$6:Y28))),"")</f>
        <v/>
      </c>
      <c r="Z28" s="70">
        <f t="array" ref="Z28">IFERROR(INDEX(tblItems[ItemCode],SMALL(IF((tblItems[Zone]=Z$4)*(tblItems[ItemCode]&lt;&gt;""),ROW(tblItems[ItemCode])-MIN(ROW(tblItems[ItemCode]))+1),ROWS(Z$6:Z28))),"")</f>
        <v/>
      </c>
      <c r="AA28" s="70">
        <f t="array" ref="AA28">IFERROR(INDEX(tblItems[ItemCode],SMALL(IF((tblItems[Zone]=AA$4)*(tblItems[ItemCode]&lt;&gt;""),ROW(tblItems[ItemCode])-MIN(ROW(tblItems[ItemCode]))+1),ROWS(AA$6:AA28))),"")</f>
        <v/>
      </c>
      <c r="AB28" s="70">
        <f t="array" ref="AB28">IFERROR(INDEX(tblItems[ItemCode],SMALL(IF((tblItems[Zone]=AB$4)*(tblItems[ItemCode]&lt;&gt;""),ROW(tblItems[ItemCode])-MIN(ROW(tblItems[ItemCode]))+1),ROWS(AB$6:AB28))),"")</f>
        <v/>
      </c>
      <c r="AC28" s="70">
        <f t="array" ref="AC28">IFERROR(INDEX(tblItems[ItemCode],SMALL(IF((tblItems[Zone]=AC$4)*(tblItems[ItemCode]&lt;&gt;""),ROW(tblItems[ItemCode])-MIN(ROW(tblItems[ItemCode]))+1),ROWS(AC$6:AC28))),"")</f>
        <v/>
      </c>
      <c r="AD28" s="70">
        <f t="array" ref="AD28">IFERROR(INDEX(tblItems[ItemCode],SMALL(IF((tblItems[Zone]=AD$4)*(tblItems[ItemCode]&lt;&gt;""),ROW(tblItems[ItemCode])-MIN(ROW(tblItems[ItemCode]))+1),ROWS(AD$6:AD28))),"")</f>
        <v/>
      </c>
      <c r="AE28" s="70">
        <f t="array" ref="AE28">IFERROR(INDEX(tblItems[ItemCode],SMALL(IF((tblItems[Zone]=AE$4)*(tblItems[ItemCode]&lt;&gt;""),ROW(tblItems[ItemCode])-MIN(ROW(tblItems[ItemCode]))+1),ROWS(AE$6:AE28))),"")</f>
        <v/>
      </c>
    </row>
    <row r="29">
      <c r="T29" s="70">
        <f t="array" ref="T29">IFERROR(INDEX(tblItems[ItemCode],SMALL(IF(tblItems[ItemCode]&lt;&gt;"",ROW(tblItems[ItemCode])-MIN(ROW(tblItems[ItemCode]))+1),ROWS(T$6:T29))),"")</f>
        <v/>
      </c>
      <c r="U29" s="70">
        <f t="array" ref="U29">IFERROR(INDEX(tblItems[ItemCode],SMALL(IF((tblItems[Zone]=U$4)*(tblItems[ItemCode]&lt;&gt;""),ROW(tblItems[ItemCode])-MIN(ROW(tblItems[ItemCode]))+1),ROWS(U$6:U29))),"")</f>
        <v/>
      </c>
      <c r="V29" s="70">
        <f t="array" ref="V29">IFERROR(INDEX(tblItems[ItemCode],SMALL(IF((tblItems[Zone]=V$4)*(tblItems[ItemCode]&lt;&gt;""),ROW(tblItems[ItemCode])-MIN(ROW(tblItems[ItemCode]))+1),ROWS(V$6:V29))),"")</f>
        <v/>
      </c>
      <c r="W29" s="70">
        <f t="array" ref="W29">IFERROR(INDEX(tblItems[ItemCode],SMALL(IF((tblItems[Zone]=W$4)*(tblItems[ItemCode]&lt;&gt;""),ROW(tblItems[ItemCode])-MIN(ROW(tblItems[ItemCode]))+1),ROWS(W$6:W29))),"")</f>
        <v/>
      </c>
      <c r="X29" s="70">
        <f t="array" ref="X29">IFERROR(INDEX(tblItems[ItemCode],SMALL(IF((tblItems[Zone]=X$4)*(tblItems[ItemCode]&lt;&gt;""),ROW(tblItems[ItemCode])-MIN(ROW(tblItems[ItemCode]))+1),ROWS(X$6:X29))),"")</f>
        <v/>
      </c>
      <c r="Y29" s="70">
        <f t="array" ref="Y29">IFERROR(INDEX(tblItems[ItemCode],SMALL(IF((tblItems[Zone]=Y$4)*(tblItems[ItemCode]&lt;&gt;""),ROW(tblItems[ItemCode])-MIN(ROW(tblItems[ItemCode]))+1),ROWS(Y$6:Y29))),"")</f>
        <v/>
      </c>
      <c r="Z29" s="70">
        <f t="array" ref="Z29">IFERROR(INDEX(tblItems[ItemCode],SMALL(IF((tblItems[Zone]=Z$4)*(tblItems[ItemCode]&lt;&gt;""),ROW(tblItems[ItemCode])-MIN(ROW(tblItems[ItemCode]))+1),ROWS(Z$6:Z29))),"")</f>
        <v/>
      </c>
      <c r="AA29" s="70">
        <f t="array" ref="AA29">IFERROR(INDEX(tblItems[ItemCode],SMALL(IF((tblItems[Zone]=AA$4)*(tblItems[ItemCode]&lt;&gt;""),ROW(tblItems[ItemCode])-MIN(ROW(tblItems[ItemCode]))+1),ROWS(AA$6:AA29))),"")</f>
        <v/>
      </c>
      <c r="AB29" s="70">
        <f t="array" ref="AB29">IFERROR(INDEX(tblItems[ItemCode],SMALL(IF((tblItems[Zone]=AB$4)*(tblItems[ItemCode]&lt;&gt;""),ROW(tblItems[ItemCode])-MIN(ROW(tblItems[ItemCode]))+1),ROWS(AB$6:AB29))),"")</f>
        <v/>
      </c>
      <c r="AC29" s="70">
        <f t="array" ref="AC29">IFERROR(INDEX(tblItems[ItemCode],SMALL(IF((tblItems[Zone]=AC$4)*(tblItems[ItemCode]&lt;&gt;""),ROW(tblItems[ItemCode])-MIN(ROW(tblItems[ItemCode]))+1),ROWS(AC$6:AC29))),"")</f>
        <v/>
      </c>
      <c r="AD29" s="70">
        <f t="array" ref="AD29">IFERROR(INDEX(tblItems[ItemCode],SMALL(IF((tblItems[Zone]=AD$4)*(tblItems[ItemCode]&lt;&gt;""),ROW(tblItems[ItemCode])-MIN(ROW(tblItems[ItemCode]))+1),ROWS(AD$6:AD29))),"")</f>
        <v/>
      </c>
      <c r="AE29" s="70">
        <f t="array" ref="AE29">IFERROR(INDEX(tblItems[ItemCode],SMALL(IF((tblItems[Zone]=AE$4)*(tblItems[ItemCode]&lt;&gt;""),ROW(tblItems[ItemCode])-MIN(ROW(tblItems[ItemCode]))+1),ROWS(AE$6:AE29))),"")</f>
        <v/>
      </c>
    </row>
    <row r="30">
      <c r="T30" s="70">
        <f t="array" ref="T30">IFERROR(INDEX(tblItems[ItemCode],SMALL(IF(tblItems[ItemCode]&lt;&gt;"",ROW(tblItems[ItemCode])-MIN(ROW(tblItems[ItemCode]))+1),ROWS(T$6:T30))),"")</f>
        <v/>
      </c>
      <c r="U30" s="70">
        <f t="array" ref="U30">IFERROR(INDEX(tblItems[ItemCode],SMALL(IF((tblItems[Zone]=U$4)*(tblItems[ItemCode]&lt;&gt;""),ROW(tblItems[ItemCode])-MIN(ROW(tblItems[ItemCode]))+1),ROWS(U$6:U30))),"")</f>
        <v/>
      </c>
      <c r="V30" s="70">
        <f t="array" ref="V30">IFERROR(INDEX(tblItems[ItemCode],SMALL(IF((tblItems[Zone]=V$4)*(tblItems[ItemCode]&lt;&gt;""),ROW(tblItems[ItemCode])-MIN(ROW(tblItems[ItemCode]))+1),ROWS(V$6:V30))),"")</f>
        <v/>
      </c>
      <c r="W30" s="70">
        <f t="array" ref="W30">IFERROR(INDEX(tblItems[ItemCode],SMALL(IF((tblItems[Zone]=W$4)*(tblItems[ItemCode]&lt;&gt;""),ROW(tblItems[ItemCode])-MIN(ROW(tblItems[ItemCode]))+1),ROWS(W$6:W30))),"")</f>
        <v/>
      </c>
      <c r="X30" s="70">
        <f t="array" ref="X30">IFERROR(INDEX(tblItems[ItemCode],SMALL(IF((tblItems[Zone]=X$4)*(tblItems[ItemCode]&lt;&gt;""),ROW(tblItems[ItemCode])-MIN(ROW(tblItems[ItemCode]))+1),ROWS(X$6:X30))),"")</f>
        <v/>
      </c>
      <c r="Y30" s="70">
        <f t="array" ref="Y30">IFERROR(INDEX(tblItems[ItemCode],SMALL(IF((tblItems[Zone]=Y$4)*(tblItems[ItemCode]&lt;&gt;""),ROW(tblItems[ItemCode])-MIN(ROW(tblItems[ItemCode]))+1),ROWS(Y$6:Y30))),"")</f>
        <v/>
      </c>
      <c r="Z30" s="70">
        <f t="array" ref="Z30">IFERROR(INDEX(tblItems[ItemCode],SMALL(IF((tblItems[Zone]=Z$4)*(tblItems[ItemCode]&lt;&gt;""),ROW(tblItems[ItemCode])-MIN(ROW(tblItems[ItemCode]))+1),ROWS(Z$6:Z30))),"")</f>
        <v/>
      </c>
      <c r="AA30" s="70">
        <f t="array" ref="AA30">IFERROR(INDEX(tblItems[ItemCode],SMALL(IF((tblItems[Zone]=AA$4)*(tblItems[ItemCode]&lt;&gt;""),ROW(tblItems[ItemCode])-MIN(ROW(tblItems[ItemCode]))+1),ROWS(AA$6:AA30))),"")</f>
        <v/>
      </c>
      <c r="AB30" s="70">
        <f t="array" ref="AB30">IFERROR(INDEX(tblItems[ItemCode],SMALL(IF((tblItems[Zone]=AB$4)*(tblItems[ItemCode]&lt;&gt;""),ROW(tblItems[ItemCode])-MIN(ROW(tblItems[ItemCode]))+1),ROWS(AB$6:AB30))),"")</f>
        <v/>
      </c>
      <c r="AC30" s="70">
        <f t="array" ref="AC30">IFERROR(INDEX(tblItems[ItemCode],SMALL(IF((tblItems[Zone]=AC$4)*(tblItems[ItemCode]&lt;&gt;""),ROW(tblItems[ItemCode])-MIN(ROW(tblItems[ItemCode]))+1),ROWS(AC$6:AC30))),"")</f>
        <v/>
      </c>
      <c r="AD30" s="70">
        <f t="array" ref="AD30">IFERROR(INDEX(tblItems[ItemCode],SMALL(IF((tblItems[Zone]=AD$4)*(tblItems[ItemCode]&lt;&gt;""),ROW(tblItems[ItemCode])-MIN(ROW(tblItems[ItemCode]))+1),ROWS(AD$6:AD30))),"")</f>
        <v/>
      </c>
      <c r="AE30" s="70">
        <f t="array" ref="AE30">IFERROR(INDEX(tblItems[ItemCode],SMALL(IF((tblItems[Zone]=AE$4)*(tblItems[ItemCode]&lt;&gt;""),ROW(tblItems[ItemCode])-MIN(ROW(tblItems[ItemCode]))+1),ROWS(AE$6:AE30))),"")</f>
        <v/>
      </c>
    </row>
    <row r="31">
      <c r="T31" s="70">
        <f t="array" ref="T31">IFERROR(INDEX(tblItems[ItemCode],SMALL(IF(tblItems[ItemCode]&lt;&gt;"",ROW(tblItems[ItemCode])-MIN(ROW(tblItems[ItemCode]))+1),ROWS(T$6:T31))),"")</f>
        <v/>
      </c>
      <c r="U31" s="70">
        <f t="array" ref="U31">IFERROR(INDEX(tblItems[ItemCode],SMALL(IF((tblItems[Zone]=U$4)*(tblItems[ItemCode]&lt;&gt;""),ROW(tblItems[ItemCode])-MIN(ROW(tblItems[ItemCode]))+1),ROWS(U$6:U31))),"")</f>
        <v/>
      </c>
      <c r="V31" s="70">
        <f t="array" ref="V31">IFERROR(INDEX(tblItems[ItemCode],SMALL(IF((tblItems[Zone]=V$4)*(tblItems[ItemCode]&lt;&gt;""),ROW(tblItems[ItemCode])-MIN(ROW(tblItems[ItemCode]))+1),ROWS(V$6:V31))),"")</f>
        <v/>
      </c>
      <c r="W31" s="70">
        <f t="array" ref="W31">IFERROR(INDEX(tblItems[ItemCode],SMALL(IF((tblItems[Zone]=W$4)*(tblItems[ItemCode]&lt;&gt;""),ROW(tblItems[ItemCode])-MIN(ROW(tblItems[ItemCode]))+1),ROWS(W$6:W31))),"")</f>
        <v/>
      </c>
      <c r="X31" s="70">
        <f t="array" ref="X31">IFERROR(INDEX(tblItems[ItemCode],SMALL(IF((tblItems[Zone]=X$4)*(tblItems[ItemCode]&lt;&gt;""),ROW(tblItems[ItemCode])-MIN(ROW(tblItems[ItemCode]))+1),ROWS(X$6:X31))),"")</f>
        <v/>
      </c>
      <c r="Y31" s="70">
        <f t="array" ref="Y31">IFERROR(INDEX(tblItems[ItemCode],SMALL(IF((tblItems[Zone]=Y$4)*(tblItems[ItemCode]&lt;&gt;""),ROW(tblItems[ItemCode])-MIN(ROW(tblItems[ItemCode]))+1),ROWS(Y$6:Y31))),"")</f>
        <v/>
      </c>
      <c r="Z31" s="70">
        <f t="array" ref="Z31">IFERROR(INDEX(tblItems[ItemCode],SMALL(IF((tblItems[Zone]=Z$4)*(tblItems[ItemCode]&lt;&gt;""),ROW(tblItems[ItemCode])-MIN(ROW(tblItems[ItemCode]))+1),ROWS(Z$6:Z31))),"")</f>
        <v/>
      </c>
      <c r="AA31" s="70">
        <f t="array" ref="AA31">IFERROR(INDEX(tblItems[ItemCode],SMALL(IF((tblItems[Zone]=AA$4)*(tblItems[ItemCode]&lt;&gt;""),ROW(tblItems[ItemCode])-MIN(ROW(tblItems[ItemCode]))+1),ROWS(AA$6:AA31))),"")</f>
        <v/>
      </c>
      <c r="AB31" s="70">
        <f t="array" ref="AB31">IFERROR(INDEX(tblItems[ItemCode],SMALL(IF((tblItems[Zone]=AB$4)*(tblItems[ItemCode]&lt;&gt;""),ROW(tblItems[ItemCode])-MIN(ROW(tblItems[ItemCode]))+1),ROWS(AB$6:AB31))),"")</f>
        <v/>
      </c>
      <c r="AC31" s="70">
        <f t="array" ref="AC31">IFERROR(INDEX(tblItems[ItemCode],SMALL(IF((tblItems[Zone]=AC$4)*(tblItems[ItemCode]&lt;&gt;""),ROW(tblItems[ItemCode])-MIN(ROW(tblItems[ItemCode]))+1),ROWS(AC$6:AC31))),"")</f>
        <v/>
      </c>
      <c r="AD31" s="70">
        <f t="array" ref="AD31">IFERROR(INDEX(tblItems[ItemCode],SMALL(IF((tblItems[Zone]=AD$4)*(tblItems[ItemCode]&lt;&gt;""),ROW(tblItems[ItemCode])-MIN(ROW(tblItems[ItemCode]))+1),ROWS(AD$6:AD31))),"")</f>
        <v/>
      </c>
      <c r="AE31" s="70">
        <f t="array" ref="AE31">IFERROR(INDEX(tblItems[ItemCode],SMALL(IF((tblItems[Zone]=AE$4)*(tblItems[ItemCode]&lt;&gt;""),ROW(tblItems[ItemCode])-MIN(ROW(tblItems[ItemCode]))+1),ROWS(AE$6:AE31))),"")</f>
        <v/>
      </c>
    </row>
    <row r="32">
      <c r="T32" s="70">
        <f t="array" ref="T32">IFERROR(INDEX(tblItems[ItemCode],SMALL(IF(tblItems[ItemCode]&lt;&gt;"",ROW(tblItems[ItemCode])-MIN(ROW(tblItems[ItemCode]))+1),ROWS(T$6:T32))),"")</f>
        <v/>
      </c>
      <c r="U32" s="70">
        <f t="array" ref="U32">IFERROR(INDEX(tblItems[ItemCode],SMALL(IF((tblItems[Zone]=U$4)*(tblItems[ItemCode]&lt;&gt;""),ROW(tblItems[ItemCode])-MIN(ROW(tblItems[ItemCode]))+1),ROWS(U$6:U32))),"")</f>
        <v/>
      </c>
      <c r="V32" s="70">
        <f t="array" ref="V32">IFERROR(INDEX(tblItems[ItemCode],SMALL(IF((tblItems[Zone]=V$4)*(tblItems[ItemCode]&lt;&gt;""),ROW(tblItems[ItemCode])-MIN(ROW(tblItems[ItemCode]))+1),ROWS(V$6:V32))),"")</f>
        <v/>
      </c>
      <c r="W32" s="70">
        <f t="array" ref="W32">IFERROR(INDEX(tblItems[ItemCode],SMALL(IF((tblItems[Zone]=W$4)*(tblItems[ItemCode]&lt;&gt;""),ROW(tblItems[ItemCode])-MIN(ROW(tblItems[ItemCode]))+1),ROWS(W$6:W32))),"")</f>
        <v/>
      </c>
      <c r="X32" s="70">
        <f t="array" ref="X32">IFERROR(INDEX(tblItems[ItemCode],SMALL(IF((tblItems[Zone]=X$4)*(tblItems[ItemCode]&lt;&gt;""),ROW(tblItems[ItemCode])-MIN(ROW(tblItems[ItemCode]))+1),ROWS(X$6:X32))),"")</f>
        <v/>
      </c>
      <c r="Y32" s="70">
        <f t="array" ref="Y32">IFERROR(INDEX(tblItems[ItemCode],SMALL(IF((tblItems[Zone]=Y$4)*(tblItems[ItemCode]&lt;&gt;""),ROW(tblItems[ItemCode])-MIN(ROW(tblItems[ItemCode]))+1),ROWS(Y$6:Y32))),"")</f>
        <v/>
      </c>
      <c r="Z32" s="70">
        <f t="array" ref="Z32">IFERROR(INDEX(tblItems[ItemCode],SMALL(IF((tblItems[Zone]=Z$4)*(tblItems[ItemCode]&lt;&gt;""),ROW(tblItems[ItemCode])-MIN(ROW(tblItems[ItemCode]))+1),ROWS(Z$6:Z32))),"")</f>
        <v/>
      </c>
      <c r="AA32" s="70">
        <f t="array" ref="AA32">IFERROR(INDEX(tblItems[ItemCode],SMALL(IF((tblItems[Zone]=AA$4)*(tblItems[ItemCode]&lt;&gt;""),ROW(tblItems[ItemCode])-MIN(ROW(tblItems[ItemCode]))+1),ROWS(AA$6:AA32))),"")</f>
        <v/>
      </c>
      <c r="AB32" s="70">
        <f t="array" ref="AB32">IFERROR(INDEX(tblItems[ItemCode],SMALL(IF((tblItems[Zone]=AB$4)*(tblItems[ItemCode]&lt;&gt;""),ROW(tblItems[ItemCode])-MIN(ROW(tblItems[ItemCode]))+1),ROWS(AB$6:AB32))),"")</f>
        <v/>
      </c>
      <c r="AC32" s="70">
        <f t="array" ref="AC32">IFERROR(INDEX(tblItems[ItemCode],SMALL(IF((tblItems[Zone]=AC$4)*(tblItems[ItemCode]&lt;&gt;""),ROW(tblItems[ItemCode])-MIN(ROW(tblItems[ItemCode]))+1),ROWS(AC$6:AC32))),"")</f>
        <v/>
      </c>
      <c r="AD32" s="70">
        <f t="array" ref="AD32">IFERROR(INDEX(tblItems[ItemCode],SMALL(IF((tblItems[Zone]=AD$4)*(tblItems[ItemCode]&lt;&gt;""),ROW(tblItems[ItemCode])-MIN(ROW(tblItems[ItemCode]))+1),ROWS(AD$6:AD32))),"")</f>
        <v/>
      </c>
      <c r="AE32" s="70">
        <f t="array" ref="AE32">IFERROR(INDEX(tblItems[ItemCode],SMALL(IF((tblItems[Zone]=AE$4)*(tblItems[ItemCode]&lt;&gt;""),ROW(tblItems[ItemCode])-MIN(ROW(tblItems[ItemCode]))+1),ROWS(AE$6:AE32))),"")</f>
        <v/>
      </c>
    </row>
    <row r="33">
      <c r="T33" s="70">
        <f t="array" ref="T33">IFERROR(INDEX(tblItems[ItemCode],SMALL(IF(tblItems[ItemCode]&lt;&gt;"",ROW(tblItems[ItemCode])-MIN(ROW(tblItems[ItemCode]))+1),ROWS(T$6:T33))),"")</f>
        <v/>
      </c>
      <c r="U33" s="70">
        <f t="array" ref="U33">IFERROR(INDEX(tblItems[ItemCode],SMALL(IF((tblItems[Zone]=U$4)*(tblItems[ItemCode]&lt;&gt;""),ROW(tblItems[ItemCode])-MIN(ROW(tblItems[ItemCode]))+1),ROWS(U$6:U33))),"")</f>
        <v/>
      </c>
      <c r="V33" s="70">
        <f t="array" ref="V33">IFERROR(INDEX(tblItems[ItemCode],SMALL(IF((tblItems[Zone]=V$4)*(tblItems[ItemCode]&lt;&gt;""),ROW(tblItems[ItemCode])-MIN(ROW(tblItems[ItemCode]))+1),ROWS(V$6:V33))),"")</f>
        <v/>
      </c>
      <c r="W33" s="70">
        <f t="array" ref="W33">IFERROR(INDEX(tblItems[ItemCode],SMALL(IF((tblItems[Zone]=W$4)*(tblItems[ItemCode]&lt;&gt;""),ROW(tblItems[ItemCode])-MIN(ROW(tblItems[ItemCode]))+1),ROWS(W$6:W33))),"")</f>
        <v/>
      </c>
      <c r="X33" s="70">
        <f t="array" ref="X33">IFERROR(INDEX(tblItems[ItemCode],SMALL(IF((tblItems[Zone]=X$4)*(tblItems[ItemCode]&lt;&gt;""),ROW(tblItems[ItemCode])-MIN(ROW(tblItems[ItemCode]))+1),ROWS(X$6:X33))),"")</f>
        <v/>
      </c>
      <c r="Y33" s="70">
        <f t="array" ref="Y33">IFERROR(INDEX(tblItems[ItemCode],SMALL(IF((tblItems[Zone]=Y$4)*(tblItems[ItemCode]&lt;&gt;""),ROW(tblItems[ItemCode])-MIN(ROW(tblItems[ItemCode]))+1),ROWS(Y$6:Y33))),"")</f>
        <v/>
      </c>
      <c r="Z33" s="70">
        <f t="array" ref="Z33">IFERROR(INDEX(tblItems[ItemCode],SMALL(IF((tblItems[Zone]=Z$4)*(tblItems[ItemCode]&lt;&gt;""),ROW(tblItems[ItemCode])-MIN(ROW(tblItems[ItemCode]))+1),ROWS(Z$6:Z33))),"")</f>
        <v/>
      </c>
      <c r="AA33" s="70">
        <f t="array" ref="AA33">IFERROR(INDEX(tblItems[ItemCode],SMALL(IF((tblItems[Zone]=AA$4)*(tblItems[ItemCode]&lt;&gt;""),ROW(tblItems[ItemCode])-MIN(ROW(tblItems[ItemCode]))+1),ROWS(AA$6:AA33))),"")</f>
        <v/>
      </c>
      <c r="AB33" s="70">
        <f t="array" ref="AB33">IFERROR(INDEX(tblItems[ItemCode],SMALL(IF((tblItems[Zone]=AB$4)*(tblItems[ItemCode]&lt;&gt;""),ROW(tblItems[ItemCode])-MIN(ROW(tblItems[ItemCode]))+1),ROWS(AB$6:AB33))),"")</f>
        <v/>
      </c>
      <c r="AC33" s="70">
        <f t="array" ref="AC33">IFERROR(INDEX(tblItems[ItemCode],SMALL(IF((tblItems[Zone]=AC$4)*(tblItems[ItemCode]&lt;&gt;""),ROW(tblItems[ItemCode])-MIN(ROW(tblItems[ItemCode]))+1),ROWS(AC$6:AC33))),"")</f>
        <v/>
      </c>
      <c r="AD33" s="70">
        <f t="array" ref="AD33">IFERROR(INDEX(tblItems[ItemCode],SMALL(IF((tblItems[Zone]=AD$4)*(tblItems[ItemCode]&lt;&gt;""),ROW(tblItems[ItemCode])-MIN(ROW(tblItems[ItemCode]))+1),ROWS(AD$6:AD33))),"")</f>
        <v/>
      </c>
      <c r="AE33" s="70">
        <f t="array" ref="AE33">IFERROR(INDEX(tblItems[ItemCode],SMALL(IF((tblItems[Zone]=AE$4)*(tblItems[ItemCode]&lt;&gt;""),ROW(tblItems[ItemCode])-MIN(ROW(tblItems[ItemCode]))+1),ROWS(AE$6:AE33))),"")</f>
        <v/>
      </c>
    </row>
    <row r="34">
      <c r="T34" s="70">
        <f t="array" ref="T34">IFERROR(INDEX(tblItems[ItemCode],SMALL(IF(tblItems[ItemCode]&lt;&gt;"",ROW(tblItems[ItemCode])-MIN(ROW(tblItems[ItemCode]))+1),ROWS(T$6:T34))),"")</f>
        <v/>
      </c>
      <c r="U34" s="70">
        <f t="array" ref="U34">IFERROR(INDEX(tblItems[ItemCode],SMALL(IF((tblItems[Zone]=U$4)*(tblItems[ItemCode]&lt;&gt;""),ROW(tblItems[ItemCode])-MIN(ROW(tblItems[ItemCode]))+1),ROWS(U$6:U34))),"")</f>
        <v/>
      </c>
      <c r="V34" s="70">
        <f t="array" ref="V34">IFERROR(INDEX(tblItems[ItemCode],SMALL(IF((tblItems[Zone]=V$4)*(tblItems[ItemCode]&lt;&gt;""),ROW(tblItems[ItemCode])-MIN(ROW(tblItems[ItemCode]))+1),ROWS(V$6:V34))),"")</f>
        <v/>
      </c>
      <c r="W34" s="70">
        <f t="array" ref="W34">IFERROR(INDEX(tblItems[ItemCode],SMALL(IF((tblItems[Zone]=W$4)*(tblItems[ItemCode]&lt;&gt;""),ROW(tblItems[ItemCode])-MIN(ROW(tblItems[ItemCode]))+1),ROWS(W$6:W34))),"")</f>
        <v/>
      </c>
      <c r="X34" s="70">
        <f t="array" ref="X34">IFERROR(INDEX(tblItems[ItemCode],SMALL(IF((tblItems[Zone]=X$4)*(tblItems[ItemCode]&lt;&gt;""),ROW(tblItems[ItemCode])-MIN(ROW(tblItems[ItemCode]))+1),ROWS(X$6:X34))),"")</f>
        <v/>
      </c>
      <c r="Y34" s="70">
        <f t="array" ref="Y34">IFERROR(INDEX(tblItems[ItemCode],SMALL(IF((tblItems[Zone]=Y$4)*(tblItems[ItemCode]&lt;&gt;""),ROW(tblItems[ItemCode])-MIN(ROW(tblItems[ItemCode]))+1),ROWS(Y$6:Y34))),"")</f>
        <v/>
      </c>
      <c r="Z34" s="70">
        <f t="array" ref="Z34">IFERROR(INDEX(tblItems[ItemCode],SMALL(IF((tblItems[Zone]=Z$4)*(tblItems[ItemCode]&lt;&gt;""),ROW(tblItems[ItemCode])-MIN(ROW(tblItems[ItemCode]))+1),ROWS(Z$6:Z34))),"")</f>
        <v/>
      </c>
      <c r="AA34" s="70">
        <f t="array" ref="AA34">IFERROR(INDEX(tblItems[ItemCode],SMALL(IF((tblItems[Zone]=AA$4)*(tblItems[ItemCode]&lt;&gt;""),ROW(tblItems[ItemCode])-MIN(ROW(tblItems[ItemCode]))+1),ROWS(AA$6:AA34))),"")</f>
        <v/>
      </c>
      <c r="AB34" s="70">
        <f t="array" ref="AB34">IFERROR(INDEX(tblItems[ItemCode],SMALL(IF((tblItems[Zone]=AB$4)*(tblItems[ItemCode]&lt;&gt;""),ROW(tblItems[ItemCode])-MIN(ROW(tblItems[ItemCode]))+1),ROWS(AB$6:AB34))),"")</f>
        <v/>
      </c>
      <c r="AC34" s="70">
        <f t="array" ref="AC34">IFERROR(INDEX(tblItems[ItemCode],SMALL(IF((tblItems[Zone]=AC$4)*(tblItems[ItemCode]&lt;&gt;""),ROW(tblItems[ItemCode])-MIN(ROW(tblItems[ItemCode]))+1),ROWS(AC$6:AC34))),"")</f>
        <v/>
      </c>
      <c r="AD34" s="70">
        <f t="array" ref="AD34">IFERROR(INDEX(tblItems[ItemCode],SMALL(IF((tblItems[Zone]=AD$4)*(tblItems[ItemCode]&lt;&gt;""),ROW(tblItems[ItemCode])-MIN(ROW(tblItems[ItemCode]))+1),ROWS(AD$6:AD34))),"")</f>
        <v/>
      </c>
      <c r="AE34" s="70">
        <f t="array" ref="AE34">IFERROR(INDEX(tblItems[ItemCode],SMALL(IF((tblItems[Zone]=AE$4)*(tblItems[ItemCode]&lt;&gt;""),ROW(tblItems[ItemCode])-MIN(ROW(tblItems[ItemCode]))+1),ROWS(AE$6:AE34))),"")</f>
        <v/>
      </c>
    </row>
    <row r="35">
      <c r="T35" s="70">
        <f t="array" ref="T35">IFERROR(INDEX(tblItems[ItemCode],SMALL(IF(tblItems[ItemCode]&lt;&gt;"",ROW(tblItems[ItemCode])-MIN(ROW(tblItems[ItemCode]))+1),ROWS(T$6:T35))),"")</f>
        <v/>
      </c>
      <c r="U35" s="70">
        <f t="array" ref="U35">IFERROR(INDEX(tblItems[ItemCode],SMALL(IF((tblItems[Zone]=U$4)*(tblItems[ItemCode]&lt;&gt;""),ROW(tblItems[ItemCode])-MIN(ROW(tblItems[ItemCode]))+1),ROWS(U$6:U35))),"")</f>
        <v/>
      </c>
      <c r="V35" s="70">
        <f t="array" ref="V35">IFERROR(INDEX(tblItems[ItemCode],SMALL(IF((tblItems[Zone]=V$4)*(tblItems[ItemCode]&lt;&gt;""),ROW(tblItems[ItemCode])-MIN(ROW(tblItems[ItemCode]))+1),ROWS(V$6:V35))),"")</f>
        <v/>
      </c>
      <c r="W35" s="70">
        <f t="array" ref="W35">IFERROR(INDEX(tblItems[ItemCode],SMALL(IF((tblItems[Zone]=W$4)*(tblItems[ItemCode]&lt;&gt;""),ROW(tblItems[ItemCode])-MIN(ROW(tblItems[ItemCode]))+1),ROWS(W$6:W35))),"")</f>
        <v/>
      </c>
      <c r="X35" s="70">
        <f t="array" ref="X35">IFERROR(INDEX(tblItems[ItemCode],SMALL(IF((tblItems[Zone]=X$4)*(tblItems[ItemCode]&lt;&gt;""),ROW(tblItems[ItemCode])-MIN(ROW(tblItems[ItemCode]))+1),ROWS(X$6:X35))),"")</f>
        <v/>
      </c>
      <c r="Y35" s="70">
        <f t="array" ref="Y35">IFERROR(INDEX(tblItems[ItemCode],SMALL(IF((tblItems[Zone]=Y$4)*(tblItems[ItemCode]&lt;&gt;""),ROW(tblItems[ItemCode])-MIN(ROW(tblItems[ItemCode]))+1),ROWS(Y$6:Y35))),"")</f>
        <v/>
      </c>
      <c r="Z35" s="70">
        <f t="array" ref="Z35">IFERROR(INDEX(tblItems[ItemCode],SMALL(IF((tblItems[Zone]=Z$4)*(tblItems[ItemCode]&lt;&gt;""),ROW(tblItems[ItemCode])-MIN(ROW(tblItems[ItemCode]))+1),ROWS(Z$6:Z35))),"")</f>
        <v/>
      </c>
      <c r="AA35" s="70">
        <f t="array" ref="AA35">IFERROR(INDEX(tblItems[ItemCode],SMALL(IF((tblItems[Zone]=AA$4)*(tblItems[ItemCode]&lt;&gt;""),ROW(tblItems[ItemCode])-MIN(ROW(tblItems[ItemCode]))+1),ROWS(AA$6:AA35))),"")</f>
        <v/>
      </c>
      <c r="AB35" s="70">
        <f t="array" ref="AB35">IFERROR(INDEX(tblItems[ItemCode],SMALL(IF((tblItems[Zone]=AB$4)*(tblItems[ItemCode]&lt;&gt;""),ROW(tblItems[ItemCode])-MIN(ROW(tblItems[ItemCode]))+1),ROWS(AB$6:AB35))),"")</f>
        <v/>
      </c>
      <c r="AC35" s="70">
        <f t="array" ref="AC35">IFERROR(INDEX(tblItems[ItemCode],SMALL(IF((tblItems[Zone]=AC$4)*(tblItems[ItemCode]&lt;&gt;""),ROW(tblItems[ItemCode])-MIN(ROW(tblItems[ItemCode]))+1),ROWS(AC$6:AC35))),"")</f>
        <v/>
      </c>
      <c r="AD35" s="70">
        <f t="array" ref="AD35">IFERROR(INDEX(tblItems[ItemCode],SMALL(IF((tblItems[Zone]=AD$4)*(tblItems[ItemCode]&lt;&gt;""),ROW(tblItems[ItemCode])-MIN(ROW(tblItems[ItemCode]))+1),ROWS(AD$6:AD35))),"")</f>
        <v/>
      </c>
      <c r="AE35" s="70">
        <f t="array" ref="AE35">IFERROR(INDEX(tblItems[ItemCode],SMALL(IF((tblItems[Zone]=AE$4)*(tblItems[ItemCode]&lt;&gt;""),ROW(tblItems[ItemCode])-MIN(ROW(tblItems[ItemCode]))+1),ROWS(AE$6:AE35))),"")</f>
        <v/>
      </c>
    </row>
    <row r="36">
      <c r="T36" s="70">
        <f t="array" ref="T36">IFERROR(INDEX(tblItems[ItemCode],SMALL(IF(tblItems[ItemCode]&lt;&gt;"",ROW(tblItems[ItemCode])-MIN(ROW(tblItems[ItemCode]))+1),ROWS(T$6:T36))),"")</f>
        <v/>
      </c>
      <c r="U36" s="70">
        <f t="array" ref="U36">IFERROR(INDEX(tblItems[ItemCode],SMALL(IF((tblItems[Zone]=U$4)*(tblItems[ItemCode]&lt;&gt;""),ROW(tblItems[ItemCode])-MIN(ROW(tblItems[ItemCode]))+1),ROWS(U$6:U36))),"")</f>
        <v/>
      </c>
      <c r="V36" s="70">
        <f t="array" ref="V36">IFERROR(INDEX(tblItems[ItemCode],SMALL(IF((tblItems[Zone]=V$4)*(tblItems[ItemCode]&lt;&gt;""),ROW(tblItems[ItemCode])-MIN(ROW(tblItems[ItemCode]))+1),ROWS(V$6:V36))),"")</f>
        <v/>
      </c>
      <c r="W36" s="70">
        <f t="array" ref="W36">IFERROR(INDEX(tblItems[ItemCode],SMALL(IF((tblItems[Zone]=W$4)*(tblItems[ItemCode]&lt;&gt;""),ROW(tblItems[ItemCode])-MIN(ROW(tblItems[ItemCode]))+1),ROWS(W$6:W36))),"")</f>
        <v/>
      </c>
      <c r="X36" s="70">
        <f t="array" ref="X36">IFERROR(INDEX(tblItems[ItemCode],SMALL(IF((tblItems[Zone]=X$4)*(tblItems[ItemCode]&lt;&gt;""),ROW(tblItems[ItemCode])-MIN(ROW(tblItems[ItemCode]))+1),ROWS(X$6:X36))),"")</f>
        <v/>
      </c>
      <c r="Y36" s="70">
        <f t="array" ref="Y36">IFERROR(INDEX(tblItems[ItemCode],SMALL(IF((tblItems[Zone]=Y$4)*(tblItems[ItemCode]&lt;&gt;""),ROW(tblItems[ItemCode])-MIN(ROW(tblItems[ItemCode]))+1),ROWS(Y$6:Y36))),"")</f>
        <v/>
      </c>
      <c r="Z36" s="70">
        <f t="array" ref="Z36">IFERROR(INDEX(tblItems[ItemCode],SMALL(IF((tblItems[Zone]=Z$4)*(tblItems[ItemCode]&lt;&gt;""),ROW(tblItems[ItemCode])-MIN(ROW(tblItems[ItemCode]))+1),ROWS(Z$6:Z36))),"")</f>
        <v/>
      </c>
      <c r="AA36" s="70">
        <f t="array" ref="AA36">IFERROR(INDEX(tblItems[ItemCode],SMALL(IF((tblItems[Zone]=AA$4)*(tblItems[ItemCode]&lt;&gt;""),ROW(tblItems[ItemCode])-MIN(ROW(tblItems[ItemCode]))+1),ROWS(AA$6:AA36))),"")</f>
        <v/>
      </c>
      <c r="AB36" s="70">
        <f t="array" ref="AB36">IFERROR(INDEX(tblItems[ItemCode],SMALL(IF((tblItems[Zone]=AB$4)*(tblItems[ItemCode]&lt;&gt;""),ROW(tblItems[ItemCode])-MIN(ROW(tblItems[ItemCode]))+1),ROWS(AB$6:AB36))),"")</f>
        <v/>
      </c>
      <c r="AC36" s="70">
        <f t="array" ref="AC36">IFERROR(INDEX(tblItems[ItemCode],SMALL(IF((tblItems[Zone]=AC$4)*(tblItems[ItemCode]&lt;&gt;""),ROW(tblItems[ItemCode])-MIN(ROW(tblItems[ItemCode]))+1),ROWS(AC$6:AC36))),"")</f>
        <v/>
      </c>
      <c r="AD36" s="70">
        <f t="array" ref="AD36">IFERROR(INDEX(tblItems[ItemCode],SMALL(IF((tblItems[Zone]=AD$4)*(tblItems[ItemCode]&lt;&gt;""),ROW(tblItems[ItemCode])-MIN(ROW(tblItems[ItemCode]))+1),ROWS(AD$6:AD36))),"")</f>
        <v/>
      </c>
      <c r="AE36" s="70">
        <f t="array" ref="AE36">IFERROR(INDEX(tblItems[ItemCode],SMALL(IF((tblItems[Zone]=AE$4)*(tblItems[ItemCode]&lt;&gt;""),ROW(tblItems[ItemCode])-MIN(ROW(tblItems[ItemCode]))+1),ROWS(AE$6:AE36))),"")</f>
        <v/>
      </c>
    </row>
    <row r="37">
      <c r="T37" s="70">
        <f t="array" ref="T37">IFERROR(INDEX(tblItems[ItemCode],SMALL(IF(tblItems[ItemCode]&lt;&gt;"",ROW(tblItems[ItemCode])-MIN(ROW(tblItems[ItemCode]))+1),ROWS(T$6:T37))),"")</f>
        <v/>
      </c>
      <c r="U37" s="70">
        <f t="array" ref="U37">IFERROR(INDEX(tblItems[ItemCode],SMALL(IF((tblItems[Zone]=U$4)*(tblItems[ItemCode]&lt;&gt;""),ROW(tblItems[ItemCode])-MIN(ROW(tblItems[ItemCode]))+1),ROWS(U$6:U37))),"")</f>
        <v/>
      </c>
      <c r="V37" s="70">
        <f t="array" ref="V37">IFERROR(INDEX(tblItems[ItemCode],SMALL(IF((tblItems[Zone]=V$4)*(tblItems[ItemCode]&lt;&gt;""),ROW(tblItems[ItemCode])-MIN(ROW(tblItems[ItemCode]))+1),ROWS(V$6:V37))),"")</f>
        <v/>
      </c>
      <c r="W37" s="70">
        <f t="array" ref="W37">IFERROR(INDEX(tblItems[ItemCode],SMALL(IF((tblItems[Zone]=W$4)*(tblItems[ItemCode]&lt;&gt;""),ROW(tblItems[ItemCode])-MIN(ROW(tblItems[ItemCode]))+1),ROWS(W$6:W37))),"")</f>
        <v/>
      </c>
      <c r="X37" s="70">
        <f t="array" ref="X37">IFERROR(INDEX(tblItems[ItemCode],SMALL(IF((tblItems[Zone]=X$4)*(tblItems[ItemCode]&lt;&gt;""),ROW(tblItems[ItemCode])-MIN(ROW(tblItems[ItemCode]))+1),ROWS(X$6:X37))),"")</f>
        <v/>
      </c>
      <c r="Y37" s="70">
        <f t="array" ref="Y37">IFERROR(INDEX(tblItems[ItemCode],SMALL(IF((tblItems[Zone]=Y$4)*(tblItems[ItemCode]&lt;&gt;""),ROW(tblItems[ItemCode])-MIN(ROW(tblItems[ItemCode]))+1),ROWS(Y$6:Y37))),"")</f>
        <v/>
      </c>
      <c r="Z37" s="70">
        <f t="array" ref="Z37">IFERROR(INDEX(tblItems[ItemCode],SMALL(IF((tblItems[Zone]=Z$4)*(tblItems[ItemCode]&lt;&gt;""),ROW(tblItems[ItemCode])-MIN(ROW(tblItems[ItemCode]))+1),ROWS(Z$6:Z37))),"")</f>
        <v/>
      </c>
      <c r="AA37" s="70">
        <f t="array" ref="AA37">IFERROR(INDEX(tblItems[ItemCode],SMALL(IF((tblItems[Zone]=AA$4)*(tblItems[ItemCode]&lt;&gt;""),ROW(tblItems[ItemCode])-MIN(ROW(tblItems[ItemCode]))+1),ROWS(AA$6:AA37))),"")</f>
        <v/>
      </c>
      <c r="AB37" s="70">
        <f t="array" ref="AB37">IFERROR(INDEX(tblItems[ItemCode],SMALL(IF((tblItems[Zone]=AB$4)*(tblItems[ItemCode]&lt;&gt;""),ROW(tblItems[ItemCode])-MIN(ROW(tblItems[ItemCode]))+1),ROWS(AB$6:AB37))),"")</f>
        <v/>
      </c>
      <c r="AC37" s="70">
        <f t="array" ref="AC37">IFERROR(INDEX(tblItems[ItemCode],SMALL(IF((tblItems[Zone]=AC$4)*(tblItems[ItemCode]&lt;&gt;""),ROW(tblItems[ItemCode])-MIN(ROW(tblItems[ItemCode]))+1),ROWS(AC$6:AC37))),"")</f>
        <v/>
      </c>
      <c r="AD37" s="70">
        <f t="array" ref="AD37">IFERROR(INDEX(tblItems[ItemCode],SMALL(IF((tblItems[Zone]=AD$4)*(tblItems[ItemCode]&lt;&gt;""),ROW(tblItems[ItemCode])-MIN(ROW(tblItems[ItemCode]))+1),ROWS(AD$6:AD37))),"")</f>
        <v/>
      </c>
      <c r="AE37" s="70">
        <f t="array" ref="AE37">IFERROR(INDEX(tblItems[ItemCode],SMALL(IF((tblItems[Zone]=AE$4)*(tblItems[ItemCode]&lt;&gt;""),ROW(tblItems[ItemCode])-MIN(ROW(tblItems[ItemCode]))+1),ROWS(AE$6:AE37))),"")</f>
        <v/>
      </c>
    </row>
    <row r="38">
      <c r="T38" s="70">
        <f t="array" ref="T38">IFERROR(INDEX(tblItems[ItemCode],SMALL(IF(tblItems[ItemCode]&lt;&gt;"",ROW(tblItems[ItemCode])-MIN(ROW(tblItems[ItemCode]))+1),ROWS(T$6:T38))),"")</f>
        <v/>
      </c>
      <c r="U38" s="70">
        <f t="array" ref="U38">IFERROR(INDEX(tblItems[ItemCode],SMALL(IF((tblItems[Zone]=U$4)*(tblItems[ItemCode]&lt;&gt;""),ROW(tblItems[ItemCode])-MIN(ROW(tblItems[ItemCode]))+1),ROWS(U$6:U38))),"")</f>
        <v/>
      </c>
      <c r="V38" s="70">
        <f t="array" ref="V38">IFERROR(INDEX(tblItems[ItemCode],SMALL(IF((tblItems[Zone]=V$4)*(tblItems[ItemCode]&lt;&gt;""),ROW(tblItems[ItemCode])-MIN(ROW(tblItems[ItemCode]))+1),ROWS(V$6:V38))),"")</f>
        <v/>
      </c>
      <c r="W38" s="70">
        <f t="array" ref="W38">IFERROR(INDEX(tblItems[ItemCode],SMALL(IF((tblItems[Zone]=W$4)*(tblItems[ItemCode]&lt;&gt;""),ROW(tblItems[ItemCode])-MIN(ROW(tblItems[ItemCode]))+1),ROWS(W$6:W38))),"")</f>
        <v/>
      </c>
      <c r="X38" s="70">
        <f t="array" ref="X38">IFERROR(INDEX(tblItems[ItemCode],SMALL(IF((tblItems[Zone]=X$4)*(tblItems[ItemCode]&lt;&gt;""),ROW(tblItems[ItemCode])-MIN(ROW(tblItems[ItemCode]))+1),ROWS(X$6:X38))),"")</f>
        <v/>
      </c>
      <c r="Y38" s="70">
        <f t="array" ref="Y38">IFERROR(INDEX(tblItems[ItemCode],SMALL(IF((tblItems[Zone]=Y$4)*(tblItems[ItemCode]&lt;&gt;""),ROW(tblItems[ItemCode])-MIN(ROW(tblItems[ItemCode]))+1),ROWS(Y$6:Y38))),"")</f>
        <v/>
      </c>
      <c r="Z38" s="70">
        <f t="array" ref="Z38">IFERROR(INDEX(tblItems[ItemCode],SMALL(IF((tblItems[Zone]=Z$4)*(tblItems[ItemCode]&lt;&gt;""),ROW(tblItems[ItemCode])-MIN(ROW(tblItems[ItemCode]))+1),ROWS(Z$6:Z38))),"")</f>
        <v/>
      </c>
      <c r="AA38" s="70">
        <f t="array" ref="AA38">IFERROR(INDEX(tblItems[ItemCode],SMALL(IF((tblItems[Zone]=AA$4)*(tblItems[ItemCode]&lt;&gt;""),ROW(tblItems[ItemCode])-MIN(ROW(tblItems[ItemCode]))+1),ROWS(AA$6:AA38))),"")</f>
        <v/>
      </c>
      <c r="AB38" s="70">
        <f t="array" ref="AB38">IFERROR(INDEX(tblItems[ItemCode],SMALL(IF((tblItems[Zone]=AB$4)*(tblItems[ItemCode]&lt;&gt;""),ROW(tblItems[ItemCode])-MIN(ROW(tblItems[ItemCode]))+1),ROWS(AB$6:AB38))),"")</f>
        <v/>
      </c>
      <c r="AC38" s="70">
        <f t="array" ref="AC38">IFERROR(INDEX(tblItems[ItemCode],SMALL(IF((tblItems[Zone]=AC$4)*(tblItems[ItemCode]&lt;&gt;""),ROW(tblItems[ItemCode])-MIN(ROW(tblItems[ItemCode]))+1),ROWS(AC$6:AC38))),"")</f>
        <v/>
      </c>
      <c r="AD38" s="70">
        <f t="array" ref="AD38">IFERROR(INDEX(tblItems[ItemCode],SMALL(IF((tblItems[Zone]=AD$4)*(tblItems[ItemCode]&lt;&gt;""),ROW(tblItems[ItemCode])-MIN(ROW(tblItems[ItemCode]))+1),ROWS(AD$6:AD38))),"")</f>
        <v/>
      </c>
      <c r="AE38" s="70">
        <f t="array" ref="AE38">IFERROR(INDEX(tblItems[ItemCode],SMALL(IF((tblItems[Zone]=AE$4)*(tblItems[ItemCode]&lt;&gt;""),ROW(tblItems[ItemCode])-MIN(ROW(tblItems[ItemCode]))+1),ROWS(AE$6:AE38))),"")</f>
        <v/>
      </c>
    </row>
    <row r="39">
      <c r="T39" s="70">
        <f t="array" ref="T39">IFERROR(INDEX(tblItems[ItemCode],SMALL(IF(tblItems[ItemCode]&lt;&gt;"",ROW(tblItems[ItemCode])-MIN(ROW(tblItems[ItemCode]))+1),ROWS(T$6:T39))),"")</f>
        <v/>
      </c>
      <c r="U39" s="70">
        <f t="array" ref="U39">IFERROR(INDEX(tblItems[ItemCode],SMALL(IF((tblItems[Zone]=U$4)*(tblItems[ItemCode]&lt;&gt;""),ROW(tblItems[ItemCode])-MIN(ROW(tblItems[ItemCode]))+1),ROWS(U$6:U39))),"")</f>
        <v/>
      </c>
      <c r="V39" s="70">
        <f t="array" ref="V39">IFERROR(INDEX(tblItems[ItemCode],SMALL(IF((tblItems[Zone]=V$4)*(tblItems[ItemCode]&lt;&gt;""),ROW(tblItems[ItemCode])-MIN(ROW(tblItems[ItemCode]))+1),ROWS(V$6:V39))),"")</f>
        <v/>
      </c>
      <c r="W39" s="70">
        <f t="array" ref="W39">IFERROR(INDEX(tblItems[ItemCode],SMALL(IF((tblItems[Zone]=W$4)*(tblItems[ItemCode]&lt;&gt;""),ROW(tblItems[ItemCode])-MIN(ROW(tblItems[ItemCode]))+1),ROWS(W$6:W39))),"")</f>
        <v/>
      </c>
      <c r="X39" s="70">
        <f t="array" ref="X39">IFERROR(INDEX(tblItems[ItemCode],SMALL(IF((tblItems[Zone]=X$4)*(tblItems[ItemCode]&lt;&gt;""),ROW(tblItems[ItemCode])-MIN(ROW(tblItems[ItemCode]))+1),ROWS(X$6:X39))),"")</f>
        <v/>
      </c>
      <c r="Y39" s="70">
        <f t="array" ref="Y39">IFERROR(INDEX(tblItems[ItemCode],SMALL(IF((tblItems[Zone]=Y$4)*(tblItems[ItemCode]&lt;&gt;""),ROW(tblItems[ItemCode])-MIN(ROW(tblItems[ItemCode]))+1),ROWS(Y$6:Y39))),"")</f>
        <v/>
      </c>
      <c r="Z39" s="70">
        <f t="array" ref="Z39">IFERROR(INDEX(tblItems[ItemCode],SMALL(IF((tblItems[Zone]=Z$4)*(tblItems[ItemCode]&lt;&gt;""),ROW(tblItems[ItemCode])-MIN(ROW(tblItems[ItemCode]))+1),ROWS(Z$6:Z39))),"")</f>
        <v/>
      </c>
      <c r="AA39" s="70">
        <f t="array" ref="AA39">IFERROR(INDEX(tblItems[ItemCode],SMALL(IF((tblItems[Zone]=AA$4)*(tblItems[ItemCode]&lt;&gt;""),ROW(tblItems[ItemCode])-MIN(ROW(tblItems[ItemCode]))+1),ROWS(AA$6:AA39))),"")</f>
        <v/>
      </c>
      <c r="AB39" s="70">
        <f t="array" ref="AB39">IFERROR(INDEX(tblItems[ItemCode],SMALL(IF((tblItems[Zone]=AB$4)*(tblItems[ItemCode]&lt;&gt;""),ROW(tblItems[ItemCode])-MIN(ROW(tblItems[ItemCode]))+1),ROWS(AB$6:AB39))),"")</f>
        <v/>
      </c>
      <c r="AC39" s="70">
        <f t="array" ref="AC39">IFERROR(INDEX(tblItems[ItemCode],SMALL(IF((tblItems[Zone]=AC$4)*(tblItems[ItemCode]&lt;&gt;""),ROW(tblItems[ItemCode])-MIN(ROW(tblItems[ItemCode]))+1),ROWS(AC$6:AC39))),"")</f>
        <v/>
      </c>
      <c r="AD39" s="70">
        <f t="array" ref="AD39">IFERROR(INDEX(tblItems[ItemCode],SMALL(IF((tblItems[Zone]=AD$4)*(tblItems[ItemCode]&lt;&gt;""),ROW(tblItems[ItemCode])-MIN(ROW(tblItems[ItemCode]))+1),ROWS(AD$6:AD39))),"")</f>
        <v/>
      </c>
      <c r="AE39" s="70">
        <f t="array" ref="AE39">IFERROR(INDEX(tblItems[ItemCode],SMALL(IF((tblItems[Zone]=AE$4)*(tblItems[ItemCode]&lt;&gt;""),ROW(tblItems[ItemCode])-MIN(ROW(tblItems[ItemCode]))+1),ROWS(AE$6:AE39))),"")</f>
        <v/>
      </c>
    </row>
    <row r="40">
      <c r="T40" s="70">
        <f t="array" ref="T40">IFERROR(INDEX(tblItems[ItemCode],SMALL(IF(tblItems[ItemCode]&lt;&gt;"",ROW(tblItems[ItemCode])-MIN(ROW(tblItems[ItemCode]))+1),ROWS(T$6:T40))),"")</f>
        <v/>
      </c>
      <c r="U40" s="70">
        <f t="array" ref="U40">IFERROR(INDEX(tblItems[ItemCode],SMALL(IF((tblItems[Zone]=U$4)*(tblItems[ItemCode]&lt;&gt;""),ROW(tblItems[ItemCode])-MIN(ROW(tblItems[ItemCode]))+1),ROWS(U$6:U40))),"")</f>
        <v/>
      </c>
      <c r="V40" s="70">
        <f t="array" ref="V40">IFERROR(INDEX(tblItems[ItemCode],SMALL(IF((tblItems[Zone]=V$4)*(tblItems[ItemCode]&lt;&gt;""),ROW(tblItems[ItemCode])-MIN(ROW(tblItems[ItemCode]))+1),ROWS(V$6:V40))),"")</f>
        <v/>
      </c>
      <c r="W40" s="70">
        <f t="array" ref="W40">IFERROR(INDEX(tblItems[ItemCode],SMALL(IF((tblItems[Zone]=W$4)*(tblItems[ItemCode]&lt;&gt;""),ROW(tblItems[ItemCode])-MIN(ROW(tblItems[ItemCode]))+1),ROWS(W$6:W40))),"")</f>
        <v/>
      </c>
      <c r="X40" s="70">
        <f t="array" ref="X40">IFERROR(INDEX(tblItems[ItemCode],SMALL(IF((tblItems[Zone]=X$4)*(tblItems[ItemCode]&lt;&gt;""),ROW(tblItems[ItemCode])-MIN(ROW(tblItems[ItemCode]))+1),ROWS(X$6:X40))),"")</f>
        <v/>
      </c>
      <c r="Y40" s="70">
        <f t="array" ref="Y40">IFERROR(INDEX(tblItems[ItemCode],SMALL(IF((tblItems[Zone]=Y$4)*(tblItems[ItemCode]&lt;&gt;""),ROW(tblItems[ItemCode])-MIN(ROW(tblItems[ItemCode]))+1),ROWS(Y$6:Y40))),"")</f>
        <v/>
      </c>
      <c r="Z40" s="70">
        <f t="array" ref="Z40">IFERROR(INDEX(tblItems[ItemCode],SMALL(IF((tblItems[Zone]=Z$4)*(tblItems[ItemCode]&lt;&gt;""),ROW(tblItems[ItemCode])-MIN(ROW(tblItems[ItemCode]))+1),ROWS(Z$6:Z40))),"")</f>
        <v/>
      </c>
      <c r="AA40" s="70">
        <f t="array" ref="AA40">IFERROR(INDEX(tblItems[ItemCode],SMALL(IF((tblItems[Zone]=AA$4)*(tblItems[ItemCode]&lt;&gt;""),ROW(tblItems[ItemCode])-MIN(ROW(tblItems[ItemCode]))+1),ROWS(AA$6:AA40))),"")</f>
        <v/>
      </c>
      <c r="AB40" s="70">
        <f t="array" ref="AB40">IFERROR(INDEX(tblItems[ItemCode],SMALL(IF((tblItems[Zone]=AB$4)*(tblItems[ItemCode]&lt;&gt;""),ROW(tblItems[ItemCode])-MIN(ROW(tblItems[ItemCode]))+1),ROWS(AB$6:AB40))),"")</f>
        <v/>
      </c>
      <c r="AC40" s="70">
        <f t="array" ref="AC40">IFERROR(INDEX(tblItems[ItemCode],SMALL(IF((tblItems[Zone]=AC$4)*(tblItems[ItemCode]&lt;&gt;""),ROW(tblItems[ItemCode])-MIN(ROW(tblItems[ItemCode]))+1),ROWS(AC$6:AC40))),"")</f>
        <v/>
      </c>
      <c r="AD40" s="70">
        <f t="array" ref="AD40">IFERROR(INDEX(tblItems[ItemCode],SMALL(IF((tblItems[Zone]=AD$4)*(tblItems[ItemCode]&lt;&gt;""),ROW(tblItems[ItemCode])-MIN(ROW(tblItems[ItemCode]))+1),ROWS(AD$6:AD40))),"")</f>
        <v/>
      </c>
      <c r="AE40" s="70">
        <f t="array" ref="AE40">IFERROR(INDEX(tblItems[ItemCode],SMALL(IF((tblItems[Zone]=AE$4)*(tblItems[ItemCode]&lt;&gt;""),ROW(tblItems[ItemCode])-MIN(ROW(tblItems[ItemCode]))+1),ROWS(AE$6:AE40))),"")</f>
        <v/>
      </c>
    </row>
    <row r="41">
      <c r="T41" s="70">
        <f t="array" ref="T41">IFERROR(INDEX(tblItems[ItemCode],SMALL(IF(tblItems[ItemCode]&lt;&gt;"",ROW(tblItems[ItemCode])-MIN(ROW(tblItems[ItemCode]))+1),ROWS(T$6:T41))),"")</f>
        <v/>
      </c>
      <c r="U41" s="70">
        <f t="array" ref="U41">IFERROR(INDEX(tblItems[ItemCode],SMALL(IF((tblItems[Zone]=U$4)*(tblItems[ItemCode]&lt;&gt;""),ROW(tblItems[ItemCode])-MIN(ROW(tblItems[ItemCode]))+1),ROWS(U$6:U41))),"")</f>
        <v/>
      </c>
      <c r="V41" s="70">
        <f t="array" ref="V41">IFERROR(INDEX(tblItems[ItemCode],SMALL(IF((tblItems[Zone]=V$4)*(tblItems[ItemCode]&lt;&gt;""),ROW(tblItems[ItemCode])-MIN(ROW(tblItems[ItemCode]))+1),ROWS(V$6:V41))),"")</f>
        <v/>
      </c>
      <c r="W41" s="70">
        <f t="array" ref="W41">IFERROR(INDEX(tblItems[ItemCode],SMALL(IF((tblItems[Zone]=W$4)*(tblItems[ItemCode]&lt;&gt;""),ROW(tblItems[ItemCode])-MIN(ROW(tblItems[ItemCode]))+1),ROWS(W$6:W41))),"")</f>
        <v/>
      </c>
      <c r="X41" s="70">
        <f t="array" ref="X41">IFERROR(INDEX(tblItems[ItemCode],SMALL(IF((tblItems[Zone]=X$4)*(tblItems[ItemCode]&lt;&gt;""),ROW(tblItems[ItemCode])-MIN(ROW(tblItems[ItemCode]))+1),ROWS(X$6:X41))),"")</f>
        <v/>
      </c>
      <c r="Y41" s="70">
        <f t="array" ref="Y41">IFERROR(INDEX(tblItems[ItemCode],SMALL(IF((tblItems[Zone]=Y$4)*(tblItems[ItemCode]&lt;&gt;""),ROW(tblItems[ItemCode])-MIN(ROW(tblItems[ItemCode]))+1),ROWS(Y$6:Y41))),"")</f>
        <v/>
      </c>
      <c r="Z41" s="70">
        <f t="array" ref="Z41">IFERROR(INDEX(tblItems[ItemCode],SMALL(IF((tblItems[Zone]=Z$4)*(tblItems[ItemCode]&lt;&gt;""),ROW(tblItems[ItemCode])-MIN(ROW(tblItems[ItemCode]))+1),ROWS(Z$6:Z41))),"")</f>
        <v/>
      </c>
      <c r="AA41" s="70">
        <f t="array" ref="AA41">IFERROR(INDEX(tblItems[ItemCode],SMALL(IF((tblItems[Zone]=AA$4)*(tblItems[ItemCode]&lt;&gt;""),ROW(tblItems[ItemCode])-MIN(ROW(tblItems[ItemCode]))+1),ROWS(AA$6:AA41))),"")</f>
        <v/>
      </c>
      <c r="AB41" s="70">
        <f t="array" ref="AB41">IFERROR(INDEX(tblItems[ItemCode],SMALL(IF((tblItems[Zone]=AB$4)*(tblItems[ItemCode]&lt;&gt;""),ROW(tblItems[ItemCode])-MIN(ROW(tblItems[ItemCode]))+1),ROWS(AB$6:AB41))),"")</f>
        <v/>
      </c>
      <c r="AC41" s="70">
        <f t="array" ref="AC41">IFERROR(INDEX(tblItems[ItemCode],SMALL(IF((tblItems[Zone]=AC$4)*(tblItems[ItemCode]&lt;&gt;""),ROW(tblItems[ItemCode])-MIN(ROW(tblItems[ItemCode]))+1),ROWS(AC$6:AC41))),"")</f>
        <v/>
      </c>
      <c r="AD41" s="70">
        <f t="array" ref="AD41">IFERROR(INDEX(tblItems[ItemCode],SMALL(IF((tblItems[Zone]=AD$4)*(tblItems[ItemCode]&lt;&gt;""),ROW(tblItems[ItemCode])-MIN(ROW(tblItems[ItemCode]))+1),ROWS(AD$6:AD41))),"")</f>
        <v/>
      </c>
      <c r="AE41" s="70">
        <f t="array" ref="AE41">IFERROR(INDEX(tblItems[ItemCode],SMALL(IF((tblItems[Zone]=AE$4)*(tblItems[ItemCode]&lt;&gt;""),ROW(tblItems[ItemCode])-MIN(ROW(tblItems[ItemCode]))+1),ROWS(AE$6:AE41))),"")</f>
        <v/>
      </c>
    </row>
    <row r="42">
      <c r="T42" s="70">
        <f t="array" ref="T42">IFERROR(INDEX(tblItems[ItemCode],SMALL(IF(tblItems[ItemCode]&lt;&gt;"",ROW(tblItems[ItemCode])-MIN(ROW(tblItems[ItemCode]))+1),ROWS(T$6:T42))),"")</f>
        <v/>
      </c>
      <c r="U42" s="70">
        <f t="array" ref="U42">IFERROR(INDEX(tblItems[ItemCode],SMALL(IF((tblItems[Zone]=U$4)*(tblItems[ItemCode]&lt;&gt;""),ROW(tblItems[ItemCode])-MIN(ROW(tblItems[ItemCode]))+1),ROWS(U$6:U42))),"")</f>
        <v/>
      </c>
      <c r="V42" s="70">
        <f t="array" ref="V42">IFERROR(INDEX(tblItems[ItemCode],SMALL(IF((tblItems[Zone]=V$4)*(tblItems[ItemCode]&lt;&gt;""),ROW(tblItems[ItemCode])-MIN(ROW(tblItems[ItemCode]))+1),ROWS(V$6:V42))),"")</f>
        <v/>
      </c>
      <c r="W42" s="70">
        <f t="array" ref="W42">IFERROR(INDEX(tblItems[ItemCode],SMALL(IF((tblItems[Zone]=W$4)*(tblItems[ItemCode]&lt;&gt;""),ROW(tblItems[ItemCode])-MIN(ROW(tblItems[ItemCode]))+1),ROWS(W$6:W42))),"")</f>
        <v/>
      </c>
      <c r="X42" s="70">
        <f t="array" ref="X42">IFERROR(INDEX(tblItems[ItemCode],SMALL(IF((tblItems[Zone]=X$4)*(tblItems[ItemCode]&lt;&gt;""),ROW(tblItems[ItemCode])-MIN(ROW(tblItems[ItemCode]))+1),ROWS(X$6:X42))),"")</f>
        <v/>
      </c>
      <c r="Y42" s="70">
        <f t="array" ref="Y42">IFERROR(INDEX(tblItems[ItemCode],SMALL(IF((tblItems[Zone]=Y$4)*(tblItems[ItemCode]&lt;&gt;""),ROW(tblItems[ItemCode])-MIN(ROW(tblItems[ItemCode]))+1),ROWS(Y$6:Y42))),"")</f>
        <v/>
      </c>
      <c r="Z42" s="70">
        <f t="array" ref="Z42">IFERROR(INDEX(tblItems[ItemCode],SMALL(IF((tblItems[Zone]=Z$4)*(tblItems[ItemCode]&lt;&gt;""),ROW(tblItems[ItemCode])-MIN(ROW(tblItems[ItemCode]))+1),ROWS(Z$6:Z42))),"")</f>
        <v/>
      </c>
      <c r="AA42" s="70">
        <f t="array" ref="AA42">IFERROR(INDEX(tblItems[ItemCode],SMALL(IF((tblItems[Zone]=AA$4)*(tblItems[ItemCode]&lt;&gt;""),ROW(tblItems[ItemCode])-MIN(ROW(tblItems[ItemCode]))+1),ROWS(AA$6:AA42))),"")</f>
        <v/>
      </c>
      <c r="AB42" s="70">
        <f t="array" ref="AB42">IFERROR(INDEX(tblItems[ItemCode],SMALL(IF((tblItems[Zone]=AB$4)*(tblItems[ItemCode]&lt;&gt;""),ROW(tblItems[ItemCode])-MIN(ROW(tblItems[ItemCode]))+1),ROWS(AB$6:AB42))),"")</f>
        <v/>
      </c>
      <c r="AC42" s="70">
        <f t="array" ref="AC42">IFERROR(INDEX(tblItems[ItemCode],SMALL(IF((tblItems[Zone]=AC$4)*(tblItems[ItemCode]&lt;&gt;""),ROW(tblItems[ItemCode])-MIN(ROW(tblItems[ItemCode]))+1),ROWS(AC$6:AC42))),"")</f>
        <v/>
      </c>
      <c r="AD42" s="70">
        <f t="array" ref="AD42">IFERROR(INDEX(tblItems[ItemCode],SMALL(IF((tblItems[Zone]=AD$4)*(tblItems[ItemCode]&lt;&gt;""),ROW(tblItems[ItemCode])-MIN(ROW(tblItems[ItemCode]))+1),ROWS(AD$6:AD42))),"")</f>
        <v/>
      </c>
      <c r="AE42" s="70">
        <f t="array" ref="AE42">IFERROR(INDEX(tblItems[ItemCode],SMALL(IF((tblItems[Zone]=AE$4)*(tblItems[ItemCode]&lt;&gt;""),ROW(tblItems[ItemCode])-MIN(ROW(tblItems[ItemCode]))+1),ROWS(AE$6:AE42))),"")</f>
        <v/>
      </c>
    </row>
    <row r="43">
      <c r="T43" s="70">
        <f t="array" ref="T43">IFERROR(INDEX(tblItems[ItemCode],SMALL(IF(tblItems[ItemCode]&lt;&gt;"",ROW(tblItems[ItemCode])-MIN(ROW(tblItems[ItemCode]))+1),ROWS(T$6:T43))),"")</f>
        <v/>
      </c>
      <c r="U43" s="70">
        <f t="array" ref="U43">IFERROR(INDEX(tblItems[ItemCode],SMALL(IF((tblItems[Zone]=U$4)*(tblItems[ItemCode]&lt;&gt;""),ROW(tblItems[ItemCode])-MIN(ROW(tblItems[ItemCode]))+1),ROWS(U$6:U43))),"")</f>
        <v/>
      </c>
      <c r="V43" s="70">
        <f t="array" ref="V43">IFERROR(INDEX(tblItems[ItemCode],SMALL(IF((tblItems[Zone]=V$4)*(tblItems[ItemCode]&lt;&gt;""),ROW(tblItems[ItemCode])-MIN(ROW(tblItems[ItemCode]))+1),ROWS(V$6:V43))),"")</f>
        <v/>
      </c>
      <c r="W43" s="70">
        <f t="array" ref="W43">IFERROR(INDEX(tblItems[ItemCode],SMALL(IF((tblItems[Zone]=W$4)*(tblItems[ItemCode]&lt;&gt;""),ROW(tblItems[ItemCode])-MIN(ROW(tblItems[ItemCode]))+1),ROWS(W$6:W43))),"")</f>
        <v/>
      </c>
      <c r="X43" s="70">
        <f t="array" ref="X43">IFERROR(INDEX(tblItems[ItemCode],SMALL(IF((tblItems[Zone]=X$4)*(tblItems[ItemCode]&lt;&gt;""),ROW(tblItems[ItemCode])-MIN(ROW(tblItems[ItemCode]))+1),ROWS(X$6:X43))),"")</f>
        <v/>
      </c>
      <c r="Y43" s="70">
        <f t="array" ref="Y43">IFERROR(INDEX(tblItems[ItemCode],SMALL(IF((tblItems[Zone]=Y$4)*(tblItems[ItemCode]&lt;&gt;""),ROW(tblItems[ItemCode])-MIN(ROW(tblItems[ItemCode]))+1),ROWS(Y$6:Y43))),"")</f>
        <v/>
      </c>
      <c r="Z43" s="70">
        <f t="array" ref="Z43">IFERROR(INDEX(tblItems[ItemCode],SMALL(IF((tblItems[Zone]=Z$4)*(tblItems[ItemCode]&lt;&gt;""),ROW(tblItems[ItemCode])-MIN(ROW(tblItems[ItemCode]))+1),ROWS(Z$6:Z43))),"")</f>
        <v/>
      </c>
      <c r="AA43" s="70">
        <f t="array" ref="AA43">IFERROR(INDEX(tblItems[ItemCode],SMALL(IF((tblItems[Zone]=AA$4)*(tblItems[ItemCode]&lt;&gt;""),ROW(tblItems[ItemCode])-MIN(ROW(tblItems[ItemCode]))+1),ROWS(AA$6:AA43))),"")</f>
        <v/>
      </c>
      <c r="AB43" s="70">
        <f t="array" ref="AB43">IFERROR(INDEX(tblItems[ItemCode],SMALL(IF((tblItems[Zone]=AB$4)*(tblItems[ItemCode]&lt;&gt;""),ROW(tblItems[ItemCode])-MIN(ROW(tblItems[ItemCode]))+1),ROWS(AB$6:AB43))),"")</f>
        <v/>
      </c>
      <c r="AC43" s="70">
        <f t="array" ref="AC43">IFERROR(INDEX(tblItems[ItemCode],SMALL(IF((tblItems[Zone]=AC$4)*(tblItems[ItemCode]&lt;&gt;""),ROW(tblItems[ItemCode])-MIN(ROW(tblItems[ItemCode]))+1),ROWS(AC$6:AC43))),"")</f>
        <v/>
      </c>
      <c r="AD43" s="70">
        <f t="array" ref="AD43">IFERROR(INDEX(tblItems[ItemCode],SMALL(IF((tblItems[Zone]=AD$4)*(tblItems[ItemCode]&lt;&gt;""),ROW(tblItems[ItemCode])-MIN(ROW(tblItems[ItemCode]))+1),ROWS(AD$6:AD43))),"")</f>
        <v/>
      </c>
      <c r="AE43" s="70">
        <f t="array" ref="AE43">IFERROR(INDEX(tblItems[ItemCode],SMALL(IF((tblItems[Zone]=AE$4)*(tblItems[ItemCode]&lt;&gt;""),ROW(tblItems[ItemCode])-MIN(ROW(tblItems[ItemCode]))+1),ROWS(AE$6:AE43))),"")</f>
        <v/>
      </c>
    </row>
    <row r="44">
      <c r="T44" s="70">
        <f t="array" ref="T44">IFERROR(INDEX(tblItems[ItemCode],SMALL(IF(tblItems[ItemCode]&lt;&gt;"",ROW(tblItems[ItemCode])-MIN(ROW(tblItems[ItemCode]))+1),ROWS(T$6:T44))),"")</f>
        <v/>
      </c>
      <c r="U44" s="70">
        <f t="array" ref="U44">IFERROR(INDEX(tblItems[ItemCode],SMALL(IF((tblItems[Zone]=U$4)*(tblItems[ItemCode]&lt;&gt;""),ROW(tblItems[ItemCode])-MIN(ROW(tblItems[ItemCode]))+1),ROWS(U$6:U44))),"")</f>
        <v/>
      </c>
      <c r="V44" s="70">
        <f t="array" ref="V44">IFERROR(INDEX(tblItems[ItemCode],SMALL(IF((tblItems[Zone]=V$4)*(tblItems[ItemCode]&lt;&gt;""),ROW(tblItems[ItemCode])-MIN(ROW(tblItems[ItemCode]))+1),ROWS(V$6:V44))),"")</f>
        <v/>
      </c>
      <c r="W44" s="70">
        <f t="array" ref="W44">IFERROR(INDEX(tblItems[ItemCode],SMALL(IF((tblItems[Zone]=W$4)*(tblItems[ItemCode]&lt;&gt;""),ROW(tblItems[ItemCode])-MIN(ROW(tblItems[ItemCode]))+1),ROWS(W$6:W44))),"")</f>
        <v/>
      </c>
      <c r="X44" s="70">
        <f t="array" ref="X44">IFERROR(INDEX(tblItems[ItemCode],SMALL(IF((tblItems[Zone]=X$4)*(tblItems[ItemCode]&lt;&gt;""),ROW(tblItems[ItemCode])-MIN(ROW(tblItems[ItemCode]))+1),ROWS(X$6:X44))),"")</f>
        <v/>
      </c>
      <c r="Y44" s="70">
        <f t="array" ref="Y44">IFERROR(INDEX(tblItems[ItemCode],SMALL(IF((tblItems[Zone]=Y$4)*(tblItems[ItemCode]&lt;&gt;""),ROW(tblItems[ItemCode])-MIN(ROW(tblItems[ItemCode]))+1),ROWS(Y$6:Y44))),"")</f>
        <v/>
      </c>
      <c r="Z44" s="70">
        <f t="array" ref="Z44">IFERROR(INDEX(tblItems[ItemCode],SMALL(IF((tblItems[Zone]=Z$4)*(tblItems[ItemCode]&lt;&gt;""),ROW(tblItems[ItemCode])-MIN(ROW(tblItems[ItemCode]))+1),ROWS(Z$6:Z44))),"")</f>
        <v/>
      </c>
      <c r="AA44" s="70">
        <f t="array" ref="AA44">IFERROR(INDEX(tblItems[ItemCode],SMALL(IF((tblItems[Zone]=AA$4)*(tblItems[ItemCode]&lt;&gt;""),ROW(tblItems[ItemCode])-MIN(ROW(tblItems[ItemCode]))+1),ROWS(AA$6:AA44))),"")</f>
        <v/>
      </c>
      <c r="AB44" s="70">
        <f t="array" ref="AB44">IFERROR(INDEX(tblItems[ItemCode],SMALL(IF((tblItems[Zone]=AB$4)*(tblItems[ItemCode]&lt;&gt;""),ROW(tblItems[ItemCode])-MIN(ROW(tblItems[ItemCode]))+1),ROWS(AB$6:AB44))),"")</f>
        <v/>
      </c>
      <c r="AC44" s="70">
        <f t="array" ref="AC44">IFERROR(INDEX(tblItems[ItemCode],SMALL(IF((tblItems[Zone]=AC$4)*(tblItems[ItemCode]&lt;&gt;""),ROW(tblItems[ItemCode])-MIN(ROW(tblItems[ItemCode]))+1),ROWS(AC$6:AC44))),"")</f>
        <v/>
      </c>
      <c r="AD44" s="70">
        <f t="array" ref="AD44">IFERROR(INDEX(tblItems[ItemCode],SMALL(IF((tblItems[Zone]=AD$4)*(tblItems[ItemCode]&lt;&gt;""),ROW(tblItems[ItemCode])-MIN(ROW(tblItems[ItemCode]))+1),ROWS(AD$6:AD44))),"")</f>
        <v/>
      </c>
      <c r="AE44" s="70">
        <f t="array" ref="AE44">IFERROR(INDEX(tblItems[ItemCode],SMALL(IF((tblItems[Zone]=AE$4)*(tblItems[ItemCode]&lt;&gt;""),ROW(tblItems[ItemCode])-MIN(ROW(tblItems[ItemCode]))+1),ROWS(AE$6:AE44))),"")</f>
        <v/>
      </c>
    </row>
    <row r="45">
      <c r="T45" s="70">
        <f t="array" ref="T45">IFERROR(INDEX(tblItems[ItemCode],SMALL(IF(tblItems[ItemCode]&lt;&gt;"",ROW(tblItems[ItemCode])-MIN(ROW(tblItems[ItemCode]))+1),ROWS(T$6:T45))),"")</f>
        <v/>
      </c>
      <c r="U45" s="70">
        <f t="array" ref="U45">IFERROR(INDEX(tblItems[ItemCode],SMALL(IF((tblItems[Zone]=U$4)*(tblItems[ItemCode]&lt;&gt;""),ROW(tblItems[ItemCode])-MIN(ROW(tblItems[ItemCode]))+1),ROWS(U$6:U45))),"")</f>
        <v/>
      </c>
      <c r="V45" s="70">
        <f t="array" ref="V45">IFERROR(INDEX(tblItems[ItemCode],SMALL(IF((tblItems[Zone]=V$4)*(tblItems[ItemCode]&lt;&gt;""),ROW(tblItems[ItemCode])-MIN(ROW(tblItems[ItemCode]))+1),ROWS(V$6:V45))),"")</f>
        <v/>
      </c>
      <c r="W45" s="70">
        <f t="array" ref="W45">IFERROR(INDEX(tblItems[ItemCode],SMALL(IF((tblItems[Zone]=W$4)*(tblItems[ItemCode]&lt;&gt;""),ROW(tblItems[ItemCode])-MIN(ROW(tblItems[ItemCode]))+1),ROWS(W$6:W45))),"")</f>
        <v/>
      </c>
      <c r="X45" s="70">
        <f t="array" ref="X45">IFERROR(INDEX(tblItems[ItemCode],SMALL(IF((tblItems[Zone]=X$4)*(tblItems[ItemCode]&lt;&gt;""),ROW(tblItems[ItemCode])-MIN(ROW(tblItems[ItemCode]))+1),ROWS(X$6:X45))),"")</f>
        <v/>
      </c>
      <c r="Y45" s="70">
        <f t="array" ref="Y45">IFERROR(INDEX(tblItems[ItemCode],SMALL(IF((tblItems[Zone]=Y$4)*(tblItems[ItemCode]&lt;&gt;""),ROW(tblItems[ItemCode])-MIN(ROW(tblItems[ItemCode]))+1),ROWS(Y$6:Y45))),"")</f>
        <v/>
      </c>
      <c r="Z45" s="70">
        <f t="array" ref="Z45">IFERROR(INDEX(tblItems[ItemCode],SMALL(IF((tblItems[Zone]=Z$4)*(tblItems[ItemCode]&lt;&gt;""),ROW(tblItems[ItemCode])-MIN(ROW(tblItems[ItemCode]))+1),ROWS(Z$6:Z45))),"")</f>
        <v/>
      </c>
      <c r="AA45" s="70">
        <f t="array" ref="AA45">IFERROR(INDEX(tblItems[ItemCode],SMALL(IF((tblItems[Zone]=AA$4)*(tblItems[ItemCode]&lt;&gt;""),ROW(tblItems[ItemCode])-MIN(ROW(tblItems[ItemCode]))+1),ROWS(AA$6:AA45))),"")</f>
        <v/>
      </c>
      <c r="AB45" s="70">
        <f t="array" ref="AB45">IFERROR(INDEX(tblItems[ItemCode],SMALL(IF((tblItems[Zone]=AB$4)*(tblItems[ItemCode]&lt;&gt;""),ROW(tblItems[ItemCode])-MIN(ROW(tblItems[ItemCode]))+1),ROWS(AB$6:AB45))),"")</f>
        <v/>
      </c>
      <c r="AC45" s="70">
        <f t="array" ref="AC45">IFERROR(INDEX(tblItems[ItemCode],SMALL(IF((tblItems[Zone]=AC$4)*(tblItems[ItemCode]&lt;&gt;""),ROW(tblItems[ItemCode])-MIN(ROW(tblItems[ItemCode]))+1),ROWS(AC$6:AC45))),"")</f>
        <v/>
      </c>
      <c r="AD45" s="70">
        <f t="array" ref="AD45">IFERROR(INDEX(tblItems[ItemCode],SMALL(IF((tblItems[Zone]=AD$4)*(tblItems[ItemCode]&lt;&gt;""),ROW(tblItems[ItemCode])-MIN(ROW(tblItems[ItemCode]))+1),ROWS(AD$6:AD45))),"")</f>
        <v/>
      </c>
      <c r="AE45" s="70">
        <f t="array" ref="AE45">IFERROR(INDEX(tblItems[ItemCode],SMALL(IF((tblItems[Zone]=AE$4)*(tblItems[ItemCode]&lt;&gt;""),ROW(tblItems[ItemCode])-MIN(ROW(tblItems[ItemCode]))+1),ROWS(AE$6:AE45))),"")</f>
        <v/>
      </c>
    </row>
    <row r="46">
      <c r="T46" s="70">
        <f t="array" ref="T46">IFERROR(INDEX(tblItems[ItemCode],SMALL(IF(tblItems[ItemCode]&lt;&gt;"",ROW(tblItems[ItemCode])-MIN(ROW(tblItems[ItemCode]))+1),ROWS(T$6:T46))),"")</f>
        <v/>
      </c>
      <c r="U46" s="70">
        <f t="array" ref="U46">IFERROR(INDEX(tblItems[ItemCode],SMALL(IF((tblItems[Zone]=U$4)*(tblItems[ItemCode]&lt;&gt;""),ROW(tblItems[ItemCode])-MIN(ROW(tblItems[ItemCode]))+1),ROWS(U$6:U46))),"")</f>
        <v/>
      </c>
      <c r="V46" s="70">
        <f t="array" ref="V46">IFERROR(INDEX(tblItems[ItemCode],SMALL(IF((tblItems[Zone]=V$4)*(tblItems[ItemCode]&lt;&gt;""),ROW(tblItems[ItemCode])-MIN(ROW(tblItems[ItemCode]))+1),ROWS(V$6:V46))),"")</f>
        <v/>
      </c>
      <c r="W46" s="70">
        <f t="array" ref="W46">IFERROR(INDEX(tblItems[ItemCode],SMALL(IF((tblItems[Zone]=W$4)*(tblItems[ItemCode]&lt;&gt;""),ROW(tblItems[ItemCode])-MIN(ROW(tblItems[ItemCode]))+1),ROWS(W$6:W46))),"")</f>
        <v/>
      </c>
      <c r="X46" s="70">
        <f t="array" ref="X46">IFERROR(INDEX(tblItems[ItemCode],SMALL(IF((tblItems[Zone]=X$4)*(tblItems[ItemCode]&lt;&gt;""),ROW(tblItems[ItemCode])-MIN(ROW(tblItems[ItemCode]))+1),ROWS(X$6:X46))),"")</f>
        <v/>
      </c>
      <c r="Y46" s="70">
        <f t="array" ref="Y46">IFERROR(INDEX(tblItems[ItemCode],SMALL(IF((tblItems[Zone]=Y$4)*(tblItems[ItemCode]&lt;&gt;""),ROW(tblItems[ItemCode])-MIN(ROW(tblItems[ItemCode]))+1),ROWS(Y$6:Y46))),"")</f>
        <v/>
      </c>
      <c r="Z46" s="70">
        <f t="array" ref="Z46">IFERROR(INDEX(tblItems[ItemCode],SMALL(IF((tblItems[Zone]=Z$4)*(tblItems[ItemCode]&lt;&gt;""),ROW(tblItems[ItemCode])-MIN(ROW(tblItems[ItemCode]))+1),ROWS(Z$6:Z46))),"")</f>
        <v/>
      </c>
      <c r="AA46" s="70">
        <f t="array" ref="AA46">IFERROR(INDEX(tblItems[ItemCode],SMALL(IF((tblItems[Zone]=AA$4)*(tblItems[ItemCode]&lt;&gt;""),ROW(tblItems[ItemCode])-MIN(ROW(tblItems[ItemCode]))+1),ROWS(AA$6:AA46))),"")</f>
        <v/>
      </c>
      <c r="AB46" s="70">
        <f t="array" ref="AB46">IFERROR(INDEX(tblItems[ItemCode],SMALL(IF((tblItems[Zone]=AB$4)*(tblItems[ItemCode]&lt;&gt;""),ROW(tblItems[ItemCode])-MIN(ROW(tblItems[ItemCode]))+1),ROWS(AB$6:AB46))),"")</f>
        <v/>
      </c>
      <c r="AC46" s="70">
        <f t="array" ref="AC46">IFERROR(INDEX(tblItems[ItemCode],SMALL(IF((tblItems[Zone]=AC$4)*(tblItems[ItemCode]&lt;&gt;""),ROW(tblItems[ItemCode])-MIN(ROW(tblItems[ItemCode]))+1),ROWS(AC$6:AC46))),"")</f>
        <v/>
      </c>
      <c r="AD46" s="70">
        <f t="array" ref="AD46">IFERROR(INDEX(tblItems[ItemCode],SMALL(IF((tblItems[Zone]=AD$4)*(tblItems[ItemCode]&lt;&gt;""),ROW(tblItems[ItemCode])-MIN(ROW(tblItems[ItemCode]))+1),ROWS(AD$6:AD46))),"")</f>
        <v/>
      </c>
      <c r="AE46" s="70">
        <f t="array" ref="AE46">IFERROR(INDEX(tblItems[ItemCode],SMALL(IF((tblItems[Zone]=AE$4)*(tblItems[ItemCode]&lt;&gt;""),ROW(tblItems[ItemCode])-MIN(ROW(tblItems[ItemCode]))+1),ROWS(AE$6:AE46))),"")</f>
        <v/>
      </c>
    </row>
    <row r="47">
      <c r="T47" s="70">
        <f t="array" ref="T47">IFERROR(INDEX(tblItems[ItemCode],SMALL(IF(tblItems[ItemCode]&lt;&gt;"",ROW(tblItems[ItemCode])-MIN(ROW(tblItems[ItemCode]))+1),ROWS(T$6:T47))),"")</f>
        <v/>
      </c>
      <c r="U47" s="70">
        <f t="array" ref="U47">IFERROR(INDEX(tblItems[ItemCode],SMALL(IF((tblItems[Zone]=U$4)*(tblItems[ItemCode]&lt;&gt;""),ROW(tblItems[ItemCode])-MIN(ROW(tblItems[ItemCode]))+1),ROWS(U$6:U47))),"")</f>
        <v/>
      </c>
      <c r="V47" s="70">
        <f t="array" ref="V47">IFERROR(INDEX(tblItems[ItemCode],SMALL(IF((tblItems[Zone]=V$4)*(tblItems[ItemCode]&lt;&gt;""),ROW(tblItems[ItemCode])-MIN(ROW(tblItems[ItemCode]))+1),ROWS(V$6:V47))),"")</f>
        <v/>
      </c>
      <c r="W47" s="70">
        <f t="array" ref="W47">IFERROR(INDEX(tblItems[ItemCode],SMALL(IF((tblItems[Zone]=W$4)*(tblItems[ItemCode]&lt;&gt;""),ROW(tblItems[ItemCode])-MIN(ROW(tblItems[ItemCode]))+1),ROWS(W$6:W47))),"")</f>
        <v/>
      </c>
      <c r="X47" s="70">
        <f t="array" ref="X47">IFERROR(INDEX(tblItems[ItemCode],SMALL(IF((tblItems[Zone]=X$4)*(tblItems[ItemCode]&lt;&gt;""),ROW(tblItems[ItemCode])-MIN(ROW(tblItems[ItemCode]))+1),ROWS(X$6:X47))),"")</f>
        <v/>
      </c>
      <c r="Y47" s="70">
        <f t="array" ref="Y47">IFERROR(INDEX(tblItems[ItemCode],SMALL(IF((tblItems[Zone]=Y$4)*(tblItems[ItemCode]&lt;&gt;""),ROW(tblItems[ItemCode])-MIN(ROW(tblItems[ItemCode]))+1),ROWS(Y$6:Y47))),"")</f>
        <v/>
      </c>
      <c r="Z47" s="70">
        <f t="array" ref="Z47">IFERROR(INDEX(tblItems[ItemCode],SMALL(IF((tblItems[Zone]=Z$4)*(tblItems[ItemCode]&lt;&gt;""),ROW(tblItems[ItemCode])-MIN(ROW(tblItems[ItemCode]))+1),ROWS(Z$6:Z47))),"")</f>
        <v/>
      </c>
      <c r="AA47" s="70">
        <f t="array" ref="AA47">IFERROR(INDEX(tblItems[ItemCode],SMALL(IF((tblItems[Zone]=AA$4)*(tblItems[ItemCode]&lt;&gt;""),ROW(tblItems[ItemCode])-MIN(ROW(tblItems[ItemCode]))+1),ROWS(AA$6:AA47))),"")</f>
        <v/>
      </c>
      <c r="AB47" s="70">
        <f t="array" ref="AB47">IFERROR(INDEX(tblItems[ItemCode],SMALL(IF((tblItems[Zone]=AB$4)*(tblItems[ItemCode]&lt;&gt;""),ROW(tblItems[ItemCode])-MIN(ROW(tblItems[ItemCode]))+1),ROWS(AB$6:AB47))),"")</f>
        <v/>
      </c>
      <c r="AC47" s="70">
        <f t="array" ref="AC47">IFERROR(INDEX(tblItems[ItemCode],SMALL(IF((tblItems[Zone]=AC$4)*(tblItems[ItemCode]&lt;&gt;""),ROW(tblItems[ItemCode])-MIN(ROW(tblItems[ItemCode]))+1),ROWS(AC$6:AC47))),"")</f>
        <v/>
      </c>
      <c r="AD47" s="70">
        <f t="array" ref="AD47">IFERROR(INDEX(tblItems[ItemCode],SMALL(IF((tblItems[Zone]=AD$4)*(tblItems[ItemCode]&lt;&gt;""),ROW(tblItems[ItemCode])-MIN(ROW(tblItems[ItemCode]))+1),ROWS(AD$6:AD47))),"")</f>
        <v/>
      </c>
      <c r="AE47" s="70">
        <f t="array" ref="AE47">IFERROR(INDEX(tblItems[ItemCode],SMALL(IF((tblItems[Zone]=AE$4)*(tblItems[ItemCode]&lt;&gt;""),ROW(tblItems[ItemCode])-MIN(ROW(tblItems[ItemCode]))+1),ROWS(AE$6:AE47))),"")</f>
        <v/>
      </c>
    </row>
    <row r="48">
      <c r="T48" s="70">
        <f t="array" ref="T48">IFERROR(INDEX(tblItems[ItemCode],SMALL(IF(tblItems[ItemCode]&lt;&gt;"",ROW(tblItems[ItemCode])-MIN(ROW(tblItems[ItemCode]))+1),ROWS(T$6:T48))),"")</f>
        <v/>
      </c>
      <c r="U48" s="70">
        <f t="array" ref="U48">IFERROR(INDEX(tblItems[ItemCode],SMALL(IF((tblItems[Zone]=U$4)*(tblItems[ItemCode]&lt;&gt;""),ROW(tblItems[ItemCode])-MIN(ROW(tblItems[ItemCode]))+1),ROWS(U$6:U48))),"")</f>
        <v/>
      </c>
      <c r="V48" s="70">
        <f t="array" ref="V48">IFERROR(INDEX(tblItems[ItemCode],SMALL(IF((tblItems[Zone]=V$4)*(tblItems[ItemCode]&lt;&gt;""),ROW(tblItems[ItemCode])-MIN(ROW(tblItems[ItemCode]))+1),ROWS(V$6:V48))),"")</f>
        <v/>
      </c>
      <c r="W48" s="70">
        <f t="array" ref="W48">IFERROR(INDEX(tblItems[ItemCode],SMALL(IF((tblItems[Zone]=W$4)*(tblItems[ItemCode]&lt;&gt;""),ROW(tblItems[ItemCode])-MIN(ROW(tblItems[ItemCode]))+1),ROWS(W$6:W48))),"")</f>
        <v/>
      </c>
      <c r="X48" s="70">
        <f t="array" ref="X48">IFERROR(INDEX(tblItems[ItemCode],SMALL(IF((tblItems[Zone]=X$4)*(tblItems[ItemCode]&lt;&gt;""),ROW(tblItems[ItemCode])-MIN(ROW(tblItems[ItemCode]))+1),ROWS(X$6:X48))),"")</f>
        <v/>
      </c>
      <c r="Y48" s="70">
        <f t="array" ref="Y48">IFERROR(INDEX(tblItems[ItemCode],SMALL(IF((tblItems[Zone]=Y$4)*(tblItems[ItemCode]&lt;&gt;""),ROW(tblItems[ItemCode])-MIN(ROW(tblItems[ItemCode]))+1),ROWS(Y$6:Y48))),"")</f>
        <v/>
      </c>
      <c r="Z48" s="70">
        <f t="array" ref="Z48">IFERROR(INDEX(tblItems[ItemCode],SMALL(IF((tblItems[Zone]=Z$4)*(tblItems[ItemCode]&lt;&gt;""),ROW(tblItems[ItemCode])-MIN(ROW(tblItems[ItemCode]))+1),ROWS(Z$6:Z48))),"")</f>
        <v/>
      </c>
      <c r="AA48" s="70">
        <f t="array" ref="AA48">IFERROR(INDEX(tblItems[ItemCode],SMALL(IF((tblItems[Zone]=AA$4)*(tblItems[ItemCode]&lt;&gt;""),ROW(tblItems[ItemCode])-MIN(ROW(tblItems[ItemCode]))+1),ROWS(AA$6:AA48))),"")</f>
        <v/>
      </c>
      <c r="AB48" s="70">
        <f t="array" ref="AB48">IFERROR(INDEX(tblItems[ItemCode],SMALL(IF((tblItems[Zone]=AB$4)*(tblItems[ItemCode]&lt;&gt;""),ROW(tblItems[ItemCode])-MIN(ROW(tblItems[ItemCode]))+1),ROWS(AB$6:AB48))),"")</f>
        <v/>
      </c>
      <c r="AC48" s="70">
        <f t="array" ref="AC48">IFERROR(INDEX(tblItems[ItemCode],SMALL(IF((tblItems[Zone]=AC$4)*(tblItems[ItemCode]&lt;&gt;""),ROW(tblItems[ItemCode])-MIN(ROW(tblItems[ItemCode]))+1),ROWS(AC$6:AC48))),"")</f>
        <v/>
      </c>
      <c r="AD48" s="70">
        <f t="array" ref="AD48">IFERROR(INDEX(tblItems[ItemCode],SMALL(IF((tblItems[Zone]=AD$4)*(tblItems[ItemCode]&lt;&gt;""),ROW(tblItems[ItemCode])-MIN(ROW(tblItems[ItemCode]))+1),ROWS(AD$6:AD48))),"")</f>
        <v/>
      </c>
      <c r="AE48" s="70">
        <f t="array" ref="AE48">IFERROR(INDEX(tblItems[ItemCode],SMALL(IF((tblItems[Zone]=AE$4)*(tblItems[ItemCode]&lt;&gt;""),ROW(tblItems[ItemCode])-MIN(ROW(tblItems[ItemCode]))+1),ROWS(AE$6:AE48))),"")</f>
        <v/>
      </c>
    </row>
    <row r="49">
      <c r="T49" s="70">
        <f t="array" ref="T49">IFERROR(INDEX(tblItems[ItemCode],SMALL(IF(tblItems[ItemCode]&lt;&gt;"",ROW(tblItems[ItemCode])-MIN(ROW(tblItems[ItemCode]))+1),ROWS(T$6:T49))),"")</f>
        <v/>
      </c>
      <c r="U49" s="70">
        <f t="array" ref="U49">IFERROR(INDEX(tblItems[ItemCode],SMALL(IF((tblItems[Zone]=U$4)*(tblItems[ItemCode]&lt;&gt;""),ROW(tblItems[ItemCode])-MIN(ROW(tblItems[ItemCode]))+1),ROWS(U$6:U49))),"")</f>
        <v/>
      </c>
      <c r="V49" s="70">
        <f t="array" ref="V49">IFERROR(INDEX(tblItems[ItemCode],SMALL(IF((tblItems[Zone]=V$4)*(tblItems[ItemCode]&lt;&gt;""),ROW(tblItems[ItemCode])-MIN(ROW(tblItems[ItemCode]))+1),ROWS(V$6:V49))),"")</f>
        <v/>
      </c>
      <c r="W49" s="70">
        <f t="array" ref="W49">IFERROR(INDEX(tblItems[ItemCode],SMALL(IF((tblItems[Zone]=W$4)*(tblItems[ItemCode]&lt;&gt;""),ROW(tblItems[ItemCode])-MIN(ROW(tblItems[ItemCode]))+1),ROWS(W$6:W49))),"")</f>
        <v/>
      </c>
      <c r="X49" s="70">
        <f t="array" ref="X49">IFERROR(INDEX(tblItems[ItemCode],SMALL(IF((tblItems[Zone]=X$4)*(tblItems[ItemCode]&lt;&gt;""),ROW(tblItems[ItemCode])-MIN(ROW(tblItems[ItemCode]))+1),ROWS(X$6:X49))),"")</f>
        <v/>
      </c>
      <c r="Y49" s="70">
        <f t="array" ref="Y49">IFERROR(INDEX(tblItems[ItemCode],SMALL(IF((tblItems[Zone]=Y$4)*(tblItems[ItemCode]&lt;&gt;""),ROW(tblItems[ItemCode])-MIN(ROW(tblItems[ItemCode]))+1),ROWS(Y$6:Y49))),"")</f>
        <v/>
      </c>
      <c r="Z49" s="70">
        <f t="array" ref="Z49">IFERROR(INDEX(tblItems[ItemCode],SMALL(IF((tblItems[Zone]=Z$4)*(tblItems[ItemCode]&lt;&gt;""),ROW(tblItems[ItemCode])-MIN(ROW(tblItems[ItemCode]))+1),ROWS(Z$6:Z49))),"")</f>
        <v/>
      </c>
      <c r="AA49" s="70">
        <f t="array" ref="AA49">IFERROR(INDEX(tblItems[ItemCode],SMALL(IF((tblItems[Zone]=AA$4)*(tblItems[ItemCode]&lt;&gt;""),ROW(tblItems[ItemCode])-MIN(ROW(tblItems[ItemCode]))+1),ROWS(AA$6:AA49))),"")</f>
        <v/>
      </c>
      <c r="AB49" s="70">
        <f t="array" ref="AB49">IFERROR(INDEX(tblItems[ItemCode],SMALL(IF((tblItems[Zone]=AB$4)*(tblItems[ItemCode]&lt;&gt;""),ROW(tblItems[ItemCode])-MIN(ROW(tblItems[ItemCode]))+1),ROWS(AB$6:AB49))),"")</f>
        <v/>
      </c>
      <c r="AC49" s="70">
        <f t="array" ref="AC49">IFERROR(INDEX(tblItems[ItemCode],SMALL(IF((tblItems[Zone]=AC$4)*(tblItems[ItemCode]&lt;&gt;""),ROW(tblItems[ItemCode])-MIN(ROW(tblItems[ItemCode]))+1),ROWS(AC$6:AC49))),"")</f>
        <v/>
      </c>
      <c r="AD49" s="70">
        <f t="array" ref="AD49">IFERROR(INDEX(tblItems[ItemCode],SMALL(IF((tblItems[Zone]=AD$4)*(tblItems[ItemCode]&lt;&gt;""),ROW(tblItems[ItemCode])-MIN(ROW(tblItems[ItemCode]))+1),ROWS(AD$6:AD49))),"")</f>
        <v/>
      </c>
      <c r="AE49" s="70">
        <f t="array" ref="AE49">IFERROR(INDEX(tblItems[ItemCode],SMALL(IF((tblItems[Zone]=AE$4)*(tblItems[ItemCode]&lt;&gt;""),ROW(tblItems[ItemCode])-MIN(ROW(tblItems[ItemCode]))+1),ROWS(AE$6:AE49))),"")</f>
        <v/>
      </c>
    </row>
    <row r="50">
      <c r="T50" s="70">
        <f t="array" ref="T50">IFERROR(INDEX(tblItems[ItemCode],SMALL(IF(tblItems[ItemCode]&lt;&gt;"",ROW(tblItems[ItemCode])-MIN(ROW(tblItems[ItemCode]))+1),ROWS(T$6:T50))),"")</f>
        <v/>
      </c>
      <c r="U50" s="70">
        <f t="array" ref="U50">IFERROR(INDEX(tblItems[ItemCode],SMALL(IF((tblItems[Zone]=U$4)*(tblItems[ItemCode]&lt;&gt;""),ROW(tblItems[ItemCode])-MIN(ROW(tblItems[ItemCode]))+1),ROWS(U$6:U50))),"")</f>
        <v/>
      </c>
      <c r="V50" s="70">
        <f t="array" ref="V50">IFERROR(INDEX(tblItems[ItemCode],SMALL(IF((tblItems[Zone]=V$4)*(tblItems[ItemCode]&lt;&gt;""),ROW(tblItems[ItemCode])-MIN(ROW(tblItems[ItemCode]))+1),ROWS(V$6:V50))),"")</f>
        <v/>
      </c>
      <c r="W50" s="70">
        <f t="array" ref="W50">IFERROR(INDEX(tblItems[ItemCode],SMALL(IF((tblItems[Zone]=W$4)*(tblItems[ItemCode]&lt;&gt;""),ROW(tblItems[ItemCode])-MIN(ROW(tblItems[ItemCode]))+1),ROWS(W$6:W50))),"")</f>
        <v/>
      </c>
      <c r="X50" s="70">
        <f t="array" ref="X50">IFERROR(INDEX(tblItems[ItemCode],SMALL(IF((tblItems[Zone]=X$4)*(tblItems[ItemCode]&lt;&gt;""),ROW(tblItems[ItemCode])-MIN(ROW(tblItems[ItemCode]))+1),ROWS(X$6:X50))),"")</f>
        <v/>
      </c>
      <c r="Y50" s="70">
        <f t="array" ref="Y50">IFERROR(INDEX(tblItems[ItemCode],SMALL(IF((tblItems[Zone]=Y$4)*(tblItems[ItemCode]&lt;&gt;""),ROW(tblItems[ItemCode])-MIN(ROW(tblItems[ItemCode]))+1),ROWS(Y$6:Y50))),"")</f>
        <v/>
      </c>
      <c r="Z50" s="70">
        <f t="array" ref="Z50">IFERROR(INDEX(tblItems[ItemCode],SMALL(IF((tblItems[Zone]=Z$4)*(tblItems[ItemCode]&lt;&gt;""),ROW(tblItems[ItemCode])-MIN(ROW(tblItems[ItemCode]))+1),ROWS(Z$6:Z50))),"")</f>
        <v/>
      </c>
      <c r="AA50" s="70">
        <f t="array" ref="AA50">IFERROR(INDEX(tblItems[ItemCode],SMALL(IF((tblItems[Zone]=AA$4)*(tblItems[ItemCode]&lt;&gt;""),ROW(tblItems[ItemCode])-MIN(ROW(tblItems[ItemCode]))+1),ROWS(AA$6:AA50))),"")</f>
        <v/>
      </c>
      <c r="AB50" s="70">
        <f t="array" ref="AB50">IFERROR(INDEX(tblItems[ItemCode],SMALL(IF((tblItems[Zone]=AB$4)*(tblItems[ItemCode]&lt;&gt;""),ROW(tblItems[ItemCode])-MIN(ROW(tblItems[ItemCode]))+1),ROWS(AB$6:AB50))),"")</f>
        <v/>
      </c>
      <c r="AC50" s="70">
        <f t="array" ref="AC50">IFERROR(INDEX(tblItems[ItemCode],SMALL(IF((tblItems[Zone]=AC$4)*(tblItems[ItemCode]&lt;&gt;""),ROW(tblItems[ItemCode])-MIN(ROW(tblItems[ItemCode]))+1),ROWS(AC$6:AC50))),"")</f>
        <v/>
      </c>
      <c r="AD50" s="70">
        <f t="array" ref="AD50">IFERROR(INDEX(tblItems[ItemCode],SMALL(IF((tblItems[Zone]=AD$4)*(tblItems[ItemCode]&lt;&gt;""),ROW(tblItems[ItemCode])-MIN(ROW(tblItems[ItemCode]))+1),ROWS(AD$6:AD50))),"")</f>
        <v/>
      </c>
      <c r="AE50" s="70">
        <f t="array" ref="AE50">IFERROR(INDEX(tblItems[ItemCode],SMALL(IF((tblItems[Zone]=AE$4)*(tblItems[ItemCode]&lt;&gt;""),ROW(tblItems[ItemCode])-MIN(ROW(tblItems[ItemCode]))+1),ROWS(AE$6:AE50))),"")</f>
        <v/>
      </c>
    </row>
    <row r="51">
      <c r="T51" s="70">
        <f t="array" ref="T51">IFERROR(INDEX(tblItems[ItemCode],SMALL(IF(tblItems[ItemCode]&lt;&gt;"",ROW(tblItems[ItemCode])-MIN(ROW(tblItems[ItemCode]))+1),ROWS(T$6:T51))),"")</f>
        <v/>
      </c>
      <c r="U51" s="70">
        <f t="array" ref="U51">IFERROR(INDEX(tblItems[ItemCode],SMALL(IF((tblItems[Zone]=U$4)*(tblItems[ItemCode]&lt;&gt;""),ROW(tblItems[ItemCode])-MIN(ROW(tblItems[ItemCode]))+1),ROWS(U$6:U51))),"")</f>
        <v/>
      </c>
      <c r="V51" s="70">
        <f t="array" ref="V51">IFERROR(INDEX(tblItems[ItemCode],SMALL(IF((tblItems[Zone]=V$4)*(tblItems[ItemCode]&lt;&gt;""),ROW(tblItems[ItemCode])-MIN(ROW(tblItems[ItemCode]))+1),ROWS(V$6:V51))),"")</f>
        <v/>
      </c>
      <c r="W51" s="70">
        <f t="array" ref="W51">IFERROR(INDEX(tblItems[ItemCode],SMALL(IF((tblItems[Zone]=W$4)*(tblItems[ItemCode]&lt;&gt;""),ROW(tblItems[ItemCode])-MIN(ROW(tblItems[ItemCode]))+1),ROWS(W$6:W51))),"")</f>
        <v/>
      </c>
      <c r="X51" s="70">
        <f t="array" ref="X51">IFERROR(INDEX(tblItems[ItemCode],SMALL(IF((tblItems[Zone]=X$4)*(tblItems[ItemCode]&lt;&gt;""),ROW(tblItems[ItemCode])-MIN(ROW(tblItems[ItemCode]))+1),ROWS(X$6:X51))),"")</f>
        <v/>
      </c>
      <c r="Y51" s="70">
        <f t="array" ref="Y51">IFERROR(INDEX(tblItems[ItemCode],SMALL(IF((tblItems[Zone]=Y$4)*(tblItems[ItemCode]&lt;&gt;""),ROW(tblItems[ItemCode])-MIN(ROW(tblItems[ItemCode]))+1),ROWS(Y$6:Y51))),"")</f>
        <v/>
      </c>
      <c r="Z51" s="70">
        <f t="array" ref="Z51">IFERROR(INDEX(tblItems[ItemCode],SMALL(IF((tblItems[Zone]=Z$4)*(tblItems[ItemCode]&lt;&gt;""),ROW(tblItems[ItemCode])-MIN(ROW(tblItems[ItemCode]))+1),ROWS(Z$6:Z51))),"")</f>
        <v/>
      </c>
      <c r="AA51" s="70">
        <f t="array" ref="AA51">IFERROR(INDEX(tblItems[ItemCode],SMALL(IF((tblItems[Zone]=AA$4)*(tblItems[ItemCode]&lt;&gt;""),ROW(tblItems[ItemCode])-MIN(ROW(tblItems[ItemCode]))+1),ROWS(AA$6:AA51))),"")</f>
        <v/>
      </c>
      <c r="AB51" s="70">
        <f t="array" ref="AB51">IFERROR(INDEX(tblItems[ItemCode],SMALL(IF((tblItems[Zone]=AB$4)*(tblItems[ItemCode]&lt;&gt;""),ROW(tblItems[ItemCode])-MIN(ROW(tblItems[ItemCode]))+1),ROWS(AB$6:AB51))),"")</f>
        <v/>
      </c>
      <c r="AC51" s="70">
        <f t="array" ref="AC51">IFERROR(INDEX(tblItems[ItemCode],SMALL(IF((tblItems[Zone]=AC$4)*(tblItems[ItemCode]&lt;&gt;""),ROW(tblItems[ItemCode])-MIN(ROW(tblItems[ItemCode]))+1),ROWS(AC$6:AC51))),"")</f>
        <v/>
      </c>
      <c r="AD51" s="70">
        <f t="array" ref="AD51">IFERROR(INDEX(tblItems[ItemCode],SMALL(IF((tblItems[Zone]=AD$4)*(tblItems[ItemCode]&lt;&gt;""),ROW(tblItems[ItemCode])-MIN(ROW(tblItems[ItemCode]))+1),ROWS(AD$6:AD51))),"")</f>
        <v/>
      </c>
      <c r="AE51" s="70">
        <f t="array" ref="AE51">IFERROR(INDEX(tblItems[ItemCode],SMALL(IF((tblItems[Zone]=AE$4)*(tblItems[ItemCode]&lt;&gt;""),ROW(tblItems[ItemCode])-MIN(ROW(tblItems[ItemCode]))+1),ROWS(AE$6:AE51))),"")</f>
        <v/>
      </c>
    </row>
    <row r="52">
      <c r="T52" s="70">
        <f t="array" ref="T52">IFERROR(INDEX(tblItems[ItemCode],SMALL(IF(tblItems[ItemCode]&lt;&gt;"",ROW(tblItems[ItemCode])-MIN(ROW(tblItems[ItemCode]))+1),ROWS(T$6:T52))),"")</f>
        <v/>
      </c>
      <c r="U52" s="70">
        <f t="array" ref="U52">IFERROR(INDEX(tblItems[ItemCode],SMALL(IF((tblItems[Zone]=U$4)*(tblItems[ItemCode]&lt;&gt;""),ROW(tblItems[ItemCode])-MIN(ROW(tblItems[ItemCode]))+1),ROWS(U$6:U52))),"")</f>
        <v/>
      </c>
      <c r="V52" s="70">
        <f t="array" ref="V52">IFERROR(INDEX(tblItems[ItemCode],SMALL(IF((tblItems[Zone]=V$4)*(tblItems[ItemCode]&lt;&gt;""),ROW(tblItems[ItemCode])-MIN(ROW(tblItems[ItemCode]))+1),ROWS(V$6:V52))),"")</f>
        <v/>
      </c>
      <c r="W52" s="70">
        <f t="array" ref="W52">IFERROR(INDEX(tblItems[ItemCode],SMALL(IF((tblItems[Zone]=W$4)*(tblItems[ItemCode]&lt;&gt;""),ROW(tblItems[ItemCode])-MIN(ROW(tblItems[ItemCode]))+1),ROWS(W$6:W52))),"")</f>
        <v/>
      </c>
      <c r="X52" s="70">
        <f t="array" ref="X52">IFERROR(INDEX(tblItems[ItemCode],SMALL(IF((tblItems[Zone]=X$4)*(tblItems[ItemCode]&lt;&gt;""),ROW(tblItems[ItemCode])-MIN(ROW(tblItems[ItemCode]))+1),ROWS(X$6:X52))),"")</f>
        <v/>
      </c>
      <c r="Y52" s="70">
        <f t="array" ref="Y52">IFERROR(INDEX(tblItems[ItemCode],SMALL(IF((tblItems[Zone]=Y$4)*(tblItems[ItemCode]&lt;&gt;""),ROW(tblItems[ItemCode])-MIN(ROW(tblItems[ItemCode]))+1),ROWS(Y$6:Y52))),"")</f>
        <v/>
      </c>
      <c r="Z52" s="70">
        <f t="array" ref="Z52">IFERROR(INDEX(tblItems[ItemCode],SMALL(IF((tblItems[Zone]=Z$4)*(tblItems[ItemCode]&lt;&gt;""),ROW(tblItems[ItemCode])-MIN(ROW(tblItems[ItemCode]))+1),ROWS(Z$6:Z52))),"")</f>
        <v/>
      </c>
      <c r="AA52" s="70">
        <f t="array" ref="AA52">IFERROR(INDEX(tblItems[ItemCode],SMALL(IF((tblItems[Zone]=AA$4)*(tblItems[ItemCode]&lt;&gt;""),ROW(tblItems[ItemCode])-MIN(ROW(tblItems[ItemCode]))+1),ROWS(AA$6:AA52))),"")</f>
        <v/>
      </c>
      <c r="AB52" s="70">
        <f t="array" ref="AB52">IFERROR(INDEX(tblItems[ItemCode],SMALL(IF((tblItems[Zone]=AB$4)*(tblItems[ItemCode]&lt;&gt;""),ROW(tblItems[ItemCode])-MIN(ROW(tblItems[ItemCode]))+1),ROWS(AB$6:AB52))),"")</f>
        <v/>
      </c>
      <c r="AC52" s="70">
        <f t="array" ref="AC52">IFERROR(INDEX(tblItems[ItemCode],SMALL(IF((tblItems[Zone]=AC$4)*(tblItems[ItemCode]&lt;&gt;""),ROW(tblItems[ItemCode])-MIN(ROW(tblItems[ItemCode]))+1),ROWS(AC$6:AC52))),"")</f>
        <v/>
      </c>
      <c r="AD52" s="70">
        <f t="array" ref="AD52">IFERROR(INDEX(tblItems[ItemCode],SMALL(IF((tblItems[Zone]=AD$4)*(tblItems[ItemCode]&lt;&gt;""),ROW(tblItems[ItemCode])-MIN(ROW(tblItems[ItemCode]))+1),ROWS(AD$6:AD52))),"")</f>
        <v/>
      </c>
      <c r="AE52" s="70">
        <f t="array" ref="AE52">IFERROR(INDEX(tblItems[ItemCode],SMALL(IF((tblItems[Zone]=AE$4)*(tblItems[ItemCode]&lt;&gt;""),ROW(tblItems[ItemCode])-MIN(ROW(tblItems[ItemCode]))+1),ROWS(AE$6:AE52))),"")</f>
        <v/>
      </c>
    </row>
    <row r="53">
      <c r="T53" s="70">
        <f t="array" ref="T53">IFERROR(INDEX(tblItems[ItemCode],SMALL(IF(tblItems[ItemCode]&lt;&gt;"",ROW(tblItems[ItemCode])-MIN(ROW(tblItems[ItemCode]))+1),ROWS(T$6:T53))),"")</f>
        <v/>
      </c>
      <c r="U53" s="70">
        <f t="array" ref="U53">IFERROR(INDEX(tblItems[ItemCode],SMALL(IF((tblItems[Zone]=U$4)*(tblItems[ItemCode]&lt;&gt;""),ROW(tblItems[ItemCode])-MIN(ROW(tblItems[ItemCode]))+1),ROWS(U$6:U53))),"")</f>
        <v/>
      </c>
      <c r="V53" s="70">
        <f t="array" ref="V53">IFERROR(INDEX(tblItems[ItemCode],SMALL(IF((tblItems[Zone]=V$4)*(tblItems[ItemCode]&lt;&gt;""),ROW(tblItems[ItemCode])-MIN(ROW(tblItems[ItemCode]))+1),ROWS(V$6:V53))),"")</f>
        <v/>
      </c>
      <c r="W53" s="70">
        <f t="array" ref="W53">IFERROR(INDEX(tblItems[ItemCode],SMALL(IF((tblItems[Zone]=W$4)*(tblItems[ItemCode]&lt;&gt;""),ROW(tblItems[ItemCode])-MIN(ROW(tblItems[ItemCode]))+1),ROWS(W$6:W53))),"")</f>
        <v/>
      </c>
      <c r="X53" s="70">
        <f t="array" ref="X53">IFERROR(INDEX(tblItems[ItemCode],SMALL(IF((tblItems[Zone]=X$4)*(tblItems[ItemCode]&lt;&gt;""),ROW(tblItems[ItemCode])-MIN(ROW(tblItems[ItemCode]))+1),ROWS(X$6:X53))),"")</f>
        <v/>
      </c>
      <c r="Y53" s="70">
        <f t="array" ref="Y53">IFERROR(INDEX(tblItems[ItemCode],SMALL(IF((tblItems[Zone]=Y$4)*(tblItems[ItemCode]&lt;&gt;""),ROW(tblItems[ItemCode])-MIN(ROW(tblItems[ItemCode]))+1),ROWS(Y$6:Y53))),"")</f>
        <v/>
      </c>
      <c r="Z53" s="70">
        <f t="array" ref="Z53">IFERROR(INDEX(tblItems[ItemCode],SMALL(IF((tblItems[Zone]=Z$4)*(tblItems[ItemCode]&lt;&gt;""),ROW(tblItems[ItemCode])-MIN(ROW(tblItems[ItemCode]))+1),ROWS(Z$6:Z53))),"")</f>
        <v/>
      </c>
      <c r="AA53" s="70">
        <f t="array" ref="AA53">IFERROR(INDEX(tblItems[ItemCode],SMALL(IF((tblItems[Zone]=AA$4)*(tblItems[ItemCode]&lt;&gt;""),ROW(tblItems[ItemCode])-MIN(ROW(tblItems[ItemCode]))+1),ROWS(AA$6:AA53))),"")</f>
        <v/>
      </c>
      <c r="AB53" s="70">
        <f t="array" ref="AB53">IFERROR(INDEX(tblItems[ItemCode],SMALL(IF((tblItems[Zone]=AB$4)*(tblItems[ItemCode]&lt;&gt;""),ROW(tblItems[ItemCode])-MIN(ROW(tblItems[ItemCode]))+1),ROWS(AB$6:AB53))),"")</f>
        <v/>
      </c>
      <c r="AC53" s="70">
        <f t="array" ref="AC53">IFERROR(INDEX(tblItems[ItemCode],SMALL(IF((tblItems[Zone]=AC$4)*(tblItems[ItemCode]&lt;&gt;""),ROW(tblItems[ItemCode])-MIN(ROW(tblItems[ItemCode]))+1),ROWS(AC$6:AC53))),"")</f>
        <v/>
      </c>
      <c r="AD53" s="70">
        <f t="array" ref="AD53">IFERROR(INDEX(tblItems[ItemCode],SMALL(IF((tblItems[Zone]=AD$4)*(tblItems[ItemCode]&lt;&gt;""),ROW(tblItems[ItemCode])-MIN(ROW(tblItems[ItemCode]))+1),ROWS(AD$6:AD53))),"")</f>
        <v/>
      </c>
      <c r="AE53" s="70">
        <f t="array" ref="AE53">IFERROR(INDEX(tblItems[ItemCode],SMALL(IF((tblItems[Zone]=AE$4)*(tblItems[ItemCode]&lt;&gt;""),ROW(tblItems[ItemCode])-MIN(ROW(tblItems[ItemCode]))+1),ROWS(AE$6:AE53))),"")</f>
        <v/>
      </c>
    </row>
    <row r="54">
      <c r="T54" s="70">
        <f t="array" ref="T54">IFERROR(INDEX(tblItems[ItemCode],SMALL(IF(tblItems[ItemCode]&lt;&gt;"",ROW(tblItems[ItemCode])-MIN(ROW(tblItems[ItemCode]))+1),ROWS(T$6:T54))),"")</f>
        <v/>
      </c>
      <c r="U54" s="70">
        <f t="array" ref="U54">IFERROR(INDEX(tblItems[ItemCode],SMALL(IF((tblItems[Zone]=U$4)*(tblItems[ItemCode]&lt;&gt;""),ROW(tblItems[ItemCode])-MIN(ROW(tblItems[ItemCode]))+1),ROWS(U$6:U54))),"")</f>
        <v/>
      </c>
      <c r="V54" s="70">
        <f t="array" ref="V54">IFERROR(INDEX(tblItems[ItemCode],SMALL(IF((tblItems[Zone]=V$4)*(tblItems[ItemCode]&lt;&gt;""),ROW(tblItems[ItemCode])-MIN(ROW(tblItems[ItemCode]))+1),ROWS(V$6:V54))),"")</f>
        <v/>
      </c>
      <c r="W54" s="70">
        <f t="array" ref="W54">IFERROR(INDEX(tblItems[ItemCode],SMALL(IF((tblItems[Zone]=W$4)*(tblItems[ItemCode]&lt;&gt;""),ROW(tblItems[ItemCode])-MIN(ROW(tblItems[ItemCode]))+1),ROWS(W$6:W54))),"")</f>
        <v/>
      </c>
      <c r="X54" s="70">
        <f t="array" ref="X54">IFERROR(INDEX(tblItems[ItemCode],SMALL(IF((tblItems[Zone]=X$4)*(tblItems[ItemCode]&lt;&gt;""),ROW(tblItems[ItemCode])-MIN(ROW(tblItems[ItemCode]))+1),ROWS(X$6:X54))),"")</f>
        <v/>
      </c>
      <c r="Y54" s="70">
        <f t="array" ref="Y54">IFERROR(INDEX(tblItems[ItemCode],SMALL(IF((tblItems[Zone]=Y$4)*(tblItems[ItemCode]&lt;&gt;""),ROW(tblItems[ItemCode])-MIN(ROW(tblItems[ItemCode]))+1),ROWS(Y$6:Y54))),"")</f>
        <v/>
      </c>
      <c r="Z54" s="70">
        <f t="array" ref="Z54">IFERROR(INDEX(tblItems[ItemCode],SMALL(IF((tblItems[Zone]=Z$4)*(tblItems[ItemCode]&lt;&gt;""),ROW(tblItems[ItemCode])-MIN(ROW(tblItems[ItemCode]))+1),ROWS(Z$6:Z54))),"")</f>
        <v/>
      </c>
      <c r="AA54" s="70">
        <f t="array" ref="AA54">IFERROR(INDEX(tblItems[ItemCode],SMALL(IF((tblItems[Zone]=AA$4)*(tblItems[ItemCode]&lt;&gt;""),ROW(tblItems[ItemCode])-MIN(ROW(tblItems[ItemCode]))+1),ROWS(AA$6:AA54))),"")</f>
        <v/>
      </c>
      <c r="AB54" s="70">
        <f t="array" ref="AB54">IFERROR(INDEX(tblItems[ItemCode],SMALL(IF((tblItems[Zone]=AB$4)*(tblItems[ItemCode]&lt;&gt;""),ROW(tblItems[ItemCode])-MIN(ROW(tblItems[ItemCode]))+1),ROWS(AB$6:AB54))),"")</f>
        <v/>
      </c>
      <c r="AC54" s="70">
        <f t="array" ref="AC54">IFERROR(INDEX(tblItems[ItemCode],SMALL(IF((tblItems[Zone]=AC$4)*(tblItems[ItemCode]&lt;&gt;""),ROW(tblItems[ItemCode])-MIN(ROW(tblItems[ItemCode]))+1),ROWS(AC$6:AC54))),"")</f>
        <v/>
      </c>
      <c r="AD54" s="70">
        <f t="array" ref="AD54">IFERROR(INDEX(tblItems[ItemCode],SMALL(IF((tblItems[Zone]=AD$4)*(tblItems[ItemCode]&lt;&gt;""),ROW(tblItems[ItemCode])-MIN(ROW(tblItems[ItemCode]))+1),ROWS(AD$6:AD54))),"")</f>
        <v/>
      </c>
      <c r="AE54" s="70">
        <f t="array" ref="AE54">IFERROR(INDEX(tblItems[ItemCode],SMALL(IF((tblItems[Zone]=AE$4)*(tblItems[ItemCode]&lt;&gt;""),ROW(tblItems[ItemCode])-MIN(ROW(tblItems[ItemCode]))+1),ROWS(AE$6:AE54))),"")</f>
        <v/>
      </c>
    </row>
    <row r="55">
      <c r="T55" s="70">
        <f t="array" ref="T55">IFERROR(INDEX(tblItems[ItemCode],SMALL(IF(tblItems[ItemCode]&lt;&gt;"",ROW(tblItems[ItemCode])-MIN(ROW(tblItems[ItemCode]))+1),ROWS(T$6:T55))),"")</f>
        <v/>
      </c>
      <c r="U55" s="70">
        <f t="array" ref="U55">IFERROR(INDEX(tblItems[ItemCode],SMALL(IF((tblItems[Zone]=U$4)*(tblItems[ItemCode]&lt;&gt;""),ROW(tblItems[ItemCode])-MIN(ROW(tblItems[ItemCode]))+1),ROWS(U$6:U55))),"")</f>
        <v/>
      </c>
      <c r="V55" s="70">
        <f t="array" ref="V55">IFERROR(INDEX(tblItems[ItemCode],SMALL(IF((tblItems[Zone]=V$4)*(tblItems[ItemCode]&lt;&gt;""),ROW(tblItems[ItemCode])-MIN(ROW(tblItems[ItemCode]))+1),ROWS(V$6:V55))),"")</f>
        <v/>
      </c>
      <c r="W55" s="70">
        <f t="array" ref="W55">IFERROR(INDEX(tblItems[ItemCode],SMALL(IF((tblItems[Zone]=W$4)*(tblItems[ItemCode]&lt;&gt;""),ROW(tblItems[ItemCode])-MIN(ROW(tblItems[ItemCode]))+1),ROWS(W$6:W55))),"")</f>
        <v/>
      </c>
      <c r="X55" s="70">
        <f t="array" ref="X55">IFERROR(INDEX(tblItems[ItemCode],SMALL(IF((tblItems[Zone]=X$4)*(tblItems[ItemCode]&lt;&gt;""),ROW(tblItems[ItemCode])-MIN(ROW(tblItems[ItemCode]))+1),ROWS(X$6:X55))),"")</f>
        <v/>
      </c>
      <c r="Y55" s="70">
        <f t="array" ref="Y55">IFERROR(INDEX(tblItems[ItemCode],SMALL(IF((tblItems[Zone]=Y$4)*(tblItems[ItemCode]&lt;&gt;""),ROW(tblItems[ItemCode])-MIN(ROW(tblItems[ItemCode]))+1),ROWS(Y$6:Y55))),"")</f>
        <v/>
      </c>
      <c r="Z55" s="70">
        <f t="array" ref="Z55">IFERROR(INDEX(tblItems[ItemCode],SMALL(IF((tblItems[Zone]=Z$4)*(tblItems[ItemCode]&lt;&gt;""),ROW(tblItems[ItemCode])-MIN(ROW(tblItems[ItemCode]))+1),ROWS(Z$6:Z55))),"")</f>
        <v/>
      </c>
      <c r="AA55" s="70">
        <f t="array" ref="AA55">IFERROR(INDEX(tblItems[ItemCode],SMALL(IF((tblItems[Zone]=AA$4)*(tblItems[ItemCode]&lt;&gt;""),ROW(tblItems[ItemCode])-MIN(ROW(tblItems[ItemCode]))+1),ROWS(AA$6:AA55))),"")</f>
        <v/>
      </c>
      <c r="AB55" s="70">
        <f t="array" ref="AB55">IFERROR(INDEX(tblItems[ItemCode],SMALL(IF((tblItems[Zone]=AB$4)*(tblItems[ItemCode]&lt;&gt;""),ROW(tblItems[ItemCode])-MIN(ROW(tblItems[ItemCode]))+1),ROWS(AB$6:AB55))),"")</f>
        <v/>
      </c>
      <c r="AC55" s="70">
        <f t="array" ref="AC55">IFERROR(INDEX(tblItems[ItemCode],SMALL(IF((tblItems[Zone]=AC$4)*(tblItems[ItemCode]&lt;&gt;""),ROW(tblItems[ItemCode])-MIN(ROW(tblItems[ItemCode]))+1),ROWS(AC$6:AC55))),"")</f>
        <v/>
      </c>
      <c r="AD55" s="70">
        <f t="array" ref="AD55">IFERROR(INDEX(tblItems[ItemCode],SMALL(IF((tblItems[Zone]=AD$4)*(tblItems[ItemCode]&lt;&gt;""),ROW(tblItems[ItemCode])-MIN(ROW(tblItems[ItemCode]))+1),ROWS(AD$6:AD55))),"")</f>
        <v/>
      </c>
      <c r="AE55" s="70">
        <f t="array" ref="AE55">IFERROR(INDEX(tblItems[ItemCode],SMALL(IF((tblItems[Zone]=AE$4)*(tblItems[ItemCode]&lt;&gt;""),ROW(tblItems[ItemCode])-MIN(ROW(tblItems[ItemCode]))+1),ROWS(AE$6:AE55))),"")</f>
        <v/>
      </c>
    </row>
    <row r="56">
      <c r="T56" s="70">
        <f t="array" ref="T56">IFERROR(INDEX(tblItems[ItemCode],SMALL(IF(tblItems[ItemCode]&lt;&gt;"",ROW(tblItems[ItemCode])-MIN(ROW(tblItems[ItemCode]))+1),ROWS(T$6:T56))),"")</f>
        <v/>
      </c>
      <c r="U56" s="70">
        <f t="array" ref="U56">IFERROR(INDEX(tblItems[ItemCode],SMALL(IF((tblItems[Zone]=U$4)*(tblItems[ItemCode]&lt;&gt;""),ROW(tblItems[ItemCode])-MIN(ROW(tblItems[ItemCode]))+1),ROWS(U$6:U56))),"")</f>
        <v/>
      </c>
      <c r="V56" s="70">
        <f t="array" ref="V56">IFERROR(INDEX(tblItems[ItemCode],SMALL(IF((tblItems[Zone]=V$4)*(tblItems[ItemCode]&lt;&gt;""),ROW(tblItems[ItemCode])-MIN(ROW(tblItems[ItemCode]))+1),ROWS(V$6:V56))),"")</f>
        <v/>
      </c>
      <c r="W56" s="70">
        <f t="array" ref="W56">IFERROR(INDEX(tblItems[ItemCode],SMALL(IF((tblItems[Zone]=W$4)*(tblItems[ItemCode]&lt;&gt;""),ROW(tblItems[ItemCode])-MIN(ROW(tblItems[ItemCode]))+1),ROWS(W$6:W56))),"")</f>
        <v/>
      </c>
      <c r="X56" s="70">
        <f t="array" ref="X56">IFERROR(INDEX(tblItems[ItemCode],SMALL(IF((tblItems[Zone]=X$4)*(tblItems[ItemCode]&lt;&gt;""),ROW(tblItems[ItemCode])-MIN(ROW(tblItems[ItemCode]))+1),ROWS(X$6:X56))),"")</f>
        <v/>
      </c>
      <c r="Y56" s="70">
        <f t="array" ref="Y56">IFERROR(INDEX(tblItems[ItemCode],SMALL(IF((tblItems[Zone]=Y$4)*(tblItems[ItemCode]&lt;&gt;""),ROW(tblItems[ItemCode])-MIN(ROW(tblItems[ItemCode]))+1),ROWS(Y$6:Y56))),"")</f>
        <v/>
      </c>
      <c r="Z56" s="70">
        <f t="array" ref="Z56">IFERROR(INDEX(tblItems[ItemCode],SMALL(IF((tblItems[Zone]=Z$4)*(tblItems[ItemCode]&lt;&gt;""),ROW(tblItems[ItemCode])-MIN(ROW(tblItems[ItemCode]))+1),ROWS(Z$6:Z56))),"")</f>
        <v/>
      </c>
      <c r="AA56" s="70">
        <f t="array" ref="AA56">IFERROR(INDEX(tblItems[ItemCode],SMALL(IF((tblItems[Zone]=AA$4)*(tblItems[ItemCode]&lt;&gt;""),ROW(tblItems[ItemCode])-MIN(ROW(tblItems[ItemCode]))+1),ROWS(AA$6:AA56))),"")</f>
        <v/>
      </c>
      <c r="AB56" s="70">
        <f t="array" ref="AB56">IFERROR(INDEX(tblItems[ItemCode],SMALL(IF((tblItems[Zone]=AB$4)*(tblItems[ItemCode]&lt;&gt;""),ROW(tblItems[ItemCode])-MIN(ROW(tblItems[ItemCode]))+1),ROWS(AB$6:AB56))),"")</f>
        <v/>
      </c>
      <c r="AC56" s="70">
        <f t="array" ref="AC56">IFERROR(INDEX(tblItems[ItemCode],SMALL(IF((tblItems[Zone]=AC$4)*(tblItems[ItemCode]&lt;&gt;""),ROW(tblItems[ItemCode])-MIN(ROW(tblItems[ItemCode]))+1),ROWS(AC$6:AC56))),"")</f>
        <v/>
      </c>
      <c r="AD56" s="70">
        <f t="array" ref="AD56">IFERROR(INDEX(tblItems[ItemCode],SMALL(IF((tblItems[Zone]=AD$4)*(tblItems[ItemCode]&lt;&gt;""),ROW(tblItems[ItemCode])-MIN(ROW(tblItems[ItemCode]))+1),ROWS(AD$6:AD56))),"")</f>
        <v/>
      </c>
      <c r="AE56" s="70">
        <f t="array" ref="AE56">IFERROR(INDEX(tblItems[ItemCode],SMALL(IF((tblItems[Zone]=AE$4)*(tblItems[ItemCode]&lt;&gt;""),ROW(tblItems[ItemCode])-MIN(ROW(tblItems[ItemCode]))+1),ROWS(AE$6:AE56))),"")</f>
        <v/>
      </c>
    </row>
    <row r="57">
      <c r="T57" s="70">
        <f t="array" ref="T57">IFERROR(INDEX(tblItems[ItemCode],SMALL(IF(tblItems[ItemCode]&lt;&gt;"",ROW(tblItems[ItemCode])-MIN(ROW(tblItems[ItemCode]))+1),ROWS(T$6:T57))),"")</f>
        <v/>
      </c>
      <c r="U57" s="70">
        <f t="array" ref="U57">IFERROR(INDEX(tblItems[ItemCode],SMALL(IF((tblItems[Zone]=U$4)*(tblItems[ItemCode]&lt;&gt;""),ROW(tblItems[ItemCode])-MIN(ROW(tblItems[ItemCode]))+1),ROWS(U$6:U57))),"")</f>
        <v/>
      </c>
      <c r="V57" s="70">
        <f t="array" ref="V57">IFERROR(INDEX(tblItems[ItemCode],SMALL(IF((tblItems[Zone]=V$4)*(tblItems[ItemCode]&lt;&gt;""),ROW(tblItems[ItemCode])-MIN(ROW(tblItems[ItemCode]))+1),ROWS(V$6:V57))),"")</f>
        <v/>
      </c>
      <c r="W57" s="70">
        <f t="array" ref="W57">IFERROR(INDEX(tblItems[ItemCode],SMALL(IF((tblItems[Zone]=W$4)*(tblItems[ItemCode]&lt;&gt;""),ROW(tblItems[ItemCode])-MIN(ROW(tblItems[ItemCode]))+1),ROWS(W$6:W57))),"")</f>
        <v/>
      </c>
      <c r="X57" s="70">
        <f t="array" ref="X57">IFERROR(INDEX(tblItems[ItemCode],SMALL(IF((tblItems[Zone]=X$4)*(tblItems[ItemCode]&lt;&gt;""),ROW(tblItems[ItemCode])-MIN(ROW(tblItems[ItemCode]))+1),ROWS(X$6:X57))),"")</f>
        <v/>
      </c>
      <c r="Y57" s="70">
        <f t="array" ref="Y57">IFERROR(INDEX(tblItems[ItemCode],SMALL(IF((tblItems[Zone]=Y$4)*(tblItems[ItemCode]&lt;&gt;""),ROW(tblItems[ItemCode])-MIN(ROW(tblItems[ItemCode]))+1),ROWS(Y$6:Y57))),"")</f>
        <v/>
      </c>
      <c r="Z57" s="70">
        <f t="array" ref="Z57">IFERROR(INDEX(tblItems[ItemCode],SMALL(IF((tblItems[Zone]=Z$4)*(tblItems[ItemCode]&lt;&gt;""),ROW(tblItems[ItemCode])-MIN(ROW(tblItems[ItemCode]))+1),ROWS(Z$6:Z57))),"")</f>
        <v/>
      </c>
      <c r="AA57" s="70">
        <f t="array" ref="AA57">IFERROR(INDEX(tblItems[ItemCode],SMALL(IF((tblItems[Zone]=AA$4)*(tblItems[ItemCode]&lt;&gt;""),ROW(tblItems[ItemCode])-MIN(ROW(tblItems[ItemCode]))+1),ROWS(AA$6:AA57))),"")</f>
        <v/>
      </c>
      <c r="AB57" s="70">
        <f t="array" ref="AB57">IFERROR(INDEX(tblItems[ItemCode],SMALL(IF((tblItems[Zone]=AB$4)*(tblItems[ItemCode]&lt;&gt;""),ROW(tblItems[ItemCode])-MIN(ROW(tblItems[ItemCode]))+1),ROWS(AB$6:AB57))),"")</f>
        <v/>
      </c>
      <c r="AC57" s="70">
        <f t="array" ref="AC57">IFERROR(INDEX(tblItems[ItemCode],SMALL(IF((tblItems[Zone]=AC$4)*(tblItems[ItemCode]&lt;&gt;""),ROW(tblItems[ItemCode])-MIN(ROW(tblItems[ItemCode]))+1),ROWS(AC$6:AC57))),"")</f>
        <v/>
      </c>
      <c r="AD57" s="70">
        <f t="array" ref="AD57">IFERROR(INDEX(tblItems[ItemCode],SMALL(IF((tblItems[Zone]=AD$4)*(tblItems[ItemCode]&lt;&gt;""),ROW(tblItems[ItemCode])-MIN(ROW(tblItems[ItemCode]))+1),ROWS(AD$6:AD57))),"")</f>
        <v/>
      </c>
      <c r="AE57" s="70">
        <f t="array" ref="AE57">IFERROR(INDEX(tblItems[ItemCode],SMALL(IF((tblItems[Zone]=AE$4)*(tblItems[ItemCode]&lt;&gt;""),ROW(tblItems[ItemCode])-MIN(ROW(tblItems[ItemCode]))+1),ROWS(AE$6:AE57))),"")</f>
        <v/>
      </c>
    </row>
    <row r="58">
      <c r="T58" s="70">
        <f t="array" ref="T58">IFERROR(INDEX(tblItems[ItemCode],SMALL(IF(tblItems[ItemCode]&lt;&gt;"",ROW(tblItems[ItemCode])-MIN(ROW(tblItems[ItemCode]))+1),ROWS(T$6:T58))),"")</f>
        <v/>
      </c>
      <c r="U58" s="70">
        <f t="array" ref="U58">IFERROR(INDEX(tblItems[ItemCode],SMALL(IF((tblItems[Zone]=U$4)*(tblItems[ItemCode]&lt;&gt;""),ROW(tblItems[ItemCode])-MIN(ROW(tblItems[ItemCode]))+1),ROWS(U$6:U58))),"")</f>
        <v/>
      </c>
      <c r="V58" s="70">
        <f t="array" ref="V58">IFERROR(INDEX(tblItems[ItemCode],SMALL(IF((tblItems[Zone]=V$4)*(tblItems[ItemCode]&lt;&gt;""),ROW(tblItems[ItemCode])-MIN(ROW(tblItems[ItemCode]))+1),ROWS(V$6:V58))),"")</f>
        <v/>
      </c>
      <c r="W58" s="70">
        <f t="array" ref="W58">IFERROR(INDEX(tblItems[ItemCode],SMALL(IF((tblItems[Zone]=W$4)*(tblItems[ItemCode]&lt;&gt;""),ROW(tblItems[ItemCode])-MIN(ROW(tblItems[ItemCode]))+1),ROWS(W$6:W58))),"")</f>
        <v/>
      </c>
      <c r="X58" s="70">
        <f t="array" ref="X58">IFERROR(INDEX(tblItems[ItemCode],SMALL(IF((tblItems[Zone]=X$4)*(tblItems[ItemCode]&lt;&gt;""),ROW(tblItems[ItemCode])-MIN(ROW(tblItems[ItemCode]))+1),ROWS(X$6:X58))),"")</f>
        <v/>
      </c>
      <c r="Y58" s="70">
        <f t="array" ref="Y58">IFERROR(INDEX(tblItems[ItemCode],SMALL(IF((tblItems[Zone]=Y$4)*(tblItems[ItemCode]&lt;&gt;""),ROW(tblItems[ItemCode])-MIN(ROW(tblItems[ItemCode]))+1),ROWS(Y$6:Y58))),"")</f>
        <v/>
      </c>
      <c r="Z58" s="70">
        <f t="array" ref="Z58">IFERROR(INDEX(tblItems[ItemCode],SMALL(IF((tblItems[Zone]=Z$4)*(tblItems[ItemCode]&lt;&gt;""),ROW(tblItems[ItemCode])-MIN(ROW(tblItems[ItemCode]))+1),ROWS(Z$6:Z58))),"")</f>
        <v/>
      </c>
      <c r="AA58" s="70">
        <f t="array" ref="AA58">IFERROR(INDEX(tblItems[ItemCode],SMALL(IF((tblItems[Zone]=AA$4)*(tblItems[ItemCode]&lt;&gt;""),ROW(tblItems[ItemCode])-MIN(ROW(tblItems[ItemCode]))+1),ROWS(AA$6:AA58))),"")</f>
        <v/>
      </c>
      <c r="AB58" s="70">
        <f t="array" ref="AB58">IFERROR(INDEX(tblItems[ItemCode],SMALL(IF((tblItems[Zone]=AB$4)*(tblItems[ItemCode]&lt;&gt;""),ROW(tblItems[ItemCode])-MIN(ROW(tblItems[ItemCode]))+1),ROWS(AB$6:AB58))),"")</f>
        <v/>
      </c>
      <c r="AC58" s="70">
        <f t="array" ref="AC58">IFERROR(INDEX(tblItems[ItemCode],SMALL(IF((tblItems[Zone]=AC$4)*(tblItems[ItemCode]&lt;&gt;""),ROW(tblItems[ItemCode])-MIN(ROW(tblItems[ItemCode]))+1),ROWS(AC$6:AC58))),"")</f>
        <v/>
      </c>
      <c r="AD58" s="70">
        <f t="array" ref="AD58">IFERROR(INDEX(tblItems[ItemCode],SMALL(IF((tblItems[Zone]=AD$4)*(tblItems[ItemCode]&lt;&gt;""),ROW(tblItems[ItemCode])-MIN(ROW(tblItems[ItemCode]))+1),ROWS(AD$6:AD58))),"")</f>
        <v/>
      </c>
      <c r="AE58" s="70">
        <f t="array" ref="AE58">IFERROR(INDEX(tblItems[ItemCode],SMALL(IF((tblItems[Zone]=AE$4)*(tblItems[ItemCode]&lt;&gt;""),ROW(tblItems[ItemCode])-MIN(ROW(tblItems[ItemCode]))+1),ROWS(AE$6:AE58))),"")</f>
        <v/>
      </c>
    </row>
    <row r="59">
      <c r="T59" s="70">
        <f t="array" ref="T59">IFERROR(INDEX(tblItems[ItemCode],SMALL(IF(tblItems[ItemCode]&lt;&gt;"",ROW(tblItems[ItemCode])-MIN(ROW(tblItems[ItemCode]))+1),ROWS(T$6:T59))),"")</f>
        <v/>
      </c>
      <c r="U59" s="70">
        <f t="array" ref="U59">IFERROR(INDEX(tblItems[ItemCode],SMALL(IF((tblItems[Zone]=U$4)*(tblItems[ItemCode]&lt;&gt;""),ROW(tblItems[ItemCode])-MIN(ROW(tblItems[ItemCode]))+1),ROWS(U$6:U59))),"")</f>
        <v/>
      </c>
      <c r="V59" s="70">
        <f t="array" ref="V59">IFERROR(INDEX(tblItems[ItemCode],SMALL(IF((tblItems[Zone]=V$4)*(tblItems[ItemCode]&lt;&gt;""),ROW(tblItems[ItemCode])-MIN(ROW(tblItems[ItemCode]))+1),ROWS(V$6:V59))),"")</f>
        <v/>
      </c>
      <c r="W59" s="70">
        <f t="array" ref="W59">IFERROR(INDEX(tblItems[ItemCode],SMALL(IF((tblItems[Zone]=W$4)*(tblItems[ItemCode]&lt;&gt;""),ROW(tblItems[ItemCode])-MIN(ROW(tblItems[ItemCode]))+1),ROWS(W$6:W59))),"")</f>
        <v/>
      </c>
      <c r="X59" s="70">
        <f t="array" ref="X59">IFERROR(INDEX(tblItems[ItemCode],SMALL(IF((tblItems[Zone]=X$4)*(tblItems[ItemCode]&lt;&gt;""),ROW(tblItems[ItemCode])-MIN(ROW(tblItems[ItemCode]))+1),ROWS(X$6:X59))),"")</f>
        <v/>
      </c>
      <c r="Y59" s="70">
        <f t="array" ref="Y59">IFERROR(INDEX(tblItems[ItemCode],SMALL(IF((tblItems[Zone]=Y$4)*(tblItems[ItemCode]&lt;&gt;""),ROW(tblItems[ItemCode])-MIN(ROW(tblItems[ItemCode]))+1),ROWS(Y$6:Y59))),"")</f>
        <v/>
      </c>
      <c r="Z59" s="70">
        <f t="array" ref="Z59">IFERROR(INDEX(tblItems[ItemCode],SMALL(IF((tblItems[Zone]=Z$4)*(tblItems[ItemCode]&lt;&gt;""),ROW(tblItems[ItemCode])-MIN(ROW(tblItems[ItemCode]))+1),ROWS(Z$6:Z59))),"")</f>
        <v/>
      </c>
      <c r="AA59" s="70">
        <f t="array" ref="AA59">IFERROR(INDEX(tblItems[ItemCode],SMALL(IF((tblItems[Zone]=AA$4)*(tblItems[ItemCode]&lt;&gt;""),ROW(tblItems[ItemCode])-MIN(ROW(tblItems[ItemCode]))+1),ROWS(AA$6:AA59))),"")</f>
        <v/>
      </c>
      <c r="AB59" s="70">
        <f t="array" ref="AB59">IFERROR(INDEX(tblItems[ItemCode],SMALL(IF((tblItems[Zone]=AB$4)*(tblItems[ItemCode]&lt;&gt;""),ROW(tblItems[ItemCode])-MIN(ROW(tblItems[ItemCode]))+1),ROWS(AB$6:AB59))),"")</f>
        <v/>
      </c>
      <c r="AC59" s="70">
        <f t="array" ref="AC59">IFERROR(INDEX(tblItems[ItemCode],SMALL(IF((tblItems[Zone]=AC$4)*(tblItems[ItemCode]&lt;&gt;""),ROW(tblItems[ItemCode])-MIN(ROW(tblItems[ItemCode]))+1),ROWS(AC$6:AC59))),"")</f>
        <v/>
      </c>
      <c r="AD59" s="70">
        <f t="array" ref="AD59">IFERROR(INDEX(tblItems[ItemCode],SMALL(IF((tblItems[Zone]=AD$4)*(tblItems[ItemCode]&lt;&gt;""),ROW(tblItems[ItemCode])-MIN(ROW(tblItems[ItemCode]))+1),ROWS(AD$6:AD59))),"")</f>
        <v/>
      </c>
      <c r="AE59" s="70">
        <f t="array" ref="AE59">IFERROR(INDEX(tblItems[ItemCode],SMALL(IF((tblItems[Zone]=AE$4)*(tblItems[ItemCode]&lt;&gt;""),ROW(tblItems[ItemCode])-MIN(ROW(tblItems[ItemCode]))+1),ROWS(AE$6:AE59))),"")</f>
        <v/>
      </c>
    </row>
    <row r="60">
      <c r="T60" s="70">
        <f t="array" ref="T60">IFERROR(INDEX(tblItems[ItemCode],SMALL(IF(tblItems[ItemCode]&lt;&gt;"",ROW(tblItems[ItemCode])-MIN(ROW(tblItems[ItemCode]))+1),ROWS(T$6:T60))),"")</f>
        <v/>
      </c>
      <c r="U60" s="70">
        <f t="array" ref="U60">IFERROR(INDEX(tblItems[ItemCode],SMALL(IF((tblItems[Zone]=U$4)*(tblItems[ItemCode]&lt;&gt;""),ROW(tblItems[ItemCode])-MIN(ROW(tblItems[ItemCode]))+1),ROWS(U$6:U60))),"")</f>
        <v/>
      </c>
      <c r="V60" s="70">
        <f t="array" ref="V60">IFERROR(INDEX(tblItems[ItemCode],SMALL(IF((tblItems[Zone]=V$4)*(tblItems[ItemCode]&lt;&gt;""),ROW(tblItems[ItemCode])-MIN(ROW(tblItems[ItemCode]))+1),ROWS(V$6:V60))),"")</f>
        <v/>
      </c>
      <c r="W60" s="70">
        <f t="array" ref="W60">IFERROR(INDEX(tblItems[ItemCode],SMALL(IF((tblItems[Zone]=W$4)*(tblItems[ItemCode]&lt;&gt;""),ROW(tblItems[ItemCode])-MIN(ROW(tblItems[ItemCode]))+1),ROWS(W$6:W60))),"")</f>
        <v/>
      </c>
      <c r="X60" s="70">
        <f t="array" ref="X60">IFERROR(INDEX(tblItems[ItemCode],SMALL(IF((tblItems[Zone]=X$4)*(tblItems[ItemCode]&lt;&gt;""),ROW(tblItems[ItemCode])-MIN(ROW(tblItems[ItemCode]))+1),ROWS(X$6:X60))),"")</f>
        <v/>
      </c>
      <c r="Y60" s="70">
        <f t="array" ref="Y60">IFERROR(INDEX(tblItems[ItemCode],SMALL(IF((tblItems[Zone]=Y$4)*(tblItems[ItemCode]&lt;&gt;""),ROW(tblItems[ItemCode])-MIN(ROW(tblItems[ItemCode]))+1),ROWS(Y$6:Y60))),"")</f>
        <v/>
      </c>
      <c r="Z60" s="70">
        <f t="array" ref="Z60">IFERROR(INDEX(tblItems[ItemCode],SMALL(IF((tblItems[Zone]=Z$4)*(tblItems[ItemCode]&lt;&gt;""),ROW(tblItems[ItemCode])-MIN(ROW(tblItems[ItemCode]))+1),ROWS(Z$6:Z60))),"")</f>
        <v/>
      </c>
      <c r="AA60" s="70">
        <f t="array" ref="AA60">IFERROR(INDEX(tblItems[ItemCode],SMALL(IF((tblItems[Zone]=AA$4)*(tblItems[ItemCode]&lt;&gt;""),ROW(tblItems[ItemCode])-MIN(ROW(tblItems[ItemCode]))+1),ROWS(AA$6:AA60))),"")</f>
        <v/>
      </c>
      <c r="AB60" s="70">
        <f t="array" ref="AB60">IFERROR(INDEX(tblItems[ItemCode],SMALL(IF((tblItems[Zone]=AB$4)*(tblItems[ItemCode]&lt;&gt;""),ROW(tblItems[ItemCode])-MIN(ROW(tblItems[ItemCode]))+1),ROWS(AB$6:AB60))),"")</f>
        <v/>
      </c>
      <c r="AC60" s="70">
        <f t="array" ref="AC60">IFERROR(INDEX(tblItems[ItemCode],SMALL(IF((tblItems[Zone]=AC$4)*(tblItems[ItemCode]&lt;&gt;""),ROW(tblItems[ItemCode])-MIN(ROW(tblItems[ItemCode]))+1),ROWS(AC$6:AC60))),"")</f>
        <v/>
      </c>
      <c r="AD60" s="70">
        <f t="array" ref="AD60">IFERROR(INDEX(tblItems[ItemCode],SMALL(IF((tblItems[Zone]=AD$4)*(tblItems[ItemCode]&lt;&gt;""),ROW(tblItems[ItemCode])-MIN(ROW(tblItems[ItemCode]))+1),ROWS(AD$6:AD60))),"")</f>
        <v/>
      </c>
      <c r="AE60" s="70">
        <f t="array" ref="AE60">IFERROR(INDEX(tblItems[ItemCode],SMALL(IF((tblItems[Zone]=AE$4)*(tblItems[ItemCode]&lt;&gt;""),ROW(tblItems[ItemCode])-MIN(ROW(tblItems[ItemCode]))+1),ROWS(AE$6:AE60))),"")</f>
        <v/>
      </c>
    </row>
    <row r="61">
      <c r="T61" s="70">
        <f t="array" ref="T61">IFERROR(INDEX(tblItems[ItemCode],SMALL(IF(tblItems[ItemCode]&lt;&gt;"",ROW(tblItems[ItemCode])-MIN(ROW(tblItems[ItemCode]))+1),ROWS(T$6:T61))),"")</f>
        <v/>
      </c>
      <c r="U61" s="70">
        <f t="array" ref="U61">IFERROR(INDEX(tblItems[ItemCode],SMALL(IF((tblItems[Zone]=U$4)*(tblItems[ItemCode]&lt;&gt;""),ROW(tblItems[ItemCode])-MIN(ROW(tblItems[ItemCode]))+1),ROWS(U$6:U61))),"")</f>
        <v/>
      </c>
      <c r="V61" s="70">
        <f t="array" ref="V61">IFERROR(INDEX(tblItems[ItemCode],SMALL(IF((tblItems[Zone]=V$4)*(tblItems[ItemCode]&lt;&gt;""),ROW(tblItems[ItemCode])-MIN(ROW(tblItems[ItemCode]))+1),ROWS(V$6:V61))),"")</f>
        <v/>
      </c>
      <c r="W61" s="70">
        <f t="array" ref="W61">IFERROR(INDEX(tblItems[ItemCode],SMALL(IF((tblItems[Zone]=W$4)*(tblItems[ItemCode]&lt;&gt;""),ROW(tblItems[ItemCode])-MIN(ROW(tblItems[ItemCode]))+1),ROWS(W$6:W61))),"")</f>
        <v/>
      </c>
      <c r="X61" s="70">
        <f t="array" ref="X61">IFERROR(INDEX(tblItems[ItemCode],SMALL(IF((tblItems[Zone]=X$4)*(tblItems[ItemCode]&lt;&gt;""),ROW(tblItems[ItemCode])-MIN(ROW(tblItems[ItemCode]))+1),ROWS(X$6:X61))),"")</f>
        <v/>
      </c>
      <c r="Y61" s="70">
        <f t="array" ref="Y61">IFERROR(INDEX(tblItems[ItemCode],SMALL(IF((tblItems[Zone]=Y$4)*(tblItems[ItemCode]&lt;&gt;""),ROW(tblItems[ItemCode])-MIN(ROW(tblItems[ItemCode]))+1),ROWS(Y$6:Y61))),"")</f>
        <v/>
      </c>
      <c r="Z61" s="70">
        <f t="array" ref="Z61">IFERROR(INDEX(tblItems[ItemCode],SMALL(IF((tblItems[Zone]=Z$4)*(tblItems[ItemCode]&lt;&gt;""),ROW(tblItems[ItemCode])-MIN(ROW(tblItems[ItemCode]))+1),ROWS(Z$6:Z61))),"")</f>
        <v/>
      </c>
      <c r="AA61" s="70">
        <f t="array" ref="AA61">IFERROR(INDEX(tblItems[ItemCode],SMALL(IF((tblItems[Zone]=AA$4)*(tblItems[ItemCode]&lt;&gt;""),ROW(tblItems[ItemCode])-MIN(ROW(tblItems[ItemCode]))+1),ROWS(AA$6:AA61))),"")</f>
        <v/>
      </c>
      <c r="AB61" s="70">
        <f t="array" ref="AB61">IFERROR(INDEX(tblItems[ItemCode],SMALL(IF((tblItems[Zone]=AB$4)*(tblItems[ItemCode]&lt;&gt;""),ROW(tblItems[ItemCode])-MIN(ROW(tblItems[ItemCode]))+1),ROWS(AB$6:AB61))),"")</f>
        <v/>
      </c>
      <c r="AC61" s="70">
        <f t="array" ref="AC61">IFERROR(INDEX(tblItems[ItemCode],SMALL(IF((tblItems[Zone]=AC$4)*(tblItems[ItemCode]&lt;&gt;""),ROW(tblItems[ItemCode])-MIN(ROW(tblItems[ItemCode]))+1),ROWS(AC$6:AC61))),"")</f>
        <v/>
      </c>
      <c r="AD61" s="70">
        <f t="array" ref="AD61">IFERROR(INDEX(tblItems[ItemCode],SMALL(IF((tblItems[Zone]=AD$4)*(tblItems[ItemCode]&lt;&gt;""),ROW(tblItems[ItemCode])-MIN(ROW(tblItems[ItemCode]))+1),ROWS(AD$6:AD61))),"")</f>
        <v/>
      </c>
      <c r="AE61" s="70">
        <f t="array" ref="AE61">IFERROR(INDEX(tblItems[ItemCode],SMALL(IF((tblItems[Zone]=AE$4)*(tblItems[ItemCode]&lt;&gt;""),ROW(tblItems[ItemCode])-MIN(ROW(tblItems[ItemCode]))+1),ROWS(AE$6:AE61))),"")</f>
        <v/>
      </c>
    </row>
    <row r="62">
      <c r="T62" s="70">
        <f t="array" ref="T62">IFERROR(INDEX(tblItems[ItemCode],SMALL(IF(tblItems[ItemCode]&lt;&gt;"",ROW(tblItems[ItemCode])-MIN(ROW(tblItems[ItemCode]))+1),ROWS(T$6:T62))),"")</f>
        <v/>
      </c>
      <c r="U62" s="70">
        <f t="array" ref="U62">IFERROR(INDEX(tblItems[ItemCode],SMALL(IF((tblItems[Zone]=U$4)*(tblItems[ItemCode]&lt;&gt;""),ROW(tblItems[ItemCode])-MIN(ROW(tblItems[ItemCode]))+1),ROWS(U$6:U62))),"")</f>
        <v/>
      </c>
      <c r="V62" s="70">
        <f t="array" ref="V62">IFERROR(INDEX(tblItems[ItemCode],SMALL(IF((tblItems[Zone]=V$4)*(tblItems[ItemCode]&lt;&gt;""),ROW(tblItems[ItemCode])-MIN(ROW(tblItems[ItemCode]))+1),ROWS(V$6:V62))),"")</f>
        <v/>
      </c>
      <c r="W62" s="70">
        <f t="array" ref="W62">IFERROR(INDEX(tblItems[ItemCode],SMALL(IF((tblItems[Zone]=W$4)*(tblItems[ItemCode]&lt;&gt;""),ROW(tblItems[ItemCode])-MIN(ROW(tblItems[ItemCode]))+1),ROWS(W$6:W62))),"")</f>
        <v/>
      </c>
      <c r="X62" s="70">
        <f t="array" ref="X62">IFERROR(INDEX(tblItems[ItemCode],SMALL(IF((tblItems[Zone]=X$4)*(tblItems[ItemCode]&lt;&gt;""),ROW(tblItems[ItemCode])-MIN(ROW(tblItems[ItemCode]))+1),ROWS(X$6:X62))),"")</f>
        <v/>
      </c>
      <c r="Y62" s="70">
        <f t="array" ref="Y62">IFERROR(INDEX(tblItems[ItemCode],SMALL(IF((tblItems[Zone]=Y$4)*(tblItems[ItemCode]&lt;&gt;""),ROW(tblItems[ItemCode])-MIN(ROW(tblItems[ItemCode]))+1),ROWS(Y$6:Y62))),"")</f>
        <v/>
      </c>
      <c r="Z62" s="70">
        <f t="array" ref="Z62">IFERROR(INDEX(tblItems[ItemCode],SMALL(IF((tblItems[Zone]=Z$4)*(tblItems[ItemCode]&lt;&gt;""),ROW(tblItems[ItemCode])-MIN(ROW(tblItems[ItemCode]))+1),ROWS(Z$6:Z62))),"")</f>
        <v/>
      </c>
      <c r="AA62" s="70">
        <f t="array" ref="AA62">IFERROR(INDEX(tblItems[ItemCode],SMALL(IF((tblItems[Zone]=AA$4)*(tblItems[ItemCode]&lt;&gt;""),ROW(tblItems[ItemCode])-MIN(ROW(tblItems[ItemCode]))+1),ROWS(AA$6:AA62))),"")</f>
        <v/>
      </c>
      <c r="AB62" s="70">
        <f t="array" ref="AB62">IFERROR(INDEX(tblItems[ItemCode],SMALL(IF((tblItems[Zone]=AB$4)*(tblItems[ItemCode]&lt;&gt;""),ROW(tblItems[ItemCode])-MIN(ROW(tblItems[ItemCode]))+1),ROWS(AB$6:AB62))),"")</f>
        <v/>
      </c>
      <c r="AC62" s="70">
        <f t="array" ref="AC62">IFERROR(INDEX(tblItems[ItemCode],SMALL(IF((tblItems[Zone]=AC$4)*(tblItems[ItemCode]&lt;&gt;""),ROW(tblItems[ItemCode])-MIN(ROW(tblItems[ItemCode]))+1),ROWS(AC$6:AC62))),"")</f>
        <v/>
      </c>
      <c r="AD62" s="70">
        <f t="array" ref="AD62">IFERROR(INDEX(tblItems[ItemCode],SMALL(IF((tblItems[Zone]=AD$4)*(tblItems[ItemCode]&lt;&gt;""),ROW(tblItems[ItemCode])-MIN(ROW(tblItems[ItemCode]))+1),ROWS(AD$6:AD62))),"")</f>
        <v/>
      </c>
      <c r="AE62" s="70">
        <f t="array" ref="AE62">IFERROR(INDEX(tblItems[ItemCode],SMALL(IF((tblItems[Zone]=AE$4)*(tblItems[ItemCode]&lt;&gt;""),ROW(tblItems[ItemCode])-MIN(ROW(tblItems[ItemCode]))+1),ROWS(AE$6:AE62))),"")</f>
        <v/>
      </c>
    </row>
    <row r="63">
      <c r="T63" s="70">
        <f t="array" ref="T63">IFERROR(INDEX(tblItems[ItemCode],SMALL(IF(tblItems[ItemCode]&lt;&gt;"",ROW(tblItems[ItemCode])-MIN(ROW(tblItems[ItemCode]))+1),ROWS(T$6:T63))),"")</f>
        <v/>
      </c>
      <c r="U63" s="70">
        <f t="array" ref="U63">IFERROR(INDEX(tblItems[ItemCode],SMALL(IF((tblItems[Zone]=U$4)*(tblItems[ItemCode]&lt;&gt;""),ROW(tblItems[ItemCode])-MIN(ROW(tblItems[ItemCode]))+1),ROWS(U$6:U63))),"")</f>
        <v/>
      </c>
      <c r="V63" s="70">
        <f t="array" ref="V63">IFERROR(INDEX(tblItems[ItemCode],SMALL(IF((tblItems[Zone]=V$4)*(tblItems[ItemCode]&lt;&gt;""),ROW(tblItems[ItemCode])-MIN(ROW(tblItems[ItemCode]))+1),ROWS(V$6:V63))),"")</f>
        <v/>
      </c>
      <c r="W63" s="70">
        <f t="array" ref="W63">IFERROR(INDEX(tblItems[ItemCode],SMALL(IF((tblItems[Zone]=W$4)*(tblItems[ItemCode]&lt;&gt;""),ROW(tblItems[ItemCode])-MIN(ROW(tblItems[ItemCode]))+1),ROWS(W$6:W63))),"")</f>
        <v/>
      </c>
      <c r="X63" s="70">
        <f t="array" ref="X63">IFERROR(INDEX(tblItems[ItemCode],SMALL(IF((tblItems[Zone]=X$4)*(tblItems[ItemCode]&lt;&gt;""),ROW(tblItems[ItemCode])-MIN(ROW(tblItems[ItemCode]))+1),ROWS(X$6:X63))),"")</f>
        <v/>
      </c>
      <c r="Y63" s="70">
        <f t="array" ref="Y63">IFERROR(INDEX(tblItems[ItemCode],SMALL(IF((tblItems[Zone]=Y$4)*(tblItems[ItemCode]&lt;&gt;""),ROW(tblItems[ItemCode])-MIN(ROW(tblItems[ItemCode]))+1),ROWS(Y$6:Y63))),"")</f>
        <v/>
      </c>
      <c r="Z63" s="70">
        <f t="array" ref="Z63">IFERROR(INDEX(tblItems[ItemCode],SMALL(IF((tblItems[Zone]=Z$4)*(tblItems[ItemCode]&lt;&gt;""),ROW(tblItems[ItemCode])-MIN(ROW(tblItems[ItemCode]))+1),ROWS(Z$6:Z63))),"")</f>
        <v/>
      </c>
      <c r="AA63" s="70">
        <f t="array" ref="AA63">IFERROR(INDEX(tblItems[ItemCode],SMALL(IF((tblItems[Zone]=AA$4)*(tblItems[ItemCode]&lt;&gt;""),ROW(tblItems[ItemCode])-MIN(ROW(tblItems[ItemCode]))+1),ROWS(AA$6:AA63))),"")</f>
        <v/>
      </c>
      <c r="AB63" s="70">
        <f t="array" ref="AB63">IFERROR(INDEX(tblItems[ItemCode],SMALL(IF((tblItems[Zone]=AB$4)*(tblItems[ItemCode]&lt;&gt;""),ROW(tblItems[ItemCode])-MIN(ROW(tblItems[ItemCode]))+1),ROWS(AB$6:AB63))),"")</f>
        <v/>
      </c>
      <c r="AC63" s="70">
        <f t="array" ref="AC63">IFERROR(INDEX(tblItems[ItemCode],SMALL(IF((tblItems[Zone]=AC$4)*(tblItems[ItemCode]&lt;&gt;""),ROW(tblItems[ItemCode])-MIN(ROW(tblItems[ItemCode]))+1),ROWS(AC$6:AC63))),"")</f>
        <v/>
      </c>
      <c r="AD63" s="70">
        <f t="array" ref="AD63">IFERROR(INDEX(tblItems[ItemCode],SMALL(IF((tblItems[Zone]=AD$4)*(tblItems[ItemCode]&lt;&gt;""),ROW(tblItems[ItemCode])-MIN(ROW(tblItems[ItemCode]))+1),ROWS(AD$6:AD63))),"")</f>
        <v/>
      </c>
      <c r="AE63" s="70">
        <f t="array" ref="AE63">IFERROR(INDEX(tblItems[ItemCode],SMALL(IF((tblItems[Zone]=AE$4)*(tblItems[ItemCode]&lt;&gt;""),ROW(tblItems[ItemCode])-MIN(ROW(tblItems[ItemCode]))+1),ROWS(AE$6:AE63))),"")</f>
        <v/>
      </c>
    </row>
    <row r="64">
      <c r="T64" s="70">
        <f t="array" ref="T64">IFERROR(INDEX(tblItems[ItemCode],SMALL(IF(tblItems[ItemCode]&lt;&gt;"",ROW(tblItems[ItemCode])-MIN(ROW(tblItems[ItemCode]))+1),ROWS(T$6:T64))),"")</f>
        <v/>
      </c>
      <c r="U64" s="70">
        <f t="array" ref="U64">IFERROR(INDEX(tblItems[ItemCode],SMALL(IF((tblItems[Zone]=U$4)*(tblItems[ItemCode]&lt;&gt;""),ROW(tblItems[ItemCode])-MIN(ROW(tblItems[ItemCode]))+1),ROWS(U$6:U64))),"")</f>
        <v/>
      </c>
      <c r="V64" s="70">
        <f t="array" ref="V64">IFERROR(INDEX(tblItems[ItemCode],SMALL(IF((tblItems[Zone]=V$4)*(tblItems[ItemCode]&lt;&gt;""),ROW(tblItems[ItemCode])-MIN(ROW(tblItems[ItemCode]))+1),ROWS(V$6:V64))),"")</f>
        <v/>
      </c>
      <c r="W64" s="70">
        <f t="array" ref="W64">IFERROR(INDEX(tblItems[ItemCode],SMALL(IF((tblItems[Zone]=W$4)*(tblItems[ItemCode]&lt;&gt;""),ROW(tblItems[ItemCode])-MIN(ROW(tblItems[ItemCode]))+1),ROWS(W$6:W64))),"")</f>
        <v/>
      </c>
      <c r="X64" s="70">
        <f t="array" ref="X64">IFERROR(INDEX(tblItems[ItemCode],SMALL(IF((tblItems[Zone]=X$4)*(tblItems[ItemCode]&lt;&gt;""),ROW(tblItems[ItemCode])-MIN(ROW(tblItems[ItemCode]))+1),ROWS(X$6:X64))),"")</f>
        <v/>
      </c>
      <c r="Y64" s="70">
        <f t="array" ref="Y64">IFERROR(INDEX(tblItems[ItemCode],SMALL(IF((tblItems[Zone]=Y$4)*(tblItems[ItemCode]&lt;&gt;""),ROW(tblItems[ItemCode])-MIN(ROW(tblItems[ItemCode]))+1),ROWS(Y$6:Y64))),"")</f>
        <v/>
      </c>
      <c r="Z64" s="70">
        <f t="array" ref="Z64">IFERROR(INDEX(tblItems[ItemCode],SMALL(IF((tblItems[Zone]=Z$4)*(tblItems[ItemCode]&lt;&gt;""),ROW(tblItems[ItemCode])-MIN(ROW(tblItems[ItemCode]))+1),ROWS(Z$6:Z64))),"")</f>
        <v/>
      </c>
      <c r="AA64" s="70">
        <f t="array" ref="AA64">IFERROR(INDEX(tblItems[ItemCode],SMALL(IF((tblItems[Zone]=AA$4)*(tblItems[ItemCode]&lt;&gt;""),ROW(tblItems[ItemCode])-MIN(ROW(tblItems[ItemCode]))+1),ROWS(AA$6:AA64))),"")</f>
        <v/>
      </c>
      <c r="AB64" s="70">
        <f t="array" ref="AB64">IFERROR(INDEX(tblItems[ItemCode],SMALL(IF((tblItems[Zone]=AB$4)*(tblItems[ItemCode]&lt;&gt;""),ROW(tblItems[ItemCode])-MIN(ROW(tblItems[ItemCode]))+1),ROWS(AB$6:AB64))),"")</f>
        <v/>
      </c>
      <c r="AC64" s="70">
        <f t="array" ref="AC64">IFERROR(INDEX(tblItems[ItemCode],SMALL(IF((tblItems[Zone]=AC$4)*(tblItems[ItemCode]&lt;&gt;""),ROW(tblItems[ItemCode])-MIN(ROW(tblItems[ItemCode]))+1),ROWS(AC$6:AC64))),"")</f>
        <v/>
      </c>
      <c r="AD64" s="70">
        <f t="array" ref="AD64">IFERROR(INDEX(tblItems[ItemCode],SMALL(IF((tblItems[Zone]=AD$4)*(tblItems[ItemCode]&lt;&gt;""),ROW(tblItems[ItemCode])-MIN(ROW(tblItems[ItemCode]))+1),ROWS(AD$6:AD64))),"")</f>
        <v/>
      </c>
      <c r="AE64" s="70">
        <f t="array" ref="AE64">IFERROR(INDEX(tblItems[ItemCode],SMALL(IF((tblItems[Zone]=AE$4)*(tblItems[ItemCode]&lt;&gt;""),ROW(tblItems[ItemCode])-MIN(ROW(tblItems[ItemCode]))+1),ROWS(AE$6:AE64))),"")</f>
        <v/>
      </c>
    </row>
    <row r="65">
      <c r="T65" s="70">
        <f t="array" ref="T65">IFERROR(INDEX(tblItems[ItemCode],SMALL(IF(tblItems[ItemCode]&lt;&gt;"",ROW(tblItems[ItemCode])-MIN(ROW(tblItems[ItemCode]))+1),ROWS(T$6:T65))),"")</f>
        <v/>
      </c>
      <c r="U65" s="70">
        <f t="array" ref="U65">IFERROR(INDEX(tblItems[ItemCode],SMALL(IF((tblItems[Zone]=U$4)*(tblItems[ItemCode]&lt;&gt;""),ROW(tblItems[ItemCode])-MIN(ROW(tblItems[ItemCode]))+1),ROWS(U$6:U65))),"")</f>
        <v/>
      </c>
      <c r="V65" s="70">
        <f t="array" ref="V65">IFERROR(INDEX(tblItems[ItemCode],SMALL(IF((tblItems[Zone]=V$4)*(tblItems[ItemCode]&lt;&gt;""),ROW(tblItems[ItemCode])-MIN(ROW(tblItems[ItemCode]))+1),ROWS(V$6:V65))),"")</f>
        <v/>
      </c>
      <c r="W65" s="70">
        <f t="array" ref="W65">IFERROR(INDEX(tblItems[ItemCode],SMALL(IF((tblItems[Zone]=W$4)*(tblItems[ItemCode]&lt;&gt;""),ROW(tblItems[ItemCode])-MIN(ROW(tblItems[ItemCode]))+1),ROWS(W$6:W65))),"")</f>
        <v/>
      </c>
      <c r="X65" s="70">
        <f t="array" ref="X65">IFERROR(INDEX(tblItems[ItemCode],SMALL(IF((tblItems[Zone]=X$4)*(tblItems[ItemCode]&lt;&gt;""),ROW(tblItems[ItemCode])-MIN(ROW(tblItems[ItemCode]))+1),ROWS(X$6:X65))),"")</f>
        <v/>
      </c>
      <c r="Y65" s="70">
        <f t="array" ref="Y65">IFERROR(INDEX(tblItems[ItemCode],SMALL(IF((tblItems[Zone]=Y$4)*(tblItems[ItemCode]&lt;&gt;""),ROW(tblItems[ItemCode])-MIN(ROW(tblItems[ItemCode]))+1),ROWS(Y$6:Y65))),"")</f>
        <v/>
      </c>
      <c r="Z65" s="70">
        <f t="array" ref="Z65">IFERROR(INDEX(tblItems[ItemCode],SMALL(IF((tblItems[Zone]=Z$4)*(tblItems[ItemCode]&lt;&gt;""),ROW(tblItems[ItemCode])-MIN(ROW(tblItems[ItemCode]))+1),ROWS(Z$6:Z65))),"")</f>
        <v/>
      </c>
      <c r="AA65" s="70">
        <f t="array" ref="AA65">IFERROR(INDEX(tblItems[ItemCode],SMALL(IF((tblItems[Zone]=AA$4)*(tblItems[ItemCode]&lt;&gt;""),ROW(tblItems[ItemCode])-MIN(ROW(tblItems[ItemCode]))+1),ROWS(AA$6:AA65))),"")</f>
        <v/>
      </c>
      <c r="AB65" s="70">
        <f t="array" ref="AB65">IFERROR(INDEX(tblItems[ItemCode],SMALL(IF((tblItems[Zone]=AB$4)*(tblItems[ItemCode]&lt;&gt;""),ROW(tblItems[ItemCode])-MIN(ROW(tblItems[ItemCode]))+1),ROWS(AB$6:AB65))),"")</f>
        <v/>
      </c>
      <c r="AC65" s="70">
        <f t="array" ref="AC65">IFERROR(INDEX(tblItems[ItemCode],SMALL(IF((tblItems[Zone]=AC$4)*(tblItems[ItemCode]&lt;&gt;""),ROW(tblItems[ItemCode])-MIN(ROW(tblItems[ItemCode]))+1),ROWS(AC$6:AC65))),"")</f>
        <v/>
      </c>
      <c r="AD65" s="70">
        <f t="array" ref="AD65">IFERROR(INDEX(tblItems[ItemCode],SMALL(IF((tblItems[Zone]=AD$4)*(tblItems[ItemCode]&lt;&gt;""),ROW(tblItems[ItemCode])-MIN(ROW(tblItems[ItemCode]))+1),ROWS(AD$6:AD65))),"")</f>
        <v/>
      </c>
      <c r="AE65" s="70">
        <f t="array" ref="AE65">IFERROR(INDEX(tblItems[ItemCode],SMALL(IF((tblItems[Zone]=AE$4)*(tblItems[ItemCode]&lt;&gt;""),ROW(tblItems[ItemCode])-MIN(ROW(tblItems[ItemCode]))+1),ROWS(AE$6:AE65))),"")</f>
        <v/>
      </c>
    </row>
    <row r="66">
      <c r="T66" s="70">
        <f t="array" ref="T66">IFERROR(INDEX(tblItems[ItemCode],SMALL(IF(tblItems[ItemCode]&lt;&gt;"",ROW(tblItems[ItemCode])-MIN(ROW(tblItems[ItemCode]))+1),ROWS(T$6:T66))),"")</f>
        <v/>
      </c>
      <c r="U66" s="70">
        <f t="array" ref="U66">IFERROR(INDEX(tblItems[ItemCode],SMALL(IF((tblItems[Zone]=U$4)*(tblItems[ItemCode]&lt;&gt;""),ROW(tblItems[ItemCode])-MIN(ROW(tblItems[ItemCode]))+1),ROWS(U$6:U66))),"")</f>
        <v/>
      </c>
      <c r="V66" s="70">
        <f t="array" ref="V66">IFERROR(INDEX(tblItems[ItemCode],SMALL(IF((tblItems[Zone]=V$4)*(tblItems[ItemCode]&lt;&gt;""),ROW(tblItems[ItemCode])-MIN(ROW(tblItems[ItemCode]))+1),ROWS(V$6:V66))),"")</f>
        <v/>
      </c>
      <c r="W66" s="70">
        <f t="array" ref="W66">IFERROR(INDEX(tblItems[ItemCode],SMALL(IF((tblItems[Zone]=W$4)*(tblItems[ItemCode]&lt;&gt;""),ROW(tblItems[ItemCode])-MIN(ROW(tblItems[ItemCode]))+1),ROWS(W$6:W66))),"")</f>
        <v/>
      </c>
      <c r="X66" s="70">
        <f t="array" ref="X66">IFERROR(INDEX(tblItems[ItemCode],SMALL(IF((tblItems[Zone]=X$4)*(tblItems[ItemCode]&lt;&gt;""),ROW(tblItems[ItemCode])-MIN(ROW(tblItems[ItemCode]))+1),ROWS(X$6:X66))),"")</f>
        <v/>
      </c>
      <c r="Y66" s="70">
        <f t="array" ref="Y66">IFERROR(INDEX(tblItems[ItemCode],SMALL(IF((tblItems[Zone]=Y$4)*(tblItems[ItemCode]&lt;&gt;""),ROW(tblItems[ItemCode])-MIN(ROW(tblItems[ItemCode]))+1),ROWS(Y$6:Y66))),"")</f>
        <v/>
      </c>
      <c r="Z66" s="70">
        <f t="array" ref="Z66">IFERROR(INDEX(tblItems[ItemCode],SMALL(IF((tblItems[Zone]=Z$4)*(tblItems[ItemCode]&lt;&gt;""),ROW(tblItems[ItemCode])-MIN(ROW(tblItems[ItemCode]))+1),ROWS(Z$6:Z66))),"")</f>
        <v/>
      </c>
      <c r="AA66" s="70">
        <f t="array" ref="AA66">IFERROR(INDEX(tblItems[ItemCode],SMALL(IF((tblItems[Zone]=AA$4)*(tblItems[ItemCode]&lt;&gt;""),ROW(tblItems[ItemCode])-MIN(ROW(tblItems[ItemCode]))+1),ROWS(AA$6:AA66))),"")</f>
        <v/>
      </c>
      <c r="AB66" s="70">
        <f t="array" ref="AB66">IFERROR(INDEX(tblItems[ItemCode],SMALL(IF((tblItems[Zone]=AB$4)*(tblItems[ItemCode]&lt;&gt;""),ROW(tblItems[ItemCode])-MIN(ROW(tblItems[ItemCode]))+1),ROWS(AB$6:AB66))),"")</f>
        <v/>
      </c>
      <c r="AC66" s="70">
        <f t="array" ref="AC66">IFERROR(INDEX(tblItems[ItemCode],SMALL(IF((tblItems[Zone]=AC$4)*(tblItems[ItemCode]&lt;&gt;""),ROW(tblItems[ItemCode])-MIN(ROW(tblItems[ItemCode]))+1),ROWS(AC$6:AC66))),"")</f>
        <v/>
      </c>
      <c r="AD66" s="70">
        <f t="array" ref="AD66">IFERROR(INDEX(tblItems[ItemCode],SMALL(IF((tblItems[Zone]=AD$4)*(tblItems[ItemCode]&lt;&gt;""),ROW(tblItems[ItemCode])-MIN(ROW(tblItems[ItemCode]))+1),ROWS(AD$6:AD66))),"")</f>
        <v/>
      </c>
      <c r="AE66" s="70">
        <f t="array" ref="AE66">IFERROR(INDEX(tblItems[ItemCode],SMALL(IF((tblItems[Zone]=AE$4)*(tblItems[ItemCode]&lt;&gt;""),ROW(tblItems[ItemCode])-MIN(ROW(tblItems[ItemCode]))+1),ROWS(AE$6:AE66))),"")</f>
        <v/>
      </c>
    </row>
    <row r="67">
      <c r="T67" s="70">
        <f t="array" ref="T67">IFERROR(INDEX(tblItems[ItemCode],SMALL(IF(tblItems[ItemCode]&lt;&gt;"",ROW(tblItems[ItemCode])-MIN(ROW(tblItems[ItemCode]))+1),ROWS(T$6:T67))),"")</f>
        <v/>
      </c>
      <c r="U67" s="70">
        <f t="array" ref="U67">IFERROR(INDEX(tblItems[ItemCode],SMALL(IF((tblItems[Zone]=U$4)*(tblItems[ItemCode]&lt;&gt;""),ROW(tblItems[ItemCode])-MIN(ROW(tblItems[ItemCode]))+1),ROWS(U$6:U67))),"")</f>
        <v/>
      </c>
      <c r="V67" s="70">
        <f t="array" ref="V67">IFERROR(INDEX(tblItems[ItemCode],SMALL(IF((tblItems[Zone]=V$4)*(tblItems[ItemCode]&lt;&gt;""),ROW(tblItems[ItemCode])-MIN(ROW(tblItems[ItemCode]))+1),ROWS(V$6:V67))),"")</f>
        <v/>
      </c>
      <c r="W67" s="70">
        <f t="array" ref="W67">IFERROR(INDEX(tblItems[ItemCode],SMALL(IF((tblItems[Zone]=W$4)*(tblItems[ItemCode]&lt;&gt;""),ROW(tblItems[ItemCode])-MIN(ROW(tblItems[ItemCode]))+1),ROWS(W$6:W67))),"")</f>
        <v/>
      </c>
      <c r="X67" s="70">
        <f t="array" ref="X67">IFERROR(INDEX(tblItems[ItemCode],SMALL(IF((tblItems[Zone]=X$4)*(tblItems[ItemCode]&lt;&gt;""),ROW(tblItems[ItemCode])-MIN(ROW(tblItems[ItemCode]))+1),ROWS(X$6:X67))),"")</f>
        <v/>
      </c>
      <c r="Y67" s="70">
        <f t="array" ref="Y67">IFERROR(INDEX(tblItems[ItemCode],SMALL(IF((tblItems[Zone]=Y$4)*(tblItems[ItemCode]&lt;&gt;""),ROW(tblItems[ItemCode])-MIN(ROW(tblItems[ItemCode]))+1),ROWS(Y$6:Y67))),"")</f>
        <v/>
      </c>
      <c r="Z67" s="70">
        <f t="array" ref="Z67">IFERROR(INDEX(tblItems[ItemCode],SMALL(IF((tblItems[Zone]=Z$4)*(tblItems[ItemCode]&lt;&gt;""),ROW(tblItems[ItemCode])-MIN(ROW(tblItems[ItemCode]))+1),ROWS(Z$6:Z67))),"")</f>
        <v/>
      </c>
      <c r="AA67" s="70">
        <f t="array" ref="AA67">IFERROR(INDEX(tblItems[ItemCode],SMALL(IF((tblItems[Zone]=AA$4)*(tblItems[ItemCode]&lt;&gt;""),ROW(tblItems[ItemCode])-MIN(ROW(tblItems[ItemCode]))+1),ROWS(AA$6:AA67))),"")</f>
        <v/>
      </c>
      <c r="AB67" s="70">
        <f t="array" ref="AB67">IFERROR(INDEX(tblItems[ItemCode],SMALL(IF((tblItems[Zone]=AB$4)*(tblItems[ItemCode]&lt;&gt;""),ROW(tblItems[ItemCode])-MIN(ROW(tblItems[ItemCode]))+1),ROWS(AB$6:AB67))),"")</f>
        <v/>
      </c>
      <c r="AC67" s="70">
        <f t="array" ref="AC67">IFERROR(INDEX(tblItems[ItemCode],SMALL(IF((tblItems[Zone]=AC$4)*(tblItems[ItemCode]&lt;&gt;""),ROW(tblItems[ItemCode])-MIN(ROW(tblItems[ItemCode]))+1),ROWS(AC$6:AC67))),"")</f>
        <v/>
      </c>
      <c r="AD67" s="70">
        <f t="array" ref="AD67">IFERROR(INDEX(tblItems[ItemCode],SMALL(IF((tblItems[Zone]=AD$4)*(tblItems[ItemCode]&lt;&gt;""),ROW(tblItems[ItemCode])-MIN(ROW(tblItems[ItemCode]))+1),ROWS(AD$6:AD67))),"")</f>
        <v/>
      </c>
      <c r="AE67" s="70">
        <f t="array" ref="AE67">IFERROR(INDEX(tblItems[ItemCode],SMALL(IF((tblItems[Zone]=AE$4)*(tblItems[ItemCode]&lt;&gt;""),ROW(tblItems[ItemCode])-MIN(ROW(tblItems[ItemCode]))+1),ROWS(AE$6:AE67))),"")</f>
        <v/>
      </c>
    </row>
    <row r="68">
      <c r="T68" s="70">
        <f t="array" ref="T68">IFERROR(INDEX(tblItems[ItemCode],SMALL(IF(tblItems[ItemCode]&lt;&gt;"",ROW(tblItems[ItemCode])-MIN(ROW(tblItems[ItemCode]))+1),ROWS(T$6:T68))),"")</f>
        <v/>
      </c>
      <c r="U68" s="70">
        <f t="array" ref="U68">IFERROR(INDEX(tblItems[ItemCode],SMALL(IF((tblItems[Zone]=U$4)*(tblItems[ItemCode]&lt;&gt;""),ROW(tblItems[ItemCode])-MIN(ROW(tblItems[ItemCode]))+1),ROWS(U$6:U68))),"")</f>
        <v/>
      </c>
      <c r="V68" s="70">
        <f t="array" ref="V68">IFERROR(INDEX(tblItems[ItemCode],SMALL(IF((tblItems[Zone]=V$4)*(tblItems[ItemCode]&lt;&gt;""),ROW(tblItems[ItemCode])-MIN(ROW(tblItems[ItemCode]))+1),ROWS(V$6:V68))),"")</f>
        <v/>
      </c>
      <c r="W68" s="70">
        <f t="array" ref="W68">IFERROR(INDEX(tblItems[ItemCode],SMALL(IF((tblItems[Zone]=W$4)*(tblItems[ItemCode]&lt;&gt;""),ROW(tblItems[ItemCode])-MIN(ROW(tblItems[ItemCode]))+1),ROWS(W$6:W68))),"")</f>
        <v/>
      </c>
      <c r="X68" s="70">
        <f t="array" ref="X68">IFERROR(INDEX(tblItems[ItemCode],SMALL(IF((tblItems[Zone]=X$4)*(tblItems[ItemCode]&lt;&gt;""),ROW(tblItems[ItemCode])-MIN(ROW(tblItems[ItemCode]))+1),ROWS(X$6:X68))),"")</f>
        <v/>
      </c>
      <c r="Y68" s="70">
        <f t="array" ref="Y68">IFERROR(INDEX(tblItems[ItemCode],SMALL(IF((tblItems[Zone]=Y$4)*(tblItems[ItemCode]&lt;&gt;""),ROW(tblItems[ItemCode])-MIN(ROW(tblItems[ItemCode]))+1),ROWS(Y$6:Y68))),"")</f>
        <v/>
      </c>
      <c r="Z68" s="70">
        <f t="array" ref="Z68">IFERROR(INDEX(tblItems[ItemCode],SMALL(IF((tblItems[Zone]=Z$4)*(tblItems[ItemCode]&lt;&gt;""),ROW(tblItems[ItemCode])-MIN(ROW(tblItems[ItemCode]))+1),ROWS(Z$6:Z68))),"")</f>
        <v/>
      </c>
      <c r="AA68" s="70">
        <f t="array" ref="AA68">IFERROR(INDEX(tblItems[ItemCode],SMALL(IF((tblItems[Zone]=AA$4)*(tblItems[ItemCode]&lt;&gt;""),ROW(tblItems[ItemCode])-MIN(ROW(tblItems[ItemCode]))+1),ROWS(AA$6:AA68))),"")</f>
        <v/>
      </c>
      <c r="AB68" s="70">
        <f t="array" ref="AB68">IFERROR(INDEX(tblItems[ItemCode],SMALL(IF((tblItems[Zone]=AB$4)*(tblItems[ItemCode]&lt;&gt;""),ROW(tblItems[ItemCode])-MIN(ROW(tblItems[ItemCode]))+1),ROWS(AB$6:AB68))),"")</f>
        <v/>
      </c>
      <c r="AC68" s="70">
        <f t="array" ref="AC68">IFERROR(INDEX(tblItems[ItemCode],SMALL(IF((tblItems[Zone]=AC$4)*(tblItems[ItemCode]&lt;&gt;""),ROW(tblItems[ItemCode])-MIN(ROW(tblItems[ItemCode]))+1),ROWS(AC$6:AC68))),"")</f>
        <v/>
      </c>
      <c r="AD68" s="70">
        <f t="array" ref="AD68">IFERROR(INDEX(tblItems[ItemCode],SMALL(IF((tblItems[Zone]=AD$4)*(tblItems[ItemCode]&lt;&gt;""),ROW(tblItems[ItemCode])-MIN(ROW(tblItems[ItemCode]))+1),ROWS(AD$6:AD68))),"")</f>
        <v/>
      </c>
      <c r="AE68" s="70">
        <f t="array" ref="AE68">IFERROR(INDEX(tblItems[ItemCode],SMALL(IF((tblItems[Zone]=AE$4)*(tblItems[ItemCode]&lt;&gt;""),ROW(tblItems[ItemCode])-MIN(ROW(tblItems[ItemCode]))+1),ROWS(AE$6:AE68))),"")</f>
        <v/>
      </c>
    </row>
    <row r="69">
      <c r="T69" s="70">
        <f t="array" ref="T69">IFERROR(INDEX(tblItems[ItemCode],SMALL(IF(tblItems[ItemCode]&lt;&gt;"",ROW(tblItems[ItemCode])-MIN(ROW(tblItems[ItemCode]))+1),ROWS(T$6:T69))),"")</f>
        <v/>
      </c>
      <c r="U69" s="70">
        <f t="array" ref="U69">IFERROR(INDEX(tblItems[ItemCode],SMALL(IF((tblItems[Zone]=U$4)*(tblItems[ItemCode]&lt;&gt;""),ROW(tblItems[ItemCode])-MIN(ROW(tblItems[ItemCode]))+1),ROWS(U$6:U69))),"")</f>
        <v/>
      </c>
      <c r="V69" s="70">
        <f t="array" ref="V69">IFERROR(INDEX(tblItems[ItemCode],SMALL(IF((tblItems[Zone]=V$4)*(tblItems[ItemCode]&lt;&gt;""),ROW(tblItems[ItemCode])-MIN(ROW(tblItems[ItemCode]))+1),ROWS(V$6:V69))),"")</f>
        <v/>
      </c>
      <c r="W69" s="70">
        <f t="array" ref="W69">IFERROR(INDEX(tblItems[ItemCode],SMALL(IF((tblItems[Zone]=W$4)*(tblItems[ItemCode]&lt;&gt;""),ROW(tblItems[ItemCode])-MIN(ROW(tblItems[ItemCode]))+1),ROWS(W$6:W69))),"")</f>
        <v/>
      </c>
      <c r="X69" s="70">
        <f t="array" ref="X69">IFERROR(INDEX(tblItems[ItemCode],SMALL(IF((tblItems[Zone]=X$4)*(tblItems[ItemCode]&lt;&gt;""),ROW(tblItems[ItemCode])-MIN(ROW(tblItems[ItemCode]))+1),ROWS(X$6:X69))),"")</f>
        <v/>
      </c>
      <c r="Y69" s="70">
        <f t="array" ref="Y69">IFERROR(INDEX(tblItems[ItemCode],SMALL(IF((tblItems[Zone]=Y$4)*(tblItems[ItemCode]&lt;&gt;""),ROW(tblItems[ItemCode])-MIN(ROW(tblItems[ItemCode]))+1),ROWS(Y$6:Y69))),"")</f>
        <v/>
      </c>
      <c r="Z69" s="70">
        <f t="array" ref="Z69">IFERROR(INDEX(tblItems[ItemCode],SMALL(IF((tblItems[Zone]=Z$4)*(tblItems[ItemCode]&lt;&gt;""),ROW(tblItems[ItemCode])-MIN(ROW(tblItems[ItemCode]))+1),ROWS(Z$6:Z69))),"")</f>
        <v/>
      </c>
      <c r="AA69" s="70">
        <f t="array" ref="AA69">IFERROR(INDEX(tblItems[ItemCode],SMALL(IF((tblItems[Zone]=AA$4)*(tblItems[ItemCode]&lt;&gt;""),ROW(tblItems[ItemCode])-MIN(ROW(tblItems[ItemCode]))+1),ROWS(AA$6:AA69))),"")</f>
        <v/>
      </c>
      <c r="AB69" s="70">
        <f t="array" ref="AB69">IFERROR(INDEX(tblItems[ItemCode],SMALL(IF((tblItems[Zone]=AB$4)*(tblItems[ItemCode]&lt;&gt;""),ROW(tblItems[ItemCode])-MIN(ROW(tblItems[ItemCode]))+1),ROWS(AB$6:AB69))),"")</f>
        <v/>
      </c>
      <c r="AC69" s="70">
        <f t="array" ref="AC69">IFERROR(INDEX(tblItems[ItemCode],SMALL(IF((tblItems[Zone]=AC$4)*(tblItems[ItemCode]&lt;&gt;""),ROW(tblItems[ItemCode])-MIN(ROW(tblItems[ItemCode]))+1),ROWS(AC$6:AC69))),"")</f>
        <v/>
      </c>
      <c r="AD69" s="70">
        <f t="array" ref="AD69">IFERROR(INDEX(tblItems[ItemCode],SMALL(IF((tblItems[Zone]=AD$4)*(tblItems[ItemCode]&lt;&gt;""),ROW(tblItems[ItemCode])-MIN(ROW(tblItems[ItemCode]))+1),ROWS(AD$6:AD69))),"")</f>
        <v/>
      </c>
      <c r="AE69" s="70">
        <f t="array" ref="AE69">IFERROR(INDEX(tblItems[ItemCode],SMALL(IF((tblItems[Zone]=AE$4)*(tblItems[ItemCode]&lt;&gt;""),ROW(tblItems[ItemCode])-MIN(ROW(tblItems[ItemCode]))+1),ROWS(AE$6:AE69))),"")</f>
        <v/>
      </c>
    </row>
    <row r="70">
      <c r="T70" s="70">
        <f t="array" ref="T70">IFERROR(INDEX(tblItems[ItemCode],SMALL(IF(tblItems[ItemCode]&lt;&gt;"",ROW(tblItems[ItemCode])-MIN(ROW(tblItems[ItemCode]))+1),ROWS(T$6:T70))),"")</f>
        <v/>
      </c>
      <c r="U70" s="70">
        <f t="array" ref="U70">IFERROR(INDEX(tblItems[ItemCode],SMALL(IF((tblItems[Zone]=U$4)*(tblItems[ItemCode]&lt;&gt;""),ROW(tblItems[ItemCode])-MIN(ROW(tblItems[ItemCode]))+1),ROWS(U$6:U70))),"")</f>
        <v/>
      </c>
      <c r="V70" s="70">
        <f t="array" ref="V70">IFERROR(INDEX(tblItems[ItemCode],SMALL(IF((tblItems[Zone]=V$4)*(tblItems[ItemCode]&lt;&gt;""),ROW(tblItems[ItemCode])-MIN(ROW(tblItems[ItemCode]))+1),ROWS(V$6:V70))),"")</f>
        <v/>
      </c>
      <c r="W70" s="70">
        <f t="array" ref="W70">IFERROR(INDEX(tblItems[ItemCode],SMALL(IF((tblItems[Zone]=W$4)*(tblItems[ItemCode]&lt;&gt;""),ROW(tblItems[ItemCode])-MIN(ROW(tblItems[ItemCode]))+1),ROWS(W$6:W70))),"")</f>
        <v/>
      </c>
      <c r="X70" s="70">
        <f t="array" ref="X70">IFERROR(INDEX(tblItems[ItemCode],SMALL(IF((tblItems[Zone]=X$4)*(tblItems[ItemCode]&lt;&gt;""),ROW(tblItems[ItemCode])-MIN(ROW(tblItems[ItemCode]))+1),ROWS(X$6:X70))),"")</f>
        <v/>
      </c>
      <c r="Y70" s="70">
        <f t="array" ref="Y70">IFERROR(INDEX(tblItems[ItemCode],SMALL(IF((tblItems[Zone]=Y$4)*(tblItems[ItemCode]&lt;&gt;""),ROW(tblItems[ItemCode])-MIN(ROW(tblItems[ItemCode]))+1),ROWS(Y$6:Y70))),"")</f>
        <v/>
      </c>
      <c r="Z70" s="70">
        <f t="array" ref="Z70">IFERROR(INDEX(tblItems[ItemCode],SMALL(IF((tblItems[Zone]=Z$4)*(tblItems[ItemCode]&lt;&gt;""),ROW(tblItems[ItemCode])-MIN(ROW(tblItems[ItemCode]))+1),ROWS(Z$6:Z70))),"")</f>
        <v/>
      </c>
      <c r="AA70" s="70">
        <f t="array" ref="AA70">IFERROR(INDEX(tblItems[ItemCode],SMALL(IF((tblItems[Zone]=AA$4)*(tblItems[ItemCode]&lt;&gt;""),ROW(tblItems[ItemCode])-MIN(ROW(tblItems[ItemCode]))+1),ROWS(AA$6:AA70))),"")</f>
        <v/>
      </c>
      <c r="AB70" s="70">
        <f t="array" ref="AB70">IFERROR(INDEX(tblItems[ItemCode],SMALL(IF((tblItems[Zone]=AB$4)*(tblItems[ItemCode]&lt;&gt;""),ROW(tblItems[ItemCode])-MIN(ROW(tblItems[ItemCode]))+1),ROWS(AB$6:AB70))),"")</f>
        <v/>
      </c>
      <c r="AC70" s="70">
        <f t="array" ref="AC70">IFERROR(INDEX(tblItems[ItemCode],SMALL(IF((tblItems[Zone]=AC$4)*(tblItems[ItemCode]&lt;&gt;""),ROW(tblItems[ItemCode])-MIN(ROW(tblItems[ItemCode]))+1),ROWS(AC$6:AC70))),"")</f>
        <v/>
      </c>
      <c r="AD70" s="70">
        <f t="array" ref="AD70">IFERROR(INDEX(tblItems[ItemCode],SMALL(IF((tblItems[Zone]=AD$4)*(tblItems[ItemCode]&lt;&gt;""),ROW(tblItems[ItemCode])-MIN(ROW(tblItems[ItemCode]))+1),ROWS(AD$6:AD70))),"")</f>
        <v/>
      </c>
      <c r="AE70" s="70">
        <f t="array" ref="AE70">IFERROR(INDEX(tblItems[ItemCode],SMALL(IF((tblItems[Zone]=AE$4)*(tblItems[ItemCode]&lt;&gt;""),ROW(tblItems[ItemCode])-MIN(ROW(tblItems[ItemCode]))+1),ROWS(AE$6:AE70))),"")</f>
        <v/>
      </c>
    </row>
    <row r="71">
      <c r="T71" s="70">
        <f t="array" ref="T71">IFERROR(INDEX(tblItems[ItemCode],SMALL(IF(tblItems[ItemCode]&lt;&gt;"",ROW(tblItems[ItemCode])-MIN(ROW(tblItems[ItemCode]))+1),ROWS(T$6:T71))),"")</f>
        <v/>
      </c>
      <c r="U71" s="70">
        <f t="array" ref="U71">IFERROR(INDEX(tblItems[ItemCode],SMALL(IF((tblItems[Zone]=U$4)*(tblItems[ItemCode]&lt;&gt;""),ROW(tblItems[ItemCode])-MIN(ROW(tblItems[ItemCode]))+1),ROWS(U$6:U71))),"")</f>
        <v/>
      </c>
      <c r="V71" s="70">
        <f t="array" ref="V71">IFERROR(INDEX(tblItems[ItemCode],SMALL(IF((tblItems[Zone]=V$4)*(tblItems[ItemCode]&lt;&gt;""),ROW(tblItems[ItemCode])-MIN(ROW(tblItems[ItemCode]))+1),ROWS(V$6:V71))),"")</f>
        <v/>
      </c>
      <c r="W71" s="70">
        <f t="array" ref="W71">IFERROR(INDEX(tblItems[ItemCode],SMALL(IF((tblItems[Zone]=W$4)*(tblItems[ItemCode]&lt;&gt;""),ROW(tblItems[ItemCode])-MIN(ROW(tblItems[ItemCode]))+1),ROWS(W$6:W71))),"")</f>
        <v/>
      </c>
      <c r="X71" s="70">
        <f t="array" ref="X71">IFERROR(INDEX(tblItems[ItemCode],SMALL(IF((tblItems[Zone]=X$4)*(tblItems[ItemCode]&lt;&gt;""),ROW(tblItems[ItemCode])-MIN(ROW(tblItems[ItemCode]))+1),ROWS(X$6:X71))),"")</f>
        <v/>
      </c>
      <c r="Y71" s="70">
        <f t="array" ref="Y71">IFERROR(INDEX(tblItems[ItemCode],SMALL(IF((tblItems[Zone]=Y$4)*(tblItems[ItemCode]&lt;&gt;""),ROW(tblItems[ItemCode])-MIN(ROW(tblItems[ItemCode]))+1),ROWS(Y$6:Y71))),"")</f>
        <v/>
      </c>
      <c r="Z71" s="70">
        <f t="array" ref="Z71">IFERROR(INDEX(tblItems[ItemCode],SMALL(IF((tblItems[Zone]=Z$4)*(tblItems[ItemCode]&lt;&gt;""),ROW(tblItems[ItemCode])-MIN(ROW(tblItems[ItemCode]))+1),ROWS(Z$6:Z71))),"")</f>
        <v/>
      </c>
      <c r="AA71" s="70">
        <f t="array" ref="AA71">IFERROR(INDEX(tblItems[ItemCode],SMALL(IF((tblItems[Zone]=AA$4)*(tblItems[ItemCode]&lt;&gt;""),ROW(tblItems[ItemCode])-MIN(ROW(tblItems[ItemCode]))+1),ROWS(AA$6:AA71))),"")</f>
        <v/>
      </c>
      <c r="AB71" s="70">
        <f t="array" ref="AB71">IFERROR(INDEX(tblItems[ItemCode],SMALL(IF((tblItems[Zone]=AB$4)*(tblItems[ItemCode]&lt;&gt;""),ROW(tblItems[ItemCode])-MIN(ROW(tblItems[ItemCode]))+1),ROWS(AB$6:AB71))),"")</f>
        <v/>
      </c>
      <c r="AC71" s="70">
        <f t="array" ref="AC71">IFERROR(INDEX(tblItems[ItemCode],SMALL(IF((tblItems[Zone]=AC$4)*(tblItems[ItemCode]&lt;&gt;""),ROW(tblItems[ItemCode])-MIN(ROW(tblItems[ItemCode]))+1),ROWS(AC$6:AC71))),"")</f>
        <v/>
      </c>
      <c r="AD71" s="70">
        <f t="array" ref="AD71">IFERROR(INDEX(tblItems[ItemCode],SMALL(IF((tblItems[Zone]=AD$4)*(tblItems[ItemCode]&lt;&gt;""),ROW(tblItems[ItemCode])-MIN(ROW(tblItems[ItemCode]))+1),ROWS(AD$6:AD71))),"")</f>
        <v/>
      </c>
      <c r="AE71" s="70">
        <f t="array" ref="AE71">IFERROR(INDEX(tblItems[ItemCode],SMALL(IF((tblItems[Zone]=AE$4)*(tblItems[ItemCode]&lt;&gt;""),ROW(tblItems[ItemCode])-MIN(ROW(tblItems[ItemCode]))+1),ROWS(AE$6:AE71))),"")</f>
        <v/>
      </c>
    </row>
    <row r="72">
      <c r="T72" s="70">
        <f t="array" ref="T72">IFERROR(INDEX(tblItems[ItemCode],SMALL(IF(tblItems[ItemCode]&lt;&gt;"",ROW(tblItems[ItemCode])-MIN(ROW(tblItems[ItemCode]))+1),ROWS(T$6:T72))),"")</f>
        <v/>
      </c>
      <c r="U72" s="70">
        <f t="array" ref="U72">IFERROR(INDEX(tblItems[ItemCode],SMALL(IF((tblItems[Zone]=U$4)*(tblItems[ItemCode]&lt;&gt;""),ROW(tblItems[ItemCode])-MIN(ROW(tblItems[ItemCode]))+1),ROWS(U$6:U72))),"")</f>
        <v/>
      </c>
      <c r="V72" s="70">
        <f t="array" ref="V72">IFERROR(INDEX(tblItems[ItemCode],SMALL(IF((tblItems[Zone]=V$4)*(tblItems[ItemCode]&lt;&gt;""),ROW(tblItems[ItemCode])-MIN(ROW(tblItems[ItemCode]))+1),ROWS(V$6:V72))),"")</f>
        <v/>
      </c>
      <c r="W72" s="70">
        <f t="array" ref="W72">IFERROR(INDEX(tblItems[ItemCode],SMALL(IF((tblItems[Zone]=W$4)*(tblItems[ItemCode]&lt;&gt;""),ROW(tblItems[ItemCode])-MIN(ROW(tblItems[ItemCode]))+1),ROWS(W$6:W72))),"")</f>
        <v/>
      </c>
      <c r="X72" s="70">
        <f t="array" ref="X72">IFERROR(INDEX(tblItems[ItemCode],SMALL(IF((tblItems[Zone]=X$4)*(tblItems[ItemCode]&lt;&gt;""),ROW(tblItems[ItemCode])-MIN(ROW(tblItems[ItemCode]))+1),ROWS(X$6:X72))),"")</f>
        <v/>
      </c>
      <c r="Y72" s="70">
        <f t="array" ref="Y72">IFERROR(INDEX(tblItems[ItemCode],SMALL(IF((tblItems[Zone]=Y$4)*(tblItems[ItemCode]&lt;&gt;""),ROW(tblItems[ItemCode])-MIN(ROW(tblItems[ItemCode]))+1),ROWS(Y$6:Y72))),"")</f>
        <v/>
      </c>
      <c r="Z72" s="70">
        <f t="array" ref="Z72">IFERROR(INDEX(tblItems[ItemCode],SMALL(IF((tblItems[Zone]=Z$4)*(tblItems[ItemCode]&lt;&gt;""),ROW(tblItems[ItemCode])-MIN(ROW(tblItems[ItemCode]))+1),ROWS(Z$6:Z72))),"")</f>
        <v/>
      </c>
      <c r="AA72" s="70">
        <f t="array" ref="AA72">IFERROR(INDEX(tblItems[ItemCode],SMALL(IF((tblItems[Zone]=AA$4)*(tblItems[ItemCode]&lt;&gt;""),ROW(tblItems[ItemCode])-MIN(ROW(tblItems[ItemCode]))+1),ROWS(AA$6:AA72))),"")</f>
        <v/>
      </c>
      <c r="AB72" s="70">
        <f t="array" ref="AB72">IFERROR(INDEX(tblItems[ItemCode],SMALL(IF((tblItems[Zone]=AB$4)*(tblItems[ItemCode]&lt;&gt;""),ROW(tblItems[ItemCode])-MIN(ROW(tblItems[ItemCode]))+1),ROWS(AB$6:AB72))),"")</f>
        <v/>
      </c>
      <c r="AC72" s="70">
        <f t="array" ref="AC72">IFERROR(INDEX(tblItems[ItemCode],SMALL(IF((tblItems[Zone]=AC$4)*(tblItems[ItemCode]&lt;&gt;""),ROW(tblItems[ItemCode])-MIN(ROW(tblItems[ItemCode]))+1),ROWS(AC$6:AC72))),"")</f>
        <v/>
      </c>
      <c r="AD72" s="70">
        <f t="array" ref="AD72">IFERROR(INDEX(tblItems[ItemCode],SMALL(IF((tblItems[Zone]=AD$4)*(tblItems[ItemCode]&lt;&gt;""),ROW(tblItems[ItemCode])-MIN(ROW(tblItems[ItemCode]))+1),ROWS(AD$6:AD72))),"")</f>
        <v/>
      </c>
      <c r="AE72" s="70">
        <f t="array" ref="AE72">IFERROR(INDEX(tblItems[ItemCode],SMALL(IF((tblItems[Zone]=AE$4)*(tblItems[ItemCode]&lt;&gt;""),ROW(tblItems[ItemCode])-MIN(ROW(tblItems[ItemCode]))+1),ROWS(AE$6:AE72))),"")</f>
        <v/>
      </c>
    </row>
    <row r="73">
      <c r="T73" s="70">
        <f t="array" ref="T73">IFERROR(INDEX(tblItems[ItemCode],SMALL(IF(tblItems[ItemCode]&lt;&gt;"",ROW(tblItems[ItemCode])-MIN(ROW(tblItems[ItemCode]))+1),ROWS(T$6:T73))),"")</f>
        <v/>
      </c>
      <c r="U73" s="70">
        <f t="array" ref="U73">IFERROR(INDEX(tblItems[ItemCode],SMALL(IF((tblItems[Zone]=U$4)*(tblItems[ItemCode]&lt;&gt;""),ROW(tblItems[ItemCode])-MIN(ROW(tblItems[ItemCode]))+1),ROWS(U$6:U73))),"")</f>
        <v/>
      </c>
      <c r="V73" s="70">
        <f t="array" ref="V73">IFERROR(INDEX(tblItems[ItemCode],SMALL(IF((tblItems[Zone]=V$4)*(tblItems[ItemCode]&lt;&gt;""),ROW(tblItems[ItemCode])-MIN(ROW(tblItems[ItemCode]))+1),ROWS(V$6:V73))),"")</f>
        <v/>
      </c>
      <c r="W73" s="70">
        <f t="array" ref="W73">IFERROR(INDEX(tblItems[ItemCode],SMALL(IF((tblItems[Zone]=W$4)*(tblItems[ItemCode]&lt;&gt;""),ROW(tblItems[ItemCode])-MIN(ROW(tblItems[ItemCode]))+1),ROWS(W$6:W73))),"")</f>
        <v/>
      </c>
      <c r="X73" s="70">
        <f t="array" ref="X73">IFERROR(INDEX(tblItems[ItemCode],SMALL(IF((tblItems[Zone]=X$4)*(tblItems[ItemCode]&lt;&gt;""),ROW(tblItems[ItemCode])-MIN(ROW(tblItems[ItemCode]))+1),ROWS(X$6:X73))),"")</f>
        <v/>
      </c>
      <c r="Y73" s="70">
        <f t="array" ref="Y73">IFERROR(INDEX(tblItems[ItemCode],SMALL(IF((tblItems[Zone]=Y$4)*(tblItems[ItemCode]&lt;&gt;""),ROW(tblItems[ItemCode])-MIN(ROW(tblItems[ItemCode]))+1),ROWS(Y$6:Y73))),"")</f>
        <v/>
      </c>
      <c r="Z73" s="70">
        <f t="array" ref="Z73">IFERROR(INDEX(tblItems[ItemCode],SMALL(IF((tblItems[Zone]=Z$4)*(tblItems[ItemCode]&lt;&gt;""),ROW(tblItems[ItemCode])-MIN(ROW(tblItems[ItemCode]))+1),ROWS(Z$6:Z73))),"")</f>
        <v/>
      </c>
      <c r="AA73" s="70">
        <f t="array" ref="AA73">IFERROR(INDEX(tblItems[ItemCode],SMALL(IF((tblItems[Zone]=AA$4)*(tblItems[ItemCode]&lt;&gt;""),ROW(tblItems[ItemCode])-MIN(ROW(tblItems[ItemCode]))+1),ROWS(AA$6:AA73))),"")</f>
        <v/>
      </c>
      <c r="AB73" s="70">
        <f t="array" ref="AB73">IFERROR(INDEX(tblItems[ItemCode],SMALL(IF((tblItems[Zone]=AB$4)*(tblItems[ItemCode]&lt;&gt;""),ROW(tblItems[ItemCode])-MIN(ROW(tblItems[ItemCode]))+1),ROWS(AB$6:AB73))),"")</f>
        <v/>
      </c>
      <c r="AC73" s="70">
        <f t="array" ref="AC73">IFERROR(INDEX(tblItems[ItemCode],SMALL(IF((tblItems[Zone]=AC$4)*(tblItems[ItemCode]&lt;&gt;""),ROW(tblItems[ItemCode])-MIN(ROW(tblItems[ItemCode]))+1),ROWS(AC$6:AC73))),"")</f>
        <v/>
      </c>
      <c r="AD73" s="70">
        <f t="array" ref="AD73">IFERROR(INDEX(tblItems[ItemCode],SMALL(IF((tblItems[Zone]=AD$4)*(tblItems[ItemCode]&lt;&gt;""),ROW(tblItems[ItemCode])-MIN(ROW(tblItems[ItemCode]))+1),ROWS(AD$6:AD73))),"")</f>
        <v/>
      </c>
      <c r="AE73" s="70">
        <f t="array" ref="AE73">IFERROR(INDEX(tblItems[ItemCode],SMALL(IF((tblItems[Zone]=AE$4)*(tblItems[ItemCode]&lt;&gt;""),ROW(tblItems[ItemCode])-MIN(ROW(tblItems[ItemCode]))+1),ROWS(AE$6:AE73))),"")</f>
        <v/>
      </c>
    </row>
    <row r="74">
      <c r="T74" s="70">
        <f t="array" ref="T74">IFERROR(INDEX(tblItems[ItemCode],SMALL(IF(tblItems[ItemCode]&lt;&gt;"",ROW(tblItems[ItemCode])-MIN(ROW(tblItems[ItemCode]))+1),ROWS(T$6:T74))),"")</f>
        <v/>
      </c>
      <c r="U74" s="70">
        <f t="array" ref="U74">IFERROR(INDEX(tblItems[ItemCode],SMALL(IF((tblItems[Zone]=U$4)*(tblItems[ItemCode]&lt;&gt;""),ROW(tblItems[ItemCode])-MIN(ROW(tblItems[ItemCode]))+1),ROWS(U$6:U74))),"")</f>
        <v/>
      </c>
      <c r="V74" s="70">
        <f t="array" ref="V74">IFERROR(INDEX(tblItems[ItemCode],SMALL(IF((tblItems[Zone]=V$4)*(tblItems[ItemCode]&lt;&gt;""),ROW(tblItems[ItemCode])-MIN(ROW(tblItems[ItemCode]))+1),ROWS(V$6:V74))),"")</f>
        <v/>
      </c>
      <c r="W74" s="70">
        <f t="array" ref="W74">IFERROR(INDEX(tblItems[ItemCode],SMALL(IF((tblItems[Zone]=W$4)*(tblItems[ItemCode]&lt;&gt;""),ROW(tblItems[ItemCode])-MIN(ROW(tblItems[ItemCode]))+1),ROWS(W$6:W74))),"")</f>
        <v/>
      </c>
      <c r="X74" s="70">
        <f t="array" ref="X74">IFERROR(INDEX(tblItems[ItemCode],SMALL(IF((tblItems[Zone]=X$4)*(tblItems[ItemCode]&lt;&gt;""),ROW(tblItems[ItemCode])-MIN(ROW(tblItems[ItemCode]))+1),ROWS(X$6:X74))),"")</f>
        <v/>
      </c>
      <c r="Y74" s="70">
        <f t="array" ref="Y74">IFERROR(INDEX(tblItems[ItemCode],SMALL(IF((tblItems[Zone]=Y$4)*(tblItems[ItemCode]&lt;&gt;""),ROW(tblItems[ItemCode])-MIN(ROW(tblItems[ItemCode]))+1),ROWS(Y$6:Y74))),"")</f>
        <v/>
      </c>
      <c r="Z74" s="70">
        <f t="array" ref="Z74">IFERROR(INDEX(tblItems[ItemCode],SMALL(IF((tblItems[Zone]=Z$4)*(tblItems[ItemCode]&lt;&gt;""),ROW(tblItems[ItemCode])-MIN(ROW(tblItems[ItemCode]))+1),ROWS(Z$6:Z74))),"")</f>
        <v/>
      </c>
      <c r="AA74" s="70">
        <f t="array" ref="AA74">IFERROR(INDEX(tblItems[ItemCode],SMALL(IF((tblItems[Zone]=AA$4)*(tblItems[ItemCode]&lt;&gt;""),ROW(tblItems[ItemCode])-MIN(ROW(tblItems[ItemCode]))+1),ROWS(AA$6:AA74))),"")</f>
        <v/>
      </c>
      <c r="AB74" s="70">
        <f t="array" ref="AB74">IFERROR(INDEX(tblItems[ItemCode],SMALL(IF((tblItems[Zone]=AB$4)*(tblItems[ItemCode]&lt;&gt;""),ROW(tblItems[ItemCode])-MIN(ROW(tblItems[ItemCode]))+1),ROWS(AB$6:AB74))),"")</f>
        <v/>
      </c>
      <c r="AC74" s="70">
        <f t="array" ref="AC74">IFERROR(INDEX(tblItems[ItemCode],SMALL(IF((tblItems[Zone]=AC$4)*(tblItems[ItemCode]&lt;&gt;""),ROW(tblItems[ItemCode])-MIN(ROW(tblItems[ItemCode]))+1),ROWS(AC$6:AC74))),"")</f>
        <v/>
      </c>
      <c r="AD74" s="70">
        <f t="array" ref="AD74">IFERROR(INDEX(tblItems[ItemCode],SMALL(IF((tblItems[Zone]=AD$4)*(tblItems[ItemCode]&lt;&gt;""),ROW(tblItems[ItemCode])-MIN(ROW(tblItems[ItemCode]))+1),ROWS(AD$6:AD74))),"")</f>
        <v/>
      </c>
      <c r="AE74" s="70">
        <f t="array" ref="AE74">IFERROR(INDEX(tblItems[ItemCode],SMALL(IF((tblItems[Zone]=AE$4)*(tblItems[ItemCode]&lt;&gt;""),ROW(tblItems[ItemCode])-MIN(ROW(tblItems[ItemCode]))+1),ROWS(AE$6:AE74))),"")</f>
        <v/>
      </c>
    </row>
    <row r="75">
      <c r="T75" s="70">
        <f t="array" ref="T75">IFERROR(INDEX(tblItems[ItemCode],SMALL(IF(tblItems[ItemCode]&lt;&gt;"",ROW(tblItems[ItemCode])-MIN(ROW(tblItems[ItemCode]))+1),ROWS(T$6:T75))),"")</f>
        <v/>
      </c>
      <c r="U75" s="70">
        <f t="array" ref="U75">IFERROR(INDEX(tblItems[ItemCode],SMALL(IF((tblItems[Zone]=U$4)*(tblItems[ItemCode]&lt;&gt;""),ROW(tblItems[ItemCode])-MIN(ROW(tblItems[ItemCode]))+1),ROWS(U$6:U75))),"")</f>
        <v/>
      </c>
      <c r="V75" s="70">
        <f t="array" ref="V75">IFERROR(INDEX(tblItems[ItemCode],SMALL(IF((tblItems[Zone]=V$4)*(tblItems[ItemCode]&lt;&gt;""),ROW(tblItems[ItemCode])-MIN(ROW(tblItems[ItemCode]))+1),ROWS(V$6:V75))),"")</f>
        <v/>
      </c>
      <c r="W75" s="70">
        <f t="array" ref="W75">IFERROR(INDEX(tblItems[ItemCode],SMALL(IF((tblItems[Zone]=W$4)*(tblItems[ItemCode]&lt;&gt;""),ROW(tblItems[ItemCode])-MIN(ROW(tblItems[ItemCode]))+1),ROWS(W$6:W75))),"")</f>
        <v/>
      </c>
      <c r="X75" s="70">
        <f t="array" ref="X75">IFERROR(INDEX(tblItems[ItemCode],SMALL(IF((tblItems[Zone]=X$4)*(tblItems[ItemCode]&lt;&gt;""),ROW(tblItems[ItemCode])-MIN(ROW(tblItems[ItemCode]))+1),ROWS(X$6:X75))),"")</f>
        <v/>
      </c>
      <c r="Y75" s="70">
        <f t="array" ref="Y75">IFERROR(INDEX(tblItems[ItemCode],SMALL(IF((tblItems[Zone]=Y$4)*(tblItems[ItemCode]&lt;&gt;""),ROW(tblItems[ItemCode])-MIN(ROW(tblItems[ItemCode]))+1),ROWS(Y$6:Y75))),"")</f>
        <v/>
      </c>
      <c r="Z75" s="70">
        <f t="array" ref="Z75">IFERROR(INDEX(tblItems[ItemCode],SMALL(IF((tblItems[Zone]=Z$4)*(tblItems[ItemCode]&lt;&gt;""),ROW(tblItems[ItemCode])-MIN(ROW(tblItems[ItemCode]))+1),ROWS(Z$6:Z75))),"")</f>
        <v/>
      </c>
      <c r="AA75" s="70">
        <f t="array" ref="AA75">IFERROR(INDEX(tblItems[ItemCode],SMALL(IF((tblItems[Zone]=AA$4)*(tblItems[ItemCode]&lt;&gt;""),ROW(tblItems[ItemCode])-MIN(ROW(tblItems[ItemCode]))+1),ROWS(AA$6:AA75))),"")</f>
        <v/>
      </c>
      <c r="AB75" s="70">
        <f t="array" ref="AB75">IFERROR(INDEX(tblItems[ItemCode],SMALL(IF((tblItems[Zone]=AB$4)*(tblItems[ItemCode]&lt;&gt;""),ROW(tblItems[ItemCode])-MIN(ROW(tblItems[ItemCode]))+1),ROWS(AB$6:AB75))),"")</f>
        <v/>
      </c>
      <c r="AC75" s="70">
        <f t="array" ref="AC75">IFERROR(INDEX(tblItems[ItemCode],SMALL(IF((tblItems[Zone]=AC$4)*(tblItems[ItemCode]&lt;&gt;""),ROW(tblItems[ItemCode])-MIN(ROW(tblItems[ItemCode]))+1),ROWS(AC$6:AC75))),"")</f>
        <v/>
      </c>
      <c r="AD75" s="70">
        <f t="array" ref="AD75">IFERROR(INDEX(tblItems[ItemCode],SMALL(IF((tblItems[Zone]=AD$4)*(tblItems[ItemCode]&lt;&gt;""),ROW(tblItems[ItemCode])-MIN(ROW(tblItems[ItemCode]))+1),ROWS(AD$6:AD75))),"")</f>
        <v/>
      </c>
      <c r="AE75" s="70">
        <f t="array" ref="AE75">IFERROR(INDEX(tblItems[ItemCode],SMALL(IF((tblItems[Zone]=AE$4)*(tblItems[ItemCode]&lt;&gt;""),ROW(tblItems[ItemCode])-MIN(ROW(tblItems[ItemCode]))+1),ROWS(AE$6:AE75))),"")</f>
        <v/>
      </c>
    </row>
    <row r="76">
      <c r="T76" s="70">
        <f t="array" ref="T76">IFERROR(INDEX(tblItems[ItemCode],SMALL(IF(tblItems[ItemCode]&lt;&gt;"",ROW(tblItems[ItemCode])-MIN(ROW(tblItems[ItemCode]))+1),ROWS(T$6:T76))),"")</f>
        <v/>
      </c>
      <c r="U76" s="70">
        <f t="array" ref="U76">IFERROR(INDEX(tblItems[ItemCode],SMALL(IF((tblItems[Zone]=U$4)*(tblItems[ItemCode]&lt;&gt;""),ROW(tblItems[ItemCode])-MIN(ROW(tblItems[ItemCode]))+1),ROWS(U$6:U76))),"")</f>
        <v/>
      </c>
      <c r="V76" s="70">
        <f t="array" ref="V76">IFERROR(INDEX(tblItems[ItemCode],SMALL(IF((tblItems[Zone]=V$4)*(tblItems[ItemCode]&lt;&gt;""),ROW(tblItems[ItemCode])-MIN(ROW(tblItems[ItemCode]))+1),ROWS(V$6:V76))),"")</f>
        <v/>
      </c>
      <c r="W76" s="70">
        <f t="array" ref="W76">IFERROR(INDEX(tblItems[ItemCode],SMALL(IF((tblItems[Zone]=W$4)*(tblItems[ItemCode]&lt;&gt;""),ROW(tblItems[ItemCode])-MIN(ROW(tblItems[ItemCode]))+1),ROWS(W$6:W76))),"")</f>
        <v/>
      </c>
      <c r="X76" s="70">
        <f t="array" ref="X76">IFERROR(INDEX(tblItems[ItemCode],SMALL(IF((tblItems[Zone]=X$4)*(tblItems[ItemCode]&lt;&gt;""),ROW(tblItems[ItemCode])-MIN(ROW(tblItems[ItemCode]))+1),ROWS(X$6:X76))),"")</f>
        <v/>
      </c>
      <c r="Y76" s="70">
        <f t="array" ref="Y76">IFERROR(INDEX(tblItems[ItemCode],SMALL(IF((tblItems[Zone]=Y$4)*(tblItems[ItemCode]&lt;&gt;""),ROW(tblItems[ItemCode])-MIN(ROW(tblItems[ItemCode]))+1),ROWS(Y$6:Y76))),"")</f>
        <v/>
      </c>
      <c r="Z76" s="70">
        <f t="array" ref="Z76">IFERROR(INDEX(tblItems[ItemCode],SMALL(IF((tblItems[Zone]=Z$4)*(tblItems[ItemCode]&lt;&gt;""),ROW(tblItems[ItemCode])-MIN(ROW(tblItems[ItemCode]))+1),ROWS(Z$6:Z76))),"")</f>
        <v/>
      </c>
      <c r="AA76" s="70">
        <f t="array" ref="AA76">IFERROR(INDEX(tblItems[ItemCode],SMALL(IF((tblItems[Zone]=AA$4)*(tblItems[ItemCode]&lt;&gt;""),ROW(tblItems[ItemCode])-MIN(ROW(tblItems[ItemCode]))+1),ROWS(AA$6:AA76))),"")</f>
        <v/>
      </c>
      <c r="AB76" s="70">
        <f t="array" ref="AB76">IFERROR(INDEX(tblItems[ItemCode],SMALL(IF((tblItems[Zone]=AB$4)*(tblItems[ItemCode]&lt;&gt;""),ROW(tblItems[ItemCode])-MIN(ROW(tblItems[ItemCode]))+1),ROWS(AB$6:AB76))),"")</f>
        <v/>
      </c>
      <c r="AC76" s="70">
        <f t="array" ref="AC76">IFERROR(INDEX(tblItems[ItemCode],SMALL(IF((tblItems[Zone]=AC$4)*(tblItems[ItemCode]&lt;&gt;""),ROW(tblItems[ItemCode])-MIN(ROW(tblItems[ItemCode]))+1),ROWS(AC$6:AC76))),"")</f>
        <v/>
      </c>
      <c r="AD76" s="70">
        <f t="array" ref="AD76">IFERROR(INDEX(tblItems[ItemCode],SMALL(IF((tblItems[Zone]=AD$4)*(tblItems[ItemCode]&lt;&gt;""),ROW(tblItems[ItemCode])-MIN(ROW(tblItems[ItemCode]))+1),ROWS(AD$6:AD76))),"")</f>
        <v/>
      </c>
      <c r="AE76" s="70">
        <f t="array" ref="AE76">IFERROR(INDEX(tblItems[ItemCode],SMALL(IF((tblItems[Zone]=AE$4)*(tblItems[ItemCode]&lt;&gt;""),ROW(tblItems[ItemCode])-MIN(ROW(tblItems[ItemCode]))+1),ROWS(AE$6:AE76))),"")</f>
        <v/>
      </c>
    </row>
    <row r="77">
      <c r="T77" s="70">
        <f t="array" ref="T77">IFERROR(INDEX(tblItems[ItemCode],SMALL(IF(tblItems[ItemCode]&lt;&gt;"",ROW(tblItems[ItemCode])-MIN(ROW(tblItems[ItemCode]))+1),ROWS(T$6:T77))),"")</f>
        <v/>
      </c>
      <c r="U77" s="70">
        <f t="array" ref="U77">IFERROR(INDEX(tblItems[ItemCode],SMALL(IF((tblItems[Zone]=U$4)*(tblItems[ItemCode]&lt;&gt;""),ROW(tblItems[ItemCode])-MIN(ROW(tblItems[ItemCode]))+1),ROWS(U$6:U77))),"")</f>
        <v/>
      </c>
      <c r="V77" s="70">
        <f t="array" ref="V77">IFERROR(INDEX(tblItems[ItemCode],SMALL(IF((tblItems[Zone]=V$4)*(tblItems[ItemCode]&lt;&gt;""),ROW(tblItems[ItemCode])-MIN(ROW(tblItems[ItemCode]))+1),ROWS(V$6:V77))),"")</f>
        <v/>
      </c>
      <c r="W77" s="70">
        <f t="array" ref="W77">IFERROR(INDEX(tblItems[ItemCode],SMALL(IF((tblItems[Zone]=W$4)*(tblItems[ItemCode]&lt;&gt;""),ROW(tblItems[ItemCode])-MIN(ROW(tblItems[ItemCode]))+1),ROWS(W$6:W77))),"")</f>
        <v/>
      </c>
      <c r="X77" s="70">
        <f t="array" ref="X77">IFERROR(INDEX(tblItems[ItemCode],SMALL(IF((tblItems[Zone]=X$4)*(tblItems[ItemCode]&lt;&gt;""),ROW(tblItems[ItemCode])-MIN(ROW(tblItems[ItemCode]))+1),ROWS(X$6:X77))),"")</f>
        <v/>
      </c>
      <c r="Y77" s="70">
        <f t="array" ref="Y77">IFERROR(INDEX(tblItems[ItemCode],SMALL(IF((tblItems[Zone]=Y$4)*(tblItems[ItemCode]&lt;&gt;""),ROW(tblItems[ItemCode])-MIN(ROW(tblItems[ItemCode]))+1),ROWS(Y$6:Y77))),"")</f>
        <v/>
      </c>
      <c r="Z77" s="70">
        <f t="array" ref="Z77">IFERROR(INDEX(tblItems[ItemCode],SMALL(IF((tblItems[Zone]=Z$4)*(tblItems[ItemCode]&lt;&gt;""),ROW(tblItems[ItemCode])-MIN(ROW(tblItems[ItemCode]))+1),ROWS(Z$6:Z77))),"")</f>
        <v/>
      </c>
      <c r="AA77" s="70">
        <f t="array" ref="AA77">IFERROR(INDEX(tblItems[ItemCode],SMALL(IF((tblItems[Zone]=AA$4)*(tblItems[ItemCode]&lt;&gt;""),ROW(tblItems[ItemCode])-MIN(ROW(tblItems[ItemCode]))+1),ROWS(AA$6:AA77))),"")</f>
        <v/>
      </c>
      <c r="AB77" s="70">
        <f t="array" ref="AB77">IFERROR(INDEX(tblItems[ItemCode],SMALL(IF((tblItems[Zone]=AB$4)*(tblItems[ItemCode]&lt;&gt;""),ROW(tblItems[ItemCode])-MIN(ROW(tblItems[ItemCode]))+1),ROWS(AB$6:AB77))),"")</f>
        <v/>
      </c>
      <c r="AC77" s="70">
        <f t="array" ref="AC77">IFERROR(INDEX(tblItems[ItemCode],SMALL(IF((tblItems[Zone]=AC$4)*(tblItems[ItemCode]&lt;&gt;""),ROW(tblItems[ItemCode])-MIN(ROW(tblItems[ItemCode]))+1),ROWS(AC$6:AC77))),"")</f>
        <v/>
      </c>
      <c r="AD77" s="70">
        <f t="array" ref="AD77">IFERROR(INDEX(tblItems[ItemCode],SMALL(IF((tblItems[Zone]=AD$4)*(tblItems[ItemCode]&lt;&gt;""),ROW(tblItems[ItemCode])-MIN(ROW(tblItems[ItemCode]))+1),ROWS(AD$6:AD77))),"")</f>
        <v/>
      </c>
      <c r="AE77" s="70">
        <f t="array" ref="AE77">IFERROR(INDEX(tblItems[ItemCode],SMALL(IF((tblItems[Zone]=AE$4)*(tblItems[ItemCode]&lt;&gt;""),ROW(tblItems[ItemCode])-MIN(ROW(tblItems[ItemCode]))+1),ROWS(AE$6:AE77))),"")</f>
        <v/>
      </c>
    </row>
    <row r="78">
      <c r="T78" s="70">
        <f t="array" ref="T78">IFERROR(INDEX(tblItems[ItemCode],SMALL(IF(tblItems[ItemCode]&lt;&gt;"",ROW(tblItems[ItemCode])-MIN(ROW(tblItems[ItemCode]))+1),ROWS(T$6:T78))),"")</f>
        <v/>
      </c>
      <c r="U78" s="70">
        <f t="array" ref="U78">IFERROR(INDEX(tblItems[ItemCode],SMALL(IF((tblItems[Zone]=U$4)*(tblItems[ItemCode]&lt;&gt;""),ROW(tblItems[ItemCode])-MIN(ROW(tblItems[ItemCode]))+1),ROWS(U$6:U78))),"")</f>
        <v/>
      </c>
      <c r="V78" s="70">
        <f t="array" ref="V78">IFERROR(INDEX(tblItems[ItemCode],SMALL(IF((tblItems[Zone]=V$4)*(tblItems[ItemCode]&lt;&gt;""),ROW(tblItems[ItemCode])-MIN(ROW(tblItems[ItemCode]))+1),ROWS(V$6:V78))),"")</f>
        <v/>
      </c>
      <c r="W78" s="70">
        <f t="array" ref="W78">IFERROR(INDEX(tblItems[ItemCode],SMALL(IF((tblItems[Zone]=W$4)*(tblItems[ItemCode]&lt;&gt;""),ROW(tblItems[ItemCode])-MIN(ROW(tblItems[ItemCode]))+1),ROWS(W$6:W78))),"")</f>
        <v/>
      </c>
      <c r="X78" s="70">
        <f t="array" ref="X78">IFERROR(INDEX(tblItems[ItemCode],SMALL(IF((tblItems[Zone]=X$4)*(tblItems[ItemCode]&lt;&gt;""),ROW(tblItems[ItemCode])-MIN(ROW(tblItems[ItemCode]))+1),ROWS(X$6:X78))),"")</f>
        <v/>
      </c>
      <c r="Y78" s="70">
        <f t="array" ref="Y78">IFERROR(INDEX(tblItems[ItemCode],SMALL(IF((tblItems[Zone]=Y$4)*(tblItems[ItemCode]&lt;&gt;""),ROW(tblItems[ItemCode])-MIN(ROW(tblItems[ItemCode]))+1),ROWS(Y$6:Y78))),"")</f>
        <v/>
      </c>
      <c r="Z78" s="70">
        <f t="array" ref="Z78">IFERROR(INDEX(tblItems[ItemCode],SMALL(IF((tblItems[Zone]=Z$4)*(tblItems[ItemCode]&lt;&gt;""),ROW(tblItems[ItemCode])-MIN(ROW(tblItems[ItemCode]))+1),ROWS(Z$6:Z78))),"")</f>
        <v/>
      </c>
      <c r="AA78" s="70">
        <f t="array" ref="AA78">IFERROR(INDEX(tblItems[ItemCode],SMALL(IF((tblItems[Zone]=AA$4)*(tblItems[ItemCode]&lt;&gt;""),ROW(tblItems[ItemCode])-MIN(ROW(tblItems[ItemCode]))+1),ROWS(AA$6:AA78))),"")</f>
        <v/>
      </c>
      <c r="AB78" s="70">
        <f t="array" ref="AB78">IFERROR(INDEX(tblItems[ItemCode],SMALL(IF((tblItems[Zone]=AB$4)*(tblItems[ItemCode]&lt;&gt;""),ROW(tblItems[ItemCode])-MIN(ROW(tblItems[ItemCode]))+1),ROWS(AB$6:AB78))),"")</f>
        <v/>
      </c>
      <c r="AC78" s="70">
        <f t="array" ref="AC78">IFERROR(INDEX(tblItems[ItemCode],SMALL(IF((tblItems[Zone]=AC$4)*(tblItems[ItemCode]&lt;&gt;""),ROW(tblItems[ItemCode])-MIN(ROW(tblItems[ItemCode]))+1),ROWS(AC$6:AC78))),"")</f>
        <v/>
      </c>
      <c r="AD78" s="70">
        <f t="array" ref="AD78">IFERROR(INDEX(tblItems[ItemCode],SMALL(IF((tblItems[Zone]=AD$4)*(tblItems[ItemCode]&lt;&gt;""),ROW(tblItems[ItemCode])-MIN(ROW(tblItems[ItemCode]))+1),ROWS(AD$6:AD78))),"")</f>
        <v/>
      </c>
      <c r="AE78" s="70">
        <f t="array" ref="AE78">IFERROR(INDEX(tblItems[ItemCode],SMALL(IF((tblItems[Zone]=AE$4)*(tblItems[ItemCode]&lt;&gt;""),ROW(tblItems[ItemCode])-MIN(ROW(tblItems[ItemCode]))+1),ROWS(AE$6:AE78))),"")</f>
        <v/>
      </c>
    </row>
    <row r="79">
      <c r="T79" s="70">
        <f t="array" ref="T79">IFERROR(INDEX(tblItems[ItemCode],SMALL(IF(tblItems[ItemCode]&lt;&gt;"",ROW(tblItems[ItemCode])-MIN(ROW(tblItems[ItemCode]))+1),ROWS(T$6:T79))),"")</f>
        <v/>
      </c>
      <c r="U79" s="70">
        <f t="array" ref="U79">IFERROR(INDEX(tblItems[ItemCode],SMALL(IF((tblItems[Zone]=U$4)*(tblItems[ItemCode]&lt;&gt;""),ROW(tblItems[ItemCode])-MIN(ROW(tblItems[ItemCode]))+1),ROWS(U$6:U79))),"")</f>
        <v/>
      </c>
      <c r="V79" s="70">
        <f t="array" ref="V79">IFERROR(INDEX(tblItems[ItemCode],SMALL(IF((tblItems[Zone]=V$4)*(tblItems[ItemCode]&lt;&gt;""),ROW(tblItems[ItemCode])-MIN(ROW(tblItems[ItemCode]))+1),ROWS(V$6:V79))),"")</f>
        <v/>
      </c>
      <c r="W79" s="70">
        <f t="array" ref="W79">IFERROR(INDEX(tblItems[ItemCode],SMALL(IF((tblItems[Zone]=W$4)*(tblItems[ItemCode]&lt;&gt;""),ROW(tblItems[ItemCode])-MIN(ROW(tblItems[ItemCode]))+1),ROWS(W$6:W79))),"")</f>
        <v/>
      </c>
      <c r="X79" s="70">
        <f t="array" ref="X79">IFERROR(INDEX(tblItems[ItemCode],SMALL(IF((tblItems[Zone]=X$4)*(tblItems[ItemCode]&lt;&gt;""),ROW(tblItems[ItemCode])-MIN(ROW(tblItems[ItemCode]))+1),ROWS(X$6:X79))),"")</f>
        <v/>
      </c>
      <c r="Y79" s="70">
        <f t="array" ref="Y79">IFERROR(INDEX(tblItems[ItemCode],SMALL(IF((tblItems[Zone]=Y$4)*(tblItems[ItemCode]&lt;&gt;""),ROW(tblItems[ItemCode])-MIN(ROW(tblItems[ItemCode]))+1),ROWS(Y$6:Y79))),"")</f>
        <v/>
      </c>
      <c r="Z79" s="70">
        <f t="array" ref="Z79">IFERROR(INDEX(tblItems[ItemCode],SMALL(IF((tblItems[Zone]=Z$4)*(tblItems[ItemCode]&lt;&gt;""),ROW(tblItems[ItemCode])-MIN(ROW(tblItems[ItemCode]))+1),ROWS(Z$6:Z79))),"")</f>
        <v/>
      </c>
      <c r="AA79" s="70">
        <f t="array" ref="AA79">IFERROR(INDEX(tblItems[ItemCode],SMALL(IF((tblItems[Zone]=AA$4)*(tblItems[ItemCode]&lt;&gt;""),ROW(tblItems[ItemCode])-MIN(ROW(tblItems[ItemCode]))+1),ROWS(AA$6:AA79))),"")</f>
        <v/>
      </c>
      <c r="AB79" s="70">
        <f t="array" ref="AB79">IFERROR(INDEX(tblItems[ItemCode],SMALL(IF((tblItems[Zone]=AB$4)*(tblItems[ItemCode]&lt;&gt;""),ROW(tblItems[ItemCode])-MIN(ROW(tblItems[ItemCode]))+1),ROWS(AB$6:AB79))),"")</f>
        <v/>
      </c>
      <c r="AC79" s="70">
        <f t="array" ref="AC79">IFERROR(INDEX(tblItems[ItemCode],SMALL(IF((tblItems[Zone]=AC$4)*(tblItems[ItemCode]&lt;&gt;""),ROW(tblItems[ItemCode])-MIN(ROW(tblItems[ItemCode]))+1),ROWS(AC$6:AC79))),"")</f>
        <v/>
      </c>
      <c r="AD79" s="70">
        <f t="array" ref="AD79">IFERROR(INDEX(tblItems[ItemCode],SMALL(IF((tblItems[Zone]=AD$4)*(tblItems[ItemCode]&lt;&gt;""),ROW(tblItems[ItemCode])-MIN(ROW(tblItems[ItemCode]))+1),ROWS(AD$6:AD79))),"")</f>
        <v/>
      </c>
      <c r="AE79" s="70">
        <f t="array" ref="AE79">IFERROR(INDEX(tblItems[ItemCode],SMALL(IF((tblItems[Zone]=AE$4)*(tblItems[ItemCode]&lt;&gt;""),ROW(tblItems[ItemCode])-MIN(ROW(tblItems[ItemCode]))+1),ROWS(AE$6:AE79))),"")</f>
        <v/>
      </c>
    </row>
    <row r="80">
      <c r="T80" s="70">
        <f t="array" ref="T80">IFERROR(INDEX(tblItems[ItemCode],SMALL(IF(tblItems[ItemCode]&lt;&gt;"",ROW(tblItems[ItemCode])-MIN(ROW(tblItems[ItemCode]))+1),ROWS(T$6:T80))),"")</f>
        <v/>
      </c>
      <c r="U80" s="70">
        <f t="array" ref="U80">IFERROR(INDEX(tblItems[ItemCode],SMALL(IF((tblItems[Zone]=U$4)*(tblItems[ItemCode]&lt;&gt;""),ROW(tblItems[ItemCode])-MIN(ROW(tblItems[ItemCode]))+1),ROWS(U$6:U80))),"")</f>
        <v/>
      </c>
      <c r="V80" s="70">
        <f t="array" ref="V80">IFERROR(INDEX(tblItems[ItemCode],SMALL(IF((tblItems[Zone]=V$4)*(tblItems[ItemCode]&lt;&gt;""),ROW(tblItems[ItemCode])-MIN(ROW(tblItems[ItemCode]))+1),ROWS(V$6:V80))),"")</f>
        <v/>
      </c>
      <c r="W80" s="70">
        <f t="array" ref="W80">IFERROR(INDEX(tblItems[ItemCode],SMALL(IF((tblItems[Zone]=W$4)*(tblItems[ItemCode]&lt;&gt;""),ROW(tblItems[ItemCode])-MIN(ROW(tblItems[ItemCode]))+1),ROWS(W$6:W80))),"")</f>
        <v/>
      </c>
      <c r="X80" s="70">
        <f t="array" ref="X80">IFERROR(INDEX(tblItems[ItemCode],SMALL(IF((tblItems[Zone]=X$4)*(tblItems[ItemCode]&lt;&gt;""),ROW(tblItems[ItemCode])-MIN(ROW(tblItems[ItemCode]))+1),ROWS(X$6:X80))),"")</f>
        <v/>
      </c>
      <c r="Y80" s="70">
        <f t="array" ref="Y80">IFERROR(INDEX(tblItems[ItemCode],SMALL(IF((tblItems[Zone]=Y$4)*(tblItems[ItemCode]&lt;&gt;""),ROW(tblItems[ItemCode])-MIN(ROW(tblItems[ItemCode]))+1),ROWS(Y$6:Y80))),"")</f>
        <v/>
      </c>
      <c r="Z80" s="70">
        <f t="array" ref="Z80">IFERROR(INDEX(tblItems[ItemCode],SMALL(IF((tblItems[Zone]=Z$4)*(tblItems[ItemCode]&lt;&gt;""),ROW(tblItems[ItemCode])-MIN(ROW(tblItems[ItemCode]))+1),ROWS(Z$6:Z80))),"")</f>
        <v/>
      </c>
      <c r="AA80" s="70">
        <f t="array" ref="AA80">IFERROR(INDEX(tblItems[ItemCode],SMALL(IF((tblItems[Zone]=AA$4)*(tblItems[ItemCode]&lt;&gt;""),ROW(tblItems[ItemCode])-MIN(ROW(tblItems[ItemCode]))+1),ROWS(AA$6:AA80))),"")</f>
        <v/>
      </c>
      <c r="AB80" s="70">
        <f t="array" ref="AB80">IFERROR(INDEX(tblItems[ItemCode],SMALL(IF((tblItems[Zone]=AB$4)*(tblItems[ItemCode]&lt;&gt;""),ROW(tblItems[ItemCode])-MIN(ROW(tblItems[ItemCode]))+1),ROWS(AB$6:AB80))),"")</f>
        <v/>
      </c>
      <c r="AC80" s="70">
        <f t="array" ref="AC80">IFERROR(INDEX(tblItems[ItemCode],SMALL(IF((tblItems[Zone]=AC$4)*(tblItems[ItemCode]&lt;&gt;""),ROW(tblItems[ItemCode])-MIN(ROW(tblItems[ItemCode]))+1),ROWS(AC$6:AC80))),"")</f>
        <v/>
      </c>
      <c r="AD80" s="70">
        <f t="array" ref="AD80">IFERROR(INDEX(tblItems[ItemCode],SMALL(IF((tblItems[Zone]=AD$4)*(tblItems[ItemCode]&lt;&gt;""),ROW(tblItems[ItemCode])-MIN(ROW(tblItems[ItemCode]))+1),ROWS(AD$6:AD80))),"")</f>
        <v/>
      </c>
      <c r="AE80" s="70">
        <f t="array" ref="AE80">IFERROR(INDEX(tblItems[ItemCode],SMALL(IF((tblItems[Zone]=AE$4)*(tblItems[ItemCode]&lt;&gt;""),ROW(tblItems[ItemCode])-MIN(ROW(tblItems[ItemCode]))+1),ROWS(AE$6:AE80))),"")</f>
        <v/>
      </c>
    </row>
    <row r="81">
      <c r="T81" s="70">
        <f t="array" ref="T81">IFERROR(INDEX(tblItems[ItemCode],SMALL(IF(tblItems[ItemCode]&lt;&gt;"",ROW(tblItems[ItemCode])-MIN(ROW(tblItems[ItemCode]))+1),ROWS(T$6:T81))),"")</f>
        <v/>
      </c>
      <c r="U81" s="70">
        <f t="array" ref="U81">IFERROR(INDEX(tblItems[ItemCode],SMALL(IF((tblItems[Zone]=U$4)*(tblItems[ItemCode]&lt;&gt;""),ROW(tblItems[ItemCode])-MIN(ROW(tblItems[ItemCode]))+1),ROWS(U$6:U81))),"")</f>
        <v/>
      </c>
      <c r="V81" s="70">
        <f t="array" ref="V81">IFERROR(INDEX(tblItems[ItemCode],SMALL(IF((tblItems[Zone]=V$4)*(tblItems[ItemCode]&lt;&gt;""),ROW(tblItems[ItemCode])-MIN(ROW(tblItems[ItemCode]))+1),ROWS(V$6:V81))),"")</f>
        <v/>
      </c>
      <c r="W81" s="70">
        <f t="array" ref="W81">IFERROR(INDEX(tblItems[ItemCode],SMALL(IF((tblItems[Zone]=W$4)*(tblItems[ItemCode]&lt;&gt;""),ROW(tblItems[ItemCode])-MIN(ROW(tblItems[ItemCode]))+1),ROWS(W$6:W81))),"")</f>
        <v/>
      </c>
      <c r="X81" s="70">
        <f t="array" ref="X81">IFERROR(INDEX(tblItems[ItemCode],SMALL(IF((tblItems[Zone]=X$4)*(tblItems[ItemCode]&lt;&gt;""),ROW(tblItems[ItemCode])-MIN(ROW(tblItems[ItemCode]))+1),ROWS(X$6:X81))),"")</f>
        <v/>
      </c>
      <c r="Y81" s="70">
        <f t="array" ref="Y81">IFERROR(INDEX(tblItems[ItemCode],SMALL(IF((tblItems[Zone]=Y$4)*(tblItems[ItemCode]&lt;&gt;""),ROW(tblItems[ItemCode])-MIN(ROW(tblItems[ItemCode]))+1),ROWS(Y$6:Y81))),"")</f>
        <v/>
      </c>
      <c r="Z81" s="70">
        <f t="array" ref="Z81">IFERROR(INDEX(tblItems[ItemCode],SMALL(IF((tblItems[Zone]=Z$4)*(tblItems[ItemCode]&lt;&gt;""),ROW(tblItems[ItemCode])-MIN(ROW(tblItems[ItemCode]))+1),ROWS(Z$6:Z81))),"")</f>
        <v/>
      </c>
      <c r="AA81" s="70">
        <f t="array" ref="AA81">IFERROR(INDEX(tblItems[ItemCode],SMALL(IF((tblItems[Zone]=AA$4)*(tblItems[ItemCode]&lt;&gt;""),ROW(tblItems[ItemCode])-MIN(ROW(tblItems[ItemCode]))+1),ROWS(AA$6:AA81))),"")</f>
        <v/>
      </c>
      <c r="AB81" s="70">
        <f t="array" ref="AB81">IFERROR(INDEX(tblItems[ItemCode],SMALL(IF((tblItems[Zone]=AB$4)*(tblItems[ItemCode]&lt;&gt;""),ROW(tblItems[ItemCode])-MIN(ROW(tblItems[ItemCode]))+1),ROWS(AB$6:AB81))),"")</f>
        <v/>
      </c>
      <c r="AC81" s="70">
        <f t="array" ref="AC81">IFERROR(INDEX(tblItems[ItemCode],SMALL(IF((tblItems[Zone]=AC$4)*(tblItems[ItemCode]&lt;&gt;""),ROW(tblItems[ItemCode])-MIN(ROW(tblItems[ItemCode]))+1),ROWS(AC$6:AC81))),"")</f>
        <v/>
      </c>
      <c r="AD81" s="70">
        <f t="array" ref="AD81">IFERROR(INDEX(tblItems[ItemCode],SMALL(IF((tblItems[Zone]=AD$4)*(tblItems[ItemCode]&lt;&gt;""),ROW(tblItems[ItemCode])-MIN(ROW(tblItems[ItemCode]))+1),ROWS(AD$6:AD81))),"")</f>
        <v/>
      </c>
      <c r="AE81" s="70">
        <f t="array" ref="AE81">IFERROR(INDEX(tblItems[ItemCode],SMALL(IF((tblItems[Zone]=AE$4)*(tblItems[ItemCode]&lt;&gt;""),ROW(tblItems[ItemCode])-MIN(ROW(tblItems[ItemCode]))+1),ROWS(AE$6:AE81))),"")</f>
        <v/>
      </c>
    </row>
    <row r="82">
      <c r="T82" s="70">
        <f t="array" ref="T82">IFERROR(INDEX(tblItems[ItemCode],SMALL(IF(tblItems[ItemCode]&lt;&gt;"",ROW(tblItems[ItemCode])-MIN(ROW(tblItems[ItemCode]))+1),ROWS(T$6:T82))),"")</f>
        <v/>
      </c>
      <c r="U82" s="70">
        <f t="array" ref="U82">IFERROR(INDEX(tblItems[ItemCode],SMALL(IF((tblItems[Zone]=U$4)*(tblItems[ItemCode]&lt;&gt;""),ROW(tblItems[ItemCode])-MIN(ROW(tblItems[ItemCode]))+1),ROWS(U$6:U82))),"")</f>
        <v/>
      </c>
      <c r="V82" s="70">
        <f t="array" ref="V82">IFERROR(INDEX(tblItems[ItemCode],SMALL(IF((tblItems[Zone]=V$4)*(tblItems[ItemCode]&lt;&gt;""),ROW(tblItems[ItemCode])-MIN(ROW(tblItems[ItemCode]))+1),ROWS(V$6:V82))),"")</f>
        <v/>
      </c>
      <c r="W82" s="70">
        <f t="array" ref="W82">IFERROR(INDEX(tblItems[ItemCode],SMALL(IF((tblItems[Zone]=W$4)*(tblItems[ItemCode]&lt;&gt;""),ROW(tblItems[ItemCode])-MIN(ROW(tblItems[ItemCode]))+1),ROWS(W$6:W82))),"")</f>
        <v/>
      </c>
      <c r="X82" s="70">
        <f t="array" ref="X82">IFERROR(INDEX(tblItems[ItemCode],SMALL(IF((tblItems[Zone]=X$4)*(tblItems[ItemCode]&lt;&gt;""),ROW(tblItems[ItemCode])-MIN(ROW(tblItems[ItemCode]))+1),ROWS(X$6:X82))),"")</f>
        <v/>
      </c>
      <c r="Y82" s="70">
        <f t="array" ref="Y82">IFERROR(INDEX(tblItems[ItemCode],SMALL(IF((tblItems[Zone]=Y$4)*(tblItems[ItemCode]&lt;&gt;""),ROW(tblItems[ItemCode])-MIN(ROW(tblItems[ItemCode]))+1),ROWS(Y$6:Y82))),"")</f>
        <v/>
      </c>
      <c r="Z82" s="70">
        <f t="array" ref="Z82">IFERROR(INDEX(tblItems[ItemCode],SMALL(IF((tblItems[Zone]=Z$4)*(tblItems[ItemCode]&lt;&gt;""),ROW(tblItems[ItemCode])-MIN(ROW(tblItems[ItemCode]))+1),ROWS(Z$6:Z82))),"")</f>
        <v/>
      </c>
      <c r="AA82" s="70">
        <f t="array" ref="AA82">IFERROR(INDEX(tblItems[ItemCode],SMALL(IF((tblItems[Zone]=AA$4)*(tblItems[ItemCode]&lt;&gt;""),ROW(tblItems[ItemCode])-MIN(ROW(tblItems[ItemCode]))+1),ROWS(AA$6:AA82))),"")</f>
        <v/>
      </c>
      <c r="AB82" s="70">
        <f t="array" ref="AB82">IFERROR(INDEX(tblItems[ItemCode],SMALL(IF((tblItems[Zone]=AB$4)*(tblItems[ItemCode]&lt;&gt;""),ROW(tblItems[ItemCode])-MIN(ROW(tblItems[ItemCode]))+1),ROWS(AB$6:AB82))),"")</f>
        <v/>
      </c>
      <c r="AC82" s="70">
        <f t="array" ref="AC82">IFERROR(INDEX(tblItems[ItemCode],SMALL(IF((tblItems[Zone]=AC$4)*(tblItems[ItemCode]&lt;&gt;""),ROW(tblItems[ItemCode])-MIN(ROW(tblItems[ItemCode]))+1),ROWS(AC$6:AC82))),"")</f>
        <v/>
      </c>
      <c r="AD82" s="70">
        <f t="array" ref="AD82">IFERROR(INDEX(tblItems[ItemCode],SMALL(IF((tblItems[Zone]=AD$4)*(tblItems[ItemCode]&lt;&gt;""),ROW(tblItems[ItemCode])-MIN(ROW(tblItems[ItemCode]))+1),ROWS(AD$6:AD82))),"")</f>
        <v/>
      </c>
      <c r="AE82" s="70">
        <f t="array" ref="AE82">IFERROR(INDEX(tblItems[ItemCode],SMALL(IF((tblItems[Zone]=AE$4)*(tblItems[ItemCode]&lt;&gt;""),ROW(tblItems[ItemCode])-MIN(ROW(tblItems[ItemCode]))+1),ROWS(AE$6:AE82))),"")</f>
        <v/>
      </c>
    </row>
    <row r="83">
      <c r="T83" s="70">
        <f t="array" ref="T83">IFERROR(INDEX(tblItems[ItemCode],SMALL(IF(tblItems[ItemCode]&lt;&gt;"",ROW(tblItems[ItemCode])-MIN(ROW(tblItems[ItemCode]))+1),ROWS(T$6:T83))),"")</f>
        <v/>
      </c>
      <c r="U83" s="70">
        <f t="array" ref="U83">IFERROR(INDEX(tblItems[ItemCode],SMALL(IF((tblItems[Zone]=U$4)*(tblItems[ItemCode]&lt;&gt;""),ROW(tblItems[ItemCode])-MIN(ROW(tblItems[ItemCode]))+1),ROWS(U$6:U83))),"")</f>
        <v/>
      </c>
      <c r="V83" s="70">
        <f t="array" ref="V83">IFERROR(INDEX(tblItems[ItemCode],SMALL(IF((tblItems[Zone]=V$4)*(tblItems[ItemCode]&lt;&gt;""),ROW(tblItems[ItemCode])-MIN(ROW(tblItems[ItemCode]))+1),ROWS(V$6:V83))),"")</f>
        <v/>
      </c>
      <c r="W83" s="70">
        <f t="array" ref="W83">IFERROR(INDEX(tblItems[ItemCode],SMALL(IF((tblItems[Zone]=W$4)*(tblItems[ItemCode]&lt;&gt;""),ROW(tblItems[ItemCode])-MIN(ROW(tblItems[ItemCode]))+1),ROWS(W$6:W83))),"")</f>
        <v/>
      </c>
      <c r="X83" s="70">
        <f t="array" ref="X83">IFERROR(INDEX(tblItems[ItemCode],SMALL(IF((tblItems[Zone]=X$4)*(tblItems[ItemCode]&lt;&gt;""),ROW(tblItems[ItemCode])-MIN(ROW(tblItems[ItemCode]))+1),ROWS(X$6:X83))),"")</f>
        <v/>
      </c>
      <c r="Y83" s="70">
        <f t="array" ref="Y83">IFERROR(INDEX(tblItems[ItemCode],SMALL(IF((tblItems[Zone]=Y$4)*(tblItems[ItemCode]&lt;&gt;""),ROW(tblItems[ItemCode])-MIN(ROW(tblItems[ItemCode]))+1),ROWS(Y$6:Y83))),"")</f>
        <v/>
      </c>
      <c r="Z83" s="70">
        <f t="array" ref="Z83">IFERROR(INDEX(tblItems[ItemCode],SMALL(IF((tblItems[Zone]=Z$4)*(tblItems[ItemCode]&lt;&gt;""),ROW(tblItems[ItemCode])-MIN(ROW(tblItems[ItemCode]))+1),ROWS(Z$6:Z83))),"")</f>
        <v/>
      </c>
      <c r="AA83" s="70">
        <f t="array" ref="AA83">IFERROR(INDEX(tblItems[ItemCode],SMALL(IF((tblItems[Zone]=AA$4)*(tblItems[ItemCode]&lt;&gt;""),ROW(tblItems[ItemCode])-MIN(ROW(tblItems[ItemCode]))+1),ROWS(AA$6:AA83))),"")</f>
        <v/>
      </c>
      <c r="AB83" s="70">
        <f t="array" ref="AB83">IFERROR(INDEX(tblItems[ItemCode],SMALL(IF((tblItems[Zone]=AB$4)*(tblItems[ItemCode]&lt;&gt;""),ROW(tblItems[ItemCode])-MIN(ROW(tblItems[ItemCode]))+1),ROWS(AB$6:AB83))),"")</f>
        <v/>
      </c>
      <c r="AC83" s="70">
        <f t="array" ref="AC83">IFERROR(INDEX(tblItems[ItemCode],SMALL(IF((tblItems[Zone]=AC$4)*(tblItems[ItemCode]&lt;&gt;""),ROW(tblItems[ItemCode])-MIN(ROW(tblItems[ItemCode]))+1),ROWS(AC$6:AC83))),"")</f>
        <v/>
      </c>
      <c r="AD83" s="70">
        <f t="array" ref="AD83">IFERROR(INDEX(tblItems[ItemCode],SMALL(IF((tblItems[Zone]=AD$4)*(tblItems[ItemCode]&lt;&gt;""),ROW(tblItems[ItemCode])-MIN(ROW(tblItems[ItemCode]))+1),ROWS(AD$6:AD83))),"")</f>
        <v/>
      </c>
      <c r="AE83" s="70">
        <f t="array" ref="AE83">IFERROR(INDEX(tblItems[ItemCode],SMALL(IF((tblItems[Zone]=AE$4)*(tblItems[ItemCode]&lt;&gt;""),ROW(tblItems[ItemCode])-MIN(ROW(tblItems[ItemCode]))+1),ROWS(AE$6:AE83))),"")</f>
        <v/>
      </c>
    </row>
    <row r="84">
      <c r="T84" s="70">
        <f t="array" ref="T84">IFERROR(INDEX(tblItems[ItemCode],SMALL(IF(tblItems[ItemCode]&lt;&gt;"",ROW(tblItems[ItemCode])-MIN(ROW(tblItems[ItemCode]))+1),ROWS(T$6:T84))),"")</f>
        <v/>
      </c>
      <c r="U84" s="70">
        <f t="array" ref="U84">IFERROR(INDEX(tblItems[ItemCode],SMALL(IF((tblItems[Zone]=U$4)*(tblItems[ItemCode]&lt;&gt;""),ROW(tblItems[ItemCode])-MIN(ROW(tblItems[ItemCode]))+1),ROWS(U$6:U84))),"")</f>
        <v/>
      </c>
      <c r="V84" s="70">
        <f t="array" ref="V84">IFERROR(INDEX(tblItems[ItemCode],SMALL(IF((tblItems[Zone]=V$4)*(tblItems[ItemCode]&lt;&gt;""),ROW(tblItems[ItemCode])-MIN(ROW(tblItems[ItemCode]))+1),ROWS(V$6:V84))),"")</f>
        <v/>
      </c>
      <c r="W84" s="70">
        <f t="array" ref="W84">IFERROR(INDEX(tblItems[ItemCode],SMALL(IF((tblItems[Zone]=W$4)*(tblItems[ItemCode]&lt;&gt;""),ROW(tblItems[ItemCode])-MIN(ROW(tblItems[ItemCode]))+1),ROWS(W$6:W84))),"")</f>
        <v/>
      </c>
      <c r="X84" s="70">
        <f t="array" ref="X84">IFERROR(INDEX(tblItems[ItemCode],SMALL(IF((tblItems[Zone]=X$4)*(tblItems[ItemCode]&lt;&gt;""),ROW(tblItems[ItemCode])-MIN(ROW(tblItems[ItemCode]))+1),ROWS(X$6:X84))),"")</f>
        <v/>
      </c>
      <c r="Y84" s="70">
        <f t="array" ref="Y84">IFERROR(INDEX(tblItems[ItemCode],SMALL(IF((tblItems[Zone]=Y$4)*(tblItems[ItemCode]&lt;&gt;""),ROW(tblItems[ItemCode])-MIN(ROW(tblItems[ItemCode]))+1),ROWS(Y$6:Y84))),"")</f>
        <v/>
      </c>
      <c r="Z84" s="70">
        <f t="array" ref="Z84">IFERROR(INDEX(tblItems[ItemCode],SMALL(IF((tblItems[Zone]=Z$4)*(tblItems[ItemCode]&lt;&gt;""),ROW(tblItems[ItemCode])-MIN(ROW(tblItems[ItemCode]))+1),ROWS(Z$6:Z84))),"")</f>
        <v/>
      </c>
      <c r="AA84" s="70">
        <f t="array" ref="AA84">IFERROR(INDEX(tblItems[ItemCode],SMALL(IF((tblItems[Zone]=AA$4)*(tblItems[ItemCode]&lt;&gt;""),ROW(tblItems[ItemCode])-MIN(ROW(tblItems[ItemCode]))+1),ROWS(AA$6:AA84))),"")</f>
        <v/>
      </c>
      <c r="AB84" s="70">
        <f t="array" ref="AB84">IFERROR(INDEX(tblItems[ItemCode],SMALL(IF((tblItems[Zone]=AB$4)*(tblItems[ItemCode]&lt;&gt;""),ROW(tblItems[ItemCode])-MIN(ROW(tblItems[ItemCode]))+1),ROWS(AB$6:AB84))),"")</f>
        <v/>
      </c>
      <c r="AC84" s="70">
        <f t="array" ref="AC84">IFERROR(INDEX(tblItems[ItemCode],SMALL(IF((tblItems[Zone]=AC$4)*(tblItems[ItemCode]&lt;&gt;""),ROW(tblItems[ItemCode])-MIN(ROW(tblItems[ItemCode]))+1),ROWS(AC$6:AC84))),"")</f>
        <v/>
      </c>
      <c r="AD84" s="70">
        <f t="array" ref="AD84">IFERROR(INDEX(tblItems[ItemCode],SMALL(IF((tblItems[Zone]=AD$4)*(tblItems[ItemCode]&lt;&gt;""),ROW(tblItems[ItemCode])-MIN(ROW(tblItems[ItemCode]))+1),ROWS(AD$6:AD84))),"")</f>
        <v/>
      </c>
      <c r="AE84" s="70">
        <f t="array" ref="AE84">IFERROR(INDEX(tblItems[ItemCode],SMALL(IF((tblItems[Zone]=AE$4)*(tblItems[ItemCode]&lt;&gt;""),ROW(tblItems[ItemCode])-MIN(ROW(tblItems[ItemCode]))+1),ROWS(AE$6:AE84))),"")</f>
        <v/>
      </c>
    </row>
    <row r="85">
      <c r="T85" s="70">
        <f t="array" ref="T85">IFERROR(INDEX(tblItems[ItemCode],SMALL(IF(tblItems[ItemCode]&lt;&gt;"",ROW(tblItems[ItemCode])-MIN(ROW(tblItems[ItemCode]))+1),ROWS(T$6:T85))),"")</f>
        <v/>
      </c>
      <c r="U85" s="70">
        <f t="array" ref="U85">IFERROR(INDEX(tblItems[ItemCode],SMALL(IF((tblItems[Zone]=U$4)*(tblItems[ItemCode]&lt;&gt;""),ROW(tblItems[ItemCode])-MIN(ROW(tblItems[ItemCode]))+1),ROWS(U$6:U85))),"")</f>
        <v/>
      </c>
      <c r="V85" s="70">
        <f t="array" ref="V85">IFERROR(INDEX(tblItems[ItemCode],SMALL(IF((tblItems[Zone]=V$4)*(tblItems[ItemCode]&lt;&gt;""),ROW(tblItems[ItemCode])-MIN(ROW(tblItems[ItemCode]))+1),ROWS(V$6:V85))),"")</f>
        <v/>
      </c>
      <c r="W85" s="70">
        <f t="array" ref="W85">IFERROR(INDEX(tblItems[ItemCode],SMALL(IF((tblItems[Zone]=W$4)*(tblItems[ItemCode]&lt;&gt;""),ROW(tblItems[ItemCode])-MIN(ROW(tblItems[ItemCode]))+1),ROWS(W$6:W85))),"")</f>
        <v/>
      </c>
      <c r="X85" s="70">
        <f t="array" ref="X85">IFERROR(INDEX(tblItems[ItemCode],SMALL(IF((tblItems[Zone]=X$4)*(tblItems[ItemCode]&lt;&gt;""),ROW(tblItems[ItemCode])-MIN(ROW(tblItems[ItemCode]))+1),ROWS(X$6:X85))),"")</f>
        <v/>
      </c>
      <c r="Y85" s="70">
        <f t="array" ref="Y85">IFERROR(INDEX(tblItems[ItemCode],SMALL(IF((tblItems[Zone]=Y$4)*(tblItems[ItemCode]&lt;&gt;""),ROW(tblItems[ItemCode])-MIN(ROW(tblItems[ItemCode]))+1),ROWS(Y$6:Y85))),"")</f>
        <v/>
      </c>
      <c r="Z85" s="70">
        <f t="array" ref="Z85">IFERROR(INDEX(tblItems[ItemCode],SMALL(IF((tblItems[Zone]=Z$4)*(tblItems[ItemCode]&lt;&gt;""),ROW(tblItems[ItemCode])-MIN(ROW(tblItems[ItemCode]))+1),ROWS(Z$6:Z85))),"")</f>
        <v/>
      </c>
      <c r="AA85" s="70">
        <f t="array" ref="AA85">IFERROR(INDEX(tblItems[ItemCode],SMALL(IF((tblItems[Zone]=AA$4)*(tblItems[ItemCode]&lt;&gt;""),ROW(tblItems[ItemCode])-MIN(ROW(tblItems[ItemCode]))+1),ROWS(AA$6:AA85))),"")</f>
        <v/>
      </c>
      <c r="AB85" s="70">
        <f t="array" ref="AB85">IFERROR(INDEX(tblItems[ItemCode],SMALL(IF((tblItems[Zone]=AB$4)*(tblItems[ItemCode]&lt;&gt;""),ROW(tblItems[ItemCode])-MIN(ROW(tblItems[ItemCode]))+1),ROWS(AB$6:AB85))),"")</f>
        <v/>
      </c>
      <c r="AC85" s="70">
        <f t="array" ref="AC85">IFERROR(INDEX(tblItems[ItemCode],SMALL(IF((tblItems[Zone]=AC$4)*(tblItems[ItemCode]&lt;&gt;""),ROW(tblItems[ItemCode])-MIN(ROW(tblItems[ItemCode]))+1),ROWS(AC$6:AC85))),"")</f>
        <v/>
      </c>
      <c r="AD85" s="70">
        <f t="array" ref="AD85">IFERROR(INDEX(tblItems[ItemCode],SMALL(IF((tblItems[Zone]=AD$4)*(tblItems[ItemCode]&lt;&gt;""),ROW(tblItems[ItemCode])-MIN(ROW(tblItems[ItemCode]))+1),ROWS(AD$6:AD85))),"")</f>
        <v/>
      </c>
      <c r="AE85" s="70">
        <f t="array" ref="AE85">IFERROR(INDEX(tblItems[ItemCode],SMALL(IF((tblItems[Zone]=AE$4)*(tblItems[ItemCode]&lt;&gt;""),ROW(tblItems[ItemCode])-MIN(ROW(tblItems[ItemCode]))+1),ROWS(AE$6:AE85))),"")</f>
        <v/>
      </c>
    </row>
    <row r="86">
      <c r="T86" s="70">
        <f t="array" ref="T86">IFERROR(INDEX(tblItems[ItemCode],SMALL(IF(tblItems[ItemCode]&lt;&gt;"",ROW(tblItems[ItemCode])-MIN(ROW(tblItems[ItemCode]))+1),ROWS(T$6:T86))),"")</f>
        <v/>
      </c>
      <c r="U86" s="70">
        <f t="array" ref="U86">IFERROR(INDEX(tblItems[ItemCode],SMALL(IF((tblItems[Zone]=U$4)*(tblItems[ItemCode]&lt;&gt;""),ROW(tblItems[ItemCode])-MIN(ROW(tblItems[ItemCode]))+1),ROWS(U$6:U86))),"")</f>
        <v/>
      </c>
      <c r="V86" s="70">
        <f t="array" ref="V86">IFERROR(INDEX(tblItems[ItemCode],SMALL(IF((tblItems[Zone]=V$4)*(tblItems[ItemCode]&lt;&gt;""),ROW(tblItems[ItemCode])-MIN(ROW(tblItems[ItemCode]))+1),ROWS(V$6:V86))),"")</f>
        <v/>
      </c>
      <c r="W86" s="70">
        <f t="array" ref="W86">IFERROR(INDEX(tblItems[ItemCode],SMALL(IF((tblItems[Zone]=W$4)*(tblItems[ItemCode]&lt;&gt;""),ROW(tblItems[ItemCode])-MIN(ROW(tblItems[ItemCode]))+1),ROWS(W$6:W86))),"")</f>
        <v/>
      </c>
      <c r="X86" s="70">
        <f t="array" ref="X86">IFERROR(INDEX(tblItems[ItemCode],SMALL(IF((tblItems[Zone]=X$4)*(tblItems[ItemCode]&lt;&gt;""),ROW(tblItems[ItemCode])-MIN(ROW(tblItems[ItemCode]))+1),ROWS(X$6:X86))),"")</f>
        <v/>
      </c>
      <c r="Y86" s="70">
        <f t="array" ref="Y86">IFERROR(INDEX(tblItems[ItemCode],SMALL(IF((tblItems[Zone]=Y$4)*(tblItems[ItemCode]&lt;&gt;""),ROW(tblItems[ItemCode])-MIN(ROW(tblItems[ItemCode]))+1),ROWS(Y$6:Y86))),"")</f>
        <v/>
      </c>
      <c r="Z86" s="70">
        <f t="array" ref="Z86">IFERROR(INDEX(tblItems[ItemCode],SMALL(IF((tblItems[Zone]=Z$4)*(tblItems[ItemCode]&lt;&gt;""),ROW(tblItems[ItemCode])-MIN(ROW(tblItems[ItemCode]))+1),ROWS(Z$6:Z86))),"")</f>
        <v/>
      </c>
      <c r="AA86" s="70">
        <f t="array" ref="AA86">IFERROR(INDEX(tblItems[ItemCode],SMALL(IF((tblItems[Zone]=AA$4)*(tblItems[ItemCode]&lt;&gt;""),ROW(tblItems[ItemCode])-MIN(ROW(tblItems[ItemCode]))+1),ROWS(AA$6:AA86))),"")</f>
        <v/>
      </c>
      <c r="AB86" s="70">
        <f t="array" ref="AB86">IFERROR(INDEX(tblItems[ItemCode],SMALL(IF((tblItems[Zone]=AB$4)*(tblItems[ItemCode]&lt;&gt;""),ROW(tblItems[ItemCode])-MIN(ROW(tblItems[ItemCode]))+1),ROWS(AB$6:AB86))),"")</f>
        <v/>
      </c>
      <c r="AC86" s="70">
        <f t="array" ref="AC86">IFERROR(INDEX(tblItems[ItemCode],SMALL(IF((tblItems[Zone]=AC$4)*(tblItems[ItemCode]&lt;&gt;""),ROW(tblItems[ItemCode])-MIN(ROW(tblItems[ItemCode]))+1),ROWS(AC$6:AC86))),"")</f>
        <v/>
      </c>
      <c r="AD86" s="70">
        <f t="array" ref="AD86">IFERROR(INDEX(tblItems[ItemCode],SMALL(IF((tblItems[Zone]=AD$4)*(tblItems[ItemCode]&lt;&gt;""),ROW(tblItems[ItemCode])-MIN(ROW(tblItems[ItemCode]))+1),ROWS(AD$6:AD86))),"")</f>
        <v/>
      </c>
      <c r="AE86" s="70">
        <f t="array" ref="AE86">IFERROR(INDEX(tblItems[ItemCode],SMALL(IF((tblItems[Zone]=AE$4)*(tblItems[ItemCode]&lt;&gt;""),ROW(tblItems[ItemCode])-MIN(ROW(tblItems[ItemCode]))+1),ROWS(AE$6:AE86))),"")</f>
        <v/>
      </c>
    </row>
    <row r="87">
      <c r="T87" s="70">
        <f t="array" ref="T87">IFERROR(INDEX(tblItems[ItemCode],SMALL(IF(tblItems[ItemCode]&lt;&gt;"",ROW(tblItems[ItemCode])-MIN(ROW(tblItems[ItemCode]))+1),ROWS(T$6:T87))),"")</f>
        <v/>
      </c>
      <c r="U87" s="70">
        <f t="array" ref="U87">IFERROR(INDEX(tblItems[ItemCode],SMALL(IF((tblItems[Zone]=U$4)*(tblItems[ItemCode]&lt;&gt;""),ROW(tblItems[ItemCode])-MIN(ROW(tblItems[ItemCode]))+1),ROWS(U$6:U87))),"")</f>
        <v/>
      </c>
      <c r="V87" s="70">
        <f t="array" ref="V87">IFERROR(INDEX(tblItems[ItemCode],SMALL(IF((tblItems[Zone]=V$4)*(tblItems[ItemCode]&lt;&gt;""),ROW(tblItems[ItemCode])-MIN(ROW(tblItems[ItemCode]))+1),ROWS(V$6:V87))),"")</f>
        <v/>
      </c>
      <c r="W87" s="70">
        <f t="array" ref="W87">IFERROR(INDEX(tblItems[ItemCode],SMALL(IF((tblItems[Zone]=W$4)*(tblItems[ItemCode]&lt;&gt;""),ROW(tblItems[ItemCode])-MIN(ROW(tblItems[ItemCode]))+1),ROWS(W$6:W87))),"")</f>
        <v/>
      </c>
      <c r="X87" s="70">
        <f t="array" ref="X87">IFERROR(INDEX(tblItems[ItemCode],SMALL(IF((tblItems[Zone]=X$4)*(tblItems[ItemCode]&lt;&gt;""),ROW(tblItems[ItemCode])-MIN(ROW(tblItems[ItemCode]))+1),ROWS(X$6:X87))),"")</f>
        <v/>
      </c>
      <c r="Y87" s="70">
        <f t="array" ref="Y87">IFERROR(INDEX(tblItems[ItemCode],SMALL(IF((tblItems[Zone]=Y$4)*(tblItems[ItemCode]&lt;&gt;""),ROW(tblItems[ItemCode])-MIN(ROW(tblItems[ItemCode]))+1),ROWS(Y$6:Y87))),"")</f>
        <v/>
      </c>
      <c r="Z87" s="70">
        <f t="array" ref="Z87">IFERROR(INDEX(tblItems[ItemCode],SMALL(IF((tblItems[Zone]=Z$4)*(tblItems[ItemCode]&lt;&gt;""),ROW(tblItems[ItemCode])-MIN(ROW(tblItems[ItemCode]))+1),ROWS(Z$6:Z87))),"")</f>
        <v/>
      </c>
      <c r="AA87" s="70">
        <f t="array" ref="AA87">IFERROR(INDEX(tblItems[ItemCode],SMALL(IF((tblItems[Zone]=AA$4)*(tblItems[ItemCode]&lt;&gt;""),ROW(tblItems[ItemCode])-MIN(ROW(tblItems[ItemCode]))+1),ROWS(AA$6:AA87))),"")</f>
        <v/>
      </c>
      <c r="AB87" s="70">
        <f t="array" ref="AB87">IFERROR(INDEX(tblItems[ItemCode],SMALL(IF((tblItems[Zone]=AB$4)*(tblItems[ItemCode]&lt;&gt;""),ROW(tblItems[ItemCode])-MIN(ROW(tblItems[ItemCode]))+1),ROWS(AB$6:AB87))),"")</f>
        <v/>
      </c>
      <c r="AC87" s="70">
        <f t="array" ref="AC87">IFERROR(INDEX(tblItems[ItemCode],SMALL(IF((tblItems[Zone]=AC$4)*(tblItems[ItemCode]&lt;&gt;""),ROW(tblItems[ItemCode])-MIN(ROW(tblItems[ItemCode]))+1),ROWS(AC$6:AC87))),"")</f>
        <v/>
      </c>
      <c r="AD87" s="70">
        <f t="array" ref="AD87">IFERROR(INDEX(tblItems[ItemCode],SMALL(IF((tblItems[Zone]=AD$4)*(tblItems[ItemCode]&lt;&gt;""),ROW(tblItems[ItemCode])-MIN(ROW(tblItems[ItemCode]))+1),ROWS(AD$6:AD87))),"")</f>
        <v/>
      </c>
      <c r="AE87" s="70">
        <f t="array" ref="AE87">IFERROR(INDEX(tblItems[ItemCode],SMALL(IF((tblItems[Zone]=AE$4)*(tblItems[ItemCode]&lt;&gt;""),ROW(tblItems[ItemCode])-MIN(ROW(tblItems[ItemCode]))+1),ROWS(AE$6:AE87))),"")</f>
        <v/>
      </c>
    </row>
    <row r="88">
      <c r="T88" s="70">
        <f t="array" ref="T88">IFERROR(INDEX(tblItems[ItemCode],SMALL(IF(tblItems[ItemCode]&lt;&gt;"",ROW(tblItems[ItemCode])-MIN(ROW(tblItems[ItemCode]))+1),ROWS(T$6:T88))),"")</f>
        <v/>
      </c>
      <c r="U88" s="70">
        <f t="array" ref="U88">IFERROR(INDEX(tblItems[ItemCode],SMALL(IF((tblItems[Zone]=U$4)*(tblItems[ItemCode]&lt;&gt;""),ROW(tblItems[ItemCode])-MIN(ROW(tblItems[ItemCode]))+1),ROWS(U$6:U88))),"")</f>
        <v/>
      </c>
      <c r="V88" s="70">
        <f t="array" ref="V88">IFERROR(INDEX(tblItems[ItemCode],SMALL(IF((tblItems[Zone]=V$4)*(tblItems[ItemCode]&lt;&gt;""),ROW(tblItems[ItemCode])-MIN(ROW(tblItems[ItemCode]))+1),ROWS(V$6:V88))),"")</f>
        <v/>
      </c>
      <c r="W88" s="70">
        <f t="array" ref="W88">IFERROR(INDEX(tblItems[ItemCode],SMALL(IF((tblItems[Zone]=W$4)*(tblItems[ItemCode]&lt;&gt;""),ROW(tblItems[ItemCode])-MIN(ROW(tblItems[ItemCode]))+1),ROWS(W$6:W88))),"")</f>
        <v/>
      </c>
      <c r="X88" s="70">
        <f t="array" ref="X88">IFERROR(INDEX(tblItems[ItemCode],SMALL(IF((tblItems[Zone]=X$4)*(tblItems[ItemCode]&lt;&gt;""),ROW(tblItems[ItemCode])-MIN(ROW(tblItems[ItemCode]))+1),ROWS(X$6:X88))),"")</f>
        <v/>
      </c>
      <c r="Y88" s="70">
        <f t="array" ref="Y88">IFERROR(INDEX(tblItems[ItemCode],SMALL(IF((tblItems[Zone]=Y$4)*(tblItems[ItemCode]&lt;&gt;""),ROW(tblItems[ItemCode])-MIN(ROW(tblItems[ItemCode]))+1),ROWS(Y$6:Y88))),"")</f>
        <v/>
      </c>
      <c r="Z88" s="70">
        <f t="array" ref="Z88">IFERROR(INDEX(tblItems[ItemCode],SMALL(IF((tblItems[Zone]=Z$4)*(tblItems[ItemCode]&lt;&gt;""),ROW(tblItems[ItemCode])-MIN(ROW(tblItems[ItemCode]))+1),ROWS(Z$6:Z88))),"")</f>
        <v/>
      </c>
      <c r="AA88" s="70">
        <f t="array" ref="AA88">IFERROR(INDEX(tblItems[ItemCode],SMALL(IF((tblItems[Zone]=AA$4)*(tblItems[ItemCode]&lt;&gt;""),ROW(tblItems[ItemCode])-MIN(ROW(tblItems[ItemCode]))+1),ROWS(AA$6:AA88))),"")</f>
        <v/>
      </c>
      <c r="AB88" s="70">
        <f t="array" ref="AB88">IFERROR(INDEX(tblItems[ItemCode],SMALL(IF((tblItems[Zone]=AB$4)*(tblItems[ItemCode]&lt;&gt;""),ROW(tblItems[ItemCode])-MIN(ROW(tblItems[ItemCode]))+1),ROWS(AB$6:AB88))),"")</f>
        <v/>
      </c>
      <c r="AC88" s="70">
        <f t="array" ref="AC88">IFERROR(INDEX(tblItems[ItemCode],SMALL(IF((tblItems[Zone]=AC$4)*(tblItems[ItemCode]&lt;&gt;""),ROW(tblItems[ItemCode])-MIN(ROW(tblItems[ItemCode]))+1),ROWS(AC$6:AC88))),"")</f>
        <v/>
      </c>
      <c r="AD88" s="70">
        <f t="array" ref="AD88">IFERROR(INDEX(tblItems[ItemCode],SMALL(IF((tblItems[Zone]=AD$4)*(tblItems[ItemCode]&lt;&gt;""),ROW(tblItems[ItemCode])-MIN(ROW(tblItems[ItemCode]))+1),ROWS(AD$6:AD88))),"")</f>
        <v/>
      </c>
      <c r="AE88" s="70">
        <f t="array" ref="AE88">IFERROR(INDEX(tblItems[ItemCode],SMALL(IF((tblItems[Zone]=AE$4)*(tblItems[ItemCode]&lt;&gt;""),ROW(tblItems[ItemCode])-MIN(ROW(tblItems[ItemCode]))+1),ROWS(AE$6:AE88))),"")</f>
        <v/>
      </c>
    </row>
    <row r="89">
      <c r="T89" s="70">
        <f t="array" ref="T89">IFERROR(INDEX(tblItems[ItemCode],SMALL(IF(tblItems[ItemCode]&lt;&gt;"",ROW(tblItems[ItemCode])-MIN(ROW(tblItems[ItemCode]))+1),ROWS(T$6:T89))),"")</f>
        <v/>
      </c>
      <c r="U89" s="70">
        <f t="array" ref="U89">IFERROR(INDEX(tblItems[ItemCode],SMALL(IF((tblItems[Zone]=U$4)*(tblItems[ItemCode]&lt;&gt;""),ROW(tblItems[ItemCode])-MIN(ROW(tblItems[ItemCode]))+1),ROWS(U$6:U89))),"")</f>
        <v/>
      </c>
      <c r="V89" s="70">
        <f t="array" ref="V89">IFERROR(INDEX(tblItems[ItemCode],SMALL(IF((tblItems[Zone]=V$4)*(tblItems[ItemCode]&lt;&gt;""),ROW(tblItems[ItemCode])-MIN(ROW(tblItems[ItemCode]))+1),ROWS(V$6:V89))),"")</f>
        <v/>
      </c>
      <c r="W89" s="70">
        <f t="array" ref="W89">IFERROR(INDEX(tblItems[ItemCode],SMALL(IF((tblItems[Zone]=W$4)*(tblItems[ItemCode]&lt;&gt;""),ROW(tblItems[ItemCode])-MIN(ROW(tblItems[ItemCode]))+1),ROWS(W$6:W89))),"")</f>
        <v/>
      </c>
      <c r="X89" s="70">
        <f t="array" ref="X89">IFERROR(INDEX(tblItems[ItemCode],SMALL(IF((tblItems[Zone]=X$4)*(tblItems[ItemCode]&lt;&gt;""),ROW(tblItems[ItemCode])-MIN(ROW(tblItems[ItemCode]))+1),ROWS(X$6:X89))),"")</f>
        <v/>
      </c>
      <c r="Y89" s="70">
        <f t="array" ref="Y89">IFERROR(INDEX(tblItems[ItemCode],SMALL(IF((tblItems[Zone]=Y$4)*(tblItems[ItemCode]&lt;&gt;""),ROW(tblItems[ItemCode])-MIN(ROW(tblItems[ItemCode]))+1),ROWS(Y$6:Y89))),"")</f>
        <v/>
      </c>
      <c r="Z89" s="70">
        <f t="array" ref="Z89">IFERROR(INDEX(tblItems[ItemCode],SMALL(IF((tblItems[Zone]=Z$4)*(tblItems[ItemCode]&lt;&gt;""),ROW(tblItems[ItemCode])-MIN(ROW(tblItems[ItemCode]))+1),ROWS(Z$6:Z89))),"")</f>
        <v/>
      </c>
      <c r="AA89" s="70">
        <f t="array" ref="AA89">IFERROR(INDEX(tblItems[ItemCode],SMALL(IF((tblItems[Zone]=AA$4)*(tblItems[ItemCode]&lt;&gt;""),ROW(tblItems[ItemCode])-MIN(ROW(tblItems[ItemCode]))+1),ROWS(AA$6:AA89))),"")</f>
        <v/>
      </c>
      <c r="AB89" s="70">
        <f t="array" ref="AB89">IFERROR(INDEX(tblItems[ItemCode],SMALL(IF((tblItems[Zone]=AB$4)*(tblItems[ItemCode]&lt;&gt;""),ROW(tblItems[ItemCode])-MIN(ROW(tblItems[ItemCode]))+1),ROWS(AB$6:AB89))),"")</f>
        <v/>
      </c>
      <c r="AC89" s="70">
        <f t="array" ref="AC89">IFERROR(INDEX(tblItems[ItemCode],SMALL(IF((tblItems[Zone]=AC$4)*(tblItems[ItemCode]&lt;&gt;""),ROW(tblItems[ItemCode])-MIN(ROW(tblItems[ItemCode]))+1),ROWS(AC$6:AC89))),"")</f>
        <v/>
      </c>
      <c r="AD89" s="70">
        <f t="array" ref="AD89">IFERROR(INDEX(tblItems[ItemCode],SMALL(IF((tblItems[Zone]=AD$4)*(tblItems[ItemCode]&lt;&gt;""),ROW(tblItems[ItemCode])-MIN(ROW(tblItems[ItemCode]))+1),ROWS(AD$6:AD89))),"")</f>
        <v/>
      </c>
      <c r="AE89" s="70">
        <f t="array" ref="AE89">IFERROR(INDEX(tblItems[ItemCode],SMALL(IF((tblItems[Zone]=AE$4)*(tblItems[ItemCode]&lt;&gt;""),ROW(tblItems[ItemCode])-MIN(ROW(tblItems[ItemCode]))+1),ROWS(AE$6:AE89))),"")</f>
        <v/>
      </c>
    </row>
    <row r="90">
      <c r="T90" s="70">
        <f t="array" ref="T90">IFERROR(INDEX(tblItems[ItemCode],SMALL(IF(tblItems[ItemCode]&lt;&gt;"",ROW(tblItems[ItemCode])-MIN(ROW(tblItems[ItemCode]))+1),ROWS(T$6:T90))),"")</f>
        <v/>
      </c>
      <c r="U90" s="70">
        <f t="array" ref="U90">IFERROR(INDEX(tblItems[ItemCode],SMALL(IF((tblItems[Zone]=U$4)*(tblItems[ItemCode]&lt;&gt;""),ROW(tblItems[ItemCode])-MIN(ROW(tblItems[ItemCode]))+1),ROWS(U$6:U90))),"")</f>
        <v/>
      </c>
      <c r="V90" s="70">
        <f t="array" ref="V90">IFERROR(INDEX(tblItems[ItemCode],SMALL(IF((tblItems[Zone]=V$4)*(tblItems[ItemCode]&lt;&gt;""),ROW(tblItems[ItemCode])-MIN(ROW(tblItems[ItemCode]))+1),ROWS(V$6:V90))),"")</f>
        <v/>
      </c>
      <c r="W90" s="70">
        <f t="array" ref="W90">IFERROR(INDEX(tblItems[ItemCode],SMALL(IF((tblItems[Zone]=W$4)*(tblItems[ItemCode]&lt;&gt;""),ROW(tblItems[ItemCode])-MIN(ROW(tblItems[ItemCode]))+1),ROWS(W$6:W90))),"")</f>
        <v/>
      </c>
      <c r="X90" s="70">
        <f t="array" ref="X90">IFERROR(INDEX(tblItems[ItemCode],SMALL(IF((tblItems[Zone]=X$4)*(tblItems[ItemCode]&lt;&gt;""),ROW(tblItems[ItemCode])-MIN(ROW(tblItems[ItemCode]))+1),ROWS(X$6:X90))),"")</f>
        <v/>
      </c>
      <c r="Y90" s="70">
        <f t="array" ref="Y90">IFERROR(INDEX(tblItems[ItemCode],SMALL(IF((tblItems[Zone]=Y$4)*(tblItems[ItemCode]&lt;&gt;""),ROW(tblItems[ItemCode])-MIN(ROW(tblItems[ItemCode]))+1),ROWS(Y$6:Y90))),"")</f>
        <v/>
      </c>
      <c r="Z90" s="70">
        <f t="array" ref="Z90">IFERROR(INDEX(tblItems[ItemCode],SMALL(IF((tblItems[Zone]=Z$4)*(tblItems[ItemCode]&lt;&gt;""),ROW(tblItems[ItemCode])-MIN(ROW(tblItems[ItemCode]))+1),ROWS(Z$6:Z90))),"")</f>
        <v/>
      </c>
      <c r="AA90" s="70">
        <f t="array" ref="AA90">IFERROR(INDEX(tblItems[ItemCode],SMALL(IF((tblItems[Zone]=AA$4)*(tblItems[ItemCode]&lt;&gt;""),ROW(tblItems[ItemCode])-MIN(ROW(tblItems[ItemCode]))+1),ROWS(AA$6:AA90))),"")</f>
        <v/>
      </c>
      <c r="AB90" s="70">
        <f t="array" ref="AB90">IFERROR(INDEX(tblItems[ItemCode],SMALL(IF((tblItems[Zone]=AB$4)*(tblItems[ItemCode]&lt;&gt;""),ROW(tblItems[ItemCode])-MIN(ROW(tblItems[ItemCode]))+1),ROWS(AB$6:AB90))),"")</f>
        <v/>
      </c>
      <c r="AC90" s="70">
        <f t="array" ref="AC90">IFERROR(INDEX(tblItems[ItemCode],SMALL(IF((tblItems[Zone]=AC$4)*(tblItems[ItemCode]&lt;&gt;""),ROW(tblItems[ItemCode])-MIN(ROW(tblItems[ItemCode]))+1),ROWS(AC$6:AC90))),"")</f>
        <v/>
      </c>
      <c r="AD90" s="70">
        <f t="array" ref="AD90">IFERROR(INDEX(tblItems[ItemCode],SMALL(IF((tblItems[Zone]=AD$4)*(tblItems[ItemCode]&lt;&gt;""),ROW(tblItems[ItemCode])-MIN(ROW(tblItems[ItemCode]))+1),ROWS(AD$6:AD90))),"")</f>
        <v/>
      </c>
      <c r="AE90" s="70">
        <f t="array" ref="AE90">IFERROR(INDEX(tblItems[ItemCode],SMALL(IF((tblItems[Zone]=AE$4)*(tblItems[ItemCode]&lt;&gt;""),ROW(tblItems[ItemCode])-MIN(ROW(tblItems[ItemCode]))+1),ROWS(AE$6:AE90))),"")</f>
        <v/>
      </c>
    </row>
    <row r="91">
      <c r="T91" s="70">
        <f t="array" ref="T91">IFERROR(INDEX(tblItems[ItemCode],SMALL(IF(tblItems[ItemCode]&lt;&gt;"",ROW(tblItems[ItemCode])-MIN(ROW(tblItems[ItemCode]))+1),ROWS(T$6:T91))),"")</f>
        <v/>
      </c>
      <c r="U91" s="70">
        <f t="array" ref="U91">IFERROR(INDEX(tblItems[ItemCode],SMALL(IF((tblItems[Zone]=U$4)*(tblItems[ItemCode]&lt;&gt;""),ROW(tblItems[ItemCode])-MIN(ROW(tblItems[ItemCode]))+1),ROWS(U$6:U91))),"")</f>
        <v/>
      </c>
      <c r="V91" s="70">
        <f t="array" ref="V91">IFERROR(INDEX(tblItems[ItemCode],SMALL(IF((tblItems[Zone]=V$4)*(tblItems[ItemCode]&lt;&gt;""),ROW(tblItems[ItemCode])-MIN(ROW(tblItems[ItemCode]))+1),ROWS(V$6:V91))),"")</f>
        <v/>
      </c>
      <c r="W91" s="70">
        <f t="array" ref="W91">IFERROR(INDEX(tblItems[ItemCode],SMALL(IF((tblItems[Zone]=W$4)*(tblItems[ItemCode]&lt;&gt;""),ROW(tblItems[ItemCode])-MIN(ROW(tblItems[ItemCode]))+1),ROWS(W$6:W91))),"")</f>
        <v/>
      </c>
      <c r="X91" s="70">
        <f t="array" ref="X91">IFERROR(INDEX(tblItems[ItemCode],SMALL(IF((tblItems[Zone]=X$4)*(tblItems[ItemCode]&lt;&gt;""),ROW(tblItems[ItemCode])-MIN(ROW(tblItems[ItemCode]))+1),ROWS(X$6:X91))),"")</f>
        <v/>
      </c>
      <c r="Y91" s="70">
        <f t="array" ref="Y91">IFERROR(INDEX(tblItems[ItemCode],SMALL(IF((tblItems[Zone]=Y$4)*(tblItems[ItemCode]&lt;&gt;""),ROW(tblItems[ItemCode])-MIN(ROW(tblItems[ItemCode]))+1),ROWS(Y$6:Y91))),"")</f>
        <v/>
      </c>
      <c r="Z91" s="70">
        <f t="array" ref="Z91">IFERROR(INDEX(tblItems[ItemCode],SMALL(IF((tblItems[Zone]=Z$4)*(tblItems[ItemCode]&lt;&gt;""),ROW(tblItems[ItemCode])-MIN(ROW(tblItems[ItemCode]))+1),ROWS(Z$6:Z91))),"")</f>
        <v/>
      </c>
      <c r="AA91" s="70">
        <f t="array" ref="AA91">IFERROR(INDEX(tblItems[ItemCode],SMALL(IF((tblItems[Zone]=AA$4)*(tblItems[ItemCode]&lt;&gt;""),ROW(tblItems[ItemCode])-MIN(ROW(tblItems[ItemCode]))+1),ROWS(AA$6:AA91))),"")</f>
        <v/>
      </c>
      <c r="AB91" s="70">
        <f t="array" ref="AB91">IFERROR(INDEX(tblItems[ItemCode],SMALL(IF((tblItems[Zone]=AB$4)*(tblItems[ItemCode]&lt;&gt;""),ROW(tblItems[ItemCode])-MIN(ROW(tblItems[ItemCode]))+1),ROWS(AB$6:AB91))),"")</f>
        <v/>
      </c>
      <c r="AC91" s="70">
        <f t="array" ref="AC91">IFERROR(INDEX(tblItems[ItemCode],SMALL(IF((tblItems[Zone]=AC$4)*(tblItems[ItemCode]&lt;&gt;""),ROW(tblItems[ItemCode])-MIN(ROW(tblItems[ItemCode]))+1),ROWS(AC$6:AC91))),"")</f>
        <v/>
      </c>
      <c r="AD91" s="70">
        <f t="array" ref="AD91">IFERROR(INDEX(tblItems[ItemCode],SMALL(IF((tblItems[Zone]=AD$4)*(tblItems[ItemCode]&lt;&gt;""),ROW(tblItems[ItemCode])-MIN(ROW(tblItems[ItemCode]))+1),ROWS(AD$6:AD91))),"")</f>
        <v/>
      </c>
      <c r="AE91" s="70">
        <f t="array" ref="AE91">IFERROR(INDEX(tblItems[ItemCode],SMALL(IF((tblItems[Zone]=AE$4)*(tblItems[ItemCode]&lt;&gt;""),ROW(tblItems[ItemCode])-MIN(ROW(tblItems[ItemCode]))+1),ROWS(AE$6:AE91))),"")</f>
        <v/>
      </c>
    </row>
    <row r="92">
      <c r="T92" s="70">
        <f t="array" ref="T92">IFERROR(INDEX(tblItems[ItemCode],SMALL(IF(tblItems[ItemCode]&lt;&gt;"",ROW(tblItems[ItemCode])-MIN(ROW(tblItems[ItemCode]))+1),ROWS(T$6:T92))),"")</f>
        <v/>
      </c>
      <c r="U92" s="70">
        <f t="array" ref="U92">IFERROR(INDEX(tblItems[ItemCode],SMALL(IF((tblItems[Zone]=U$4)*(tblItems[ItemCode]&lt;&gt;""),ROW(tblItems[ItemCode])-MIN(ROW(tblItems[ItemCode]))+1),ROWS(U$6:U92))),"")</f>
        <v/>
      </c>
      <c r="V92" s="70">
        <f t="array" ref="V92">IFERROR(INDEX(tblItems[ItemCode],SMALL(IF((tblItems[Zone]=V$4)*(tblItems[ItemCode]&lt;&gt;""),ROW(tblItems[ItemCode])-MIN(ROW(tblItems[ItemCode]))+1),ROWS(V$6:V92))),"")</f>
        <v/>
      </c>
      <c r="W92" s="70">
        <f t="array" ref="W92">IFERROR(INDEX(tblItems[ItemCode],SMALL(IF((tblItems[Zone]=W$4)*(tblItems[ItemCode]&lt;&gt;""),ROW(tblItems[ItemCode])-MIN(ROW(tblItems[ItemCode]))+1),ROWS(W$6:W92))),"")</f>
        <v/>
      </c>
      <c r="X92" s="70">
        <f t="array" ref="X92">IFERROR(INDEX(tblItems[ItemCode],SMALL(IF((tblItems[Zone]=X$4)*(tblItems[ItemCode]&lt;&gt;""),ROW(tblItems[ItemCode])-MIN(ROW(tblItems[ItemCode]))+1),ROWS(X$6:X92))),"")</f>
        <v/>
      </c>
      <c r="Y92" s="70">
        <f t="array" ref="Y92">IFERROR(INDEX(tblItems[ItemCode],SMALL(IF((tblItems[Zone]=Y$4)*(tblItems[ItemCode]&lt;&gt;""),ROW(tblItems[ItemCode])-MIN(ROW(tblItems[ItemCode]))+1),ROWS(Y$6:Y92))),"")</f>
        <v/>
      </c>
      <c r="Z92" s="70">
        <f t="array" ref="Z92">IFERROR(INDEX(tblItems[ItemCode],SMALL(IF((tblItems[Zone]=Z$4)*(tblItems[ItemCode]&lt;&gt;""),ROW(tblItems[ItemCode])-MIN(ROW(tblItems[ItemCode]))+1),ROWS(Z$6:Z92))),"")</f>
        <v/>
      </c>
      <c r="AA92" s="70">
        <f t="array" ref="AA92">IFERROR(INDEX(tblItems[ItemCode],SMALL(IF((tblItems[Zone]=AA$4)*(tblItems[ItemCode]&lt;&gt;""),ROW(tblItems[ItemCode])-MIN(ROW(tblItems[ItemCode]))+1),ROWS(AA$6:AA92))),"")</f>
        <v/>
      </c>
      <c r="AB92" s="70">
        <f t="array" ref="AB92">IFERROR(INDEX(tblItems[ItemCode],SMALL(IF((tblItems[Zone]=AB$4)*(tblItems[ItemCode]&lt;&gt;""),ROW(tblItems[ItemCode])-MIN(ROW(tblItems[ItemCode]))+1),ROWS(AB$6:AB92))),"")</f>
        <v/>
      </c>
      <c r="AC92" s="70">
        <f t="array" ref="AC92">IFERROR(INDEX(tblItems[ItemCode],SMALL(IF((tblItems[Zone]=AC$4)*(tblItems[ItemCode]&lt;&gt;""),ROW(tblItems[ItemCode])-MIN(ROW(tblItems[ItemCode]))+1),ROWS(AC$6:AC92))),"")</f>
        <v/>
      </c>
      <c r="AD92" s="70">
        <f t="array" ref="AD92">IFERROR(INDEX(tblItems[ItemCode],SMALL(IF((tblItems[Zone]=AD$4)*(tblItems[ItemCode]&lt;&gt;""),ROW(tblItems[ItemCode])-MIN(ROW(tblItems[ItemCode]))+1),ROWS(AD$6:AD92))),"")</f>
        <v/>
      </c>
      <c r="AE92" s="70">
        <f t="array" ref="AE92">IFERROR(INDEX(tblItems[ItemCode],SMALL(IF((tblItems[Zone]=AE$4)*(tblItems[ItemCode]&lt;&gt;""),ROW(tblItems[ItemCode])-MIN(ROW(tblItems[ItemCode]))+1),ROWS(AE$6:AE92))),"")</f>
        <v/>
      </c>
    </row>
    <row r="93">
      <c r="T93" s="70">
        <f t="array" ref="T93">IFERROR(INDEX(tblItems[ItemCode],SMALL(IF(tblItems[ItemCode]&lt;&gt;"",ROW(tblItems[ItemCode])-MIN(ROW(tblItems[ItemCode]))+1),ROWS(T$6:T93))),"")</f>
        <v/>
      </c>
      <c r="U93" s="70">
        <f t="array" ref="U93">IFERROR(INDEX(tblItems[ItemCode],SMALL(IF((tblItems[Zone]=U$4)*(tblItems[ItemCode]&lt;&gt;""),ROW(tblItems[ItemCode])-MIN(ROW(tblItems[ItemCode]))+1),ROWS(U$6:U93))),"")</f>
        <v/>
      </c>
      <c r="V93" s="70">
        <f t="array" ref="V93">IFERROR(INDEX(tblItems[ItemCode],SMALL(IF((tblItems[Zone]=V$4)*(tblItems[ItemCode]&lt;&gt;""),ROW(tblItems[ItemCode])-MIN(ROW(tblItems[ItemCode]))+1),ROWS(V$6:V93))),"")</f>
        <v/>
      </c>
      <c r="W93" s="70">
        <f t="array" ref="W93">IFERROR(INDEX(tblItems[ItemCode],SMALL(IF((tblItems[Zone]=W$4)*(tblItems[ItemCode]&lt;&gt;""),ROW(tblItems[ItemCode])-MIN(ROW(tblItems[ItemCode]))+1),ROWS(W$6:W93))),"")</f>
        <v/>
      </c>
      <c r="X93" s="70">
        <f t="array" ref="X93">IFERROR(INDEX(tblItems[ItemCode],SMALL(IF((tblItems[Zone]=X$4)*(tblItems[ItemCode]&lt;&gt;""),ROW(tblItems[ItemCode])-MIN(ROW(tblItems[ItemCode]))+1),ROWS(X$6:X93))),"")</f>
        <v/>
      </c>
      <c r="Y93" s="70">
        <f t="array" ref="Y93">IFERROR(INDEX(tblItems[ItemCode],SMALL(IF((tblItems[Zone]=Y$4)*(tblItems[ItemCode]&lt;&gt;""),ROW(tblItems[ItemCode])-MIN(ROW(tblItems[ItemCode]))+1),ROWS(Y$6:Y93))),"")</f>
        <v/>
      </c>
      <c r="Z93" s="70">
        <f t="array" ref="Z93">IFERROR(INDEX(tblItems[ItemCode],SMALL(IF((tblItems[Zone]=Z$4)*(tblItems[ItemCode]&lt;&gt;""),ROW(tblItems[ItemCode])-MIN(ROW(tblItems[ItemCode]))+1),ROWS(Z$6:Z93))),"")</f>
        <v/>
      </c>
      <c r="AA93" s="70">
        <f t="array" ref="AA93">IFERROR(INDEX(tblItems[ItemCode],SMALL(IF((tblItems[Zone]=AA$4)*(tblItems[ItemCode]&lt;&gt;""),ROW(tblItems[ItemCode])-MIN(ROW(tblItems[ItemCode]))+1),ROWS(AA$6:AA93))),"")</f>
        <v/>
      </c>
      <c r="AB93" s="70">
        <f t="array" ref="AB93">IFERROR(INDEX(tblItems[ItemCode],SMALL(IF((tblItems[Zone]=AB$4)*(tblItems[ItemCode]&lt;&gt;""),ROW(tblItems[ItemCode])-MIN(ROW(tblItems[ItemCode]))+1),ROWS(AB$6:AB93))),"")</f>
        <v/>
      </c>
      <c r="AC93" s="70">
        <f t="array" ref="AC93">IFERROR(INDEX(tblItems[ItemCode],SMALL(IF((tblItems[Zone]=AC$4)*(tblItems[ItemCode]&lt;&gt;""),ROW(tblItems[ItemCode])-MIN(ROW(tblItems[ItemCode]))+1),ROWS(AC$6:AC93))),"")</f>
        <v/>
      </c>
      <c r="AD93" s="70">
        <f t="array" ref="AD93">IFERROR(INDEX(tblItems[ItemCode],SMALL(IF((tblItems[Zone]=AD$4)*(tblItems[ItemCode]&lt;&gt;""),ROW(tblItems[ItemCode])-MIN(ROW(tblItems[ItemCode]))+1),ROWS(AD$6:AD93))),"")</f>
        <v/>
      </c>
      <c r="AE93" s="70">
        <f t="array" ref="AE93">IFERROR(INDEX(tblItems[ItemCode],SMALL(IF((tblItems[Zone]=AE$4)*(tblItems[ItemCode]&lt;&gt;""),ROW(tblItems[ItemCode])-MIN(ROW(tblItems[ItemCode]))+1),ROWS(AE$6:AE93))),"")</f>
        <v/>
      </c>
    </row>
    <row r="94">
      <c r="T94" s="70">
        <f t="array" ref="T94">IFERROR(INDEX(tblItems[ItemCode],SMALL(IF(tblItems[ItemCode]&lt;&gt;"",ROW(tblItems[ItemCode])-MIN(ROW(tblItems[ItemCode]))+1),ROWS(T$6:T94))),"")</f>
        <v/>
      </c>
      <c r="U94" s="70">
        <f t="array" ref="U94">IFERROR(INDEX(tblItems[ItemCode],SMALL(IF((tblItems[Zone]=U$4)*(tblItems[ItemCode]&lt;&gt;""),ROW(tblItems[ItemCode])-MIN(ROW(tblItems[ItemCode]))+1),ROWS(U$6:U94))),"")</f>
        <v/>
      </c>
      <c r="V94" s="70">
        <f t="array" ref="V94">IFERROR(INDEX(tblItems[ItemCode],SMALL(IF((tblItems[Zone]=V$4)*(tblItems[ItemCode]&lt;&gt;""),ROW(tblItems[ItemCode])-MIN(ROW(tblItems[ItemCode]))+1),ROWS(V$6:V94))),"")</f>
        <v/>
      </c>
      <c r="W94" s="70">
        <f t="array" ref="W94">IFERROR(INDEX(tblItems[ItemCode],SMALL(IF((tblItems[Zone]=W$4)*(tblItems[ItemCode]&lt;&gt;""),ROW(tblItems[ItemCode])-MIN(ROW(tblItems[ItemCode]))+1),ROWS(W$6:W94))),"")</f>
        <v/>
      </c>
      <c r="X94" s="70">
        <f t="array" ref="X94">IFERROR(INDEX(tblItems[ItemCode],SMALL(IF((tblItems[Zone]=X$4)*(tblItems[ItemCode]&lt;&gt;""),ROW(tblItems[ItemCode])-MIN(ROW(tblItems[ItemCode]))+1),ROWS(X$6:X94))),"")</f>
        <v/>
      </c>
      <c r="Y94" s="70">
        <f t="array" ref="Y94">IFERROR(INDEX(tblItems[ItemCode],SMALL(IF((tblItems[Zone]=Y$4)*(tblItems[ItemCode]&lt;&gt;""),ROW(tblItems[ItemCode])-MIN(ROW(tblItems[ItemCode]))+1),ROWS(Y$6:Y94))),"")</f>
        <v/>
      </c>
      <c r="Z94" s="70">
        <f t="array" ref="Z94">IFERROR(INDEX(tblItems[ItemCode],SMALL(IF((tblItems[Zone]=Z$4)*(tblItems[ItemCode]&lt;&gt;""),ROW(tblItems[ItemCode])-MIN(ROW(tblItems[ItemCode]))+1),ROWS(Z$6:Z94))),"")</f>
        <v/>
      </c>
      <c r="AA94" s="70">
        <f t="array" ref="AA94">IFERROR(INDEX(tblItems[ItemCode],SMALL(IF((tblItems[Zone]=AA$4)*(tblItems[ItemCode]&lt;&gt;""),ROW(tblItems[ItemCode])-MIN(ROW(tblItems[ItemCode]))+1),ROWS(AA$6:AA94))),"")</f>
        <v/>
      </c>
      <c r="AB94" s="70">
        <f t="array" ref="AB94">IFERROR(INDEX(tblItems[ItemCode],SMALL(IF((tblItems[Zone]=AB$4)*(tblItems[ItemCode]&lt;&gt;""),ROW(tblItems[ItemCode])-MIN(ROW(tblItems[ItemCode]))+1),ROWS(AB$6:AB94))),"")</f>
        <v/>
      </c>
      <c r="AC94" s="70">
        <f t="array" ref="AC94">IFERROR(INDEX(tblItems[ItemCode],SMALL(IF((tblItems[Zone]=AC$4)*(tblItems[ItemCode]&lt;&gt;""),ROW(tblItems[ItemCode])-MIN(ROW(tblItems[ItemCode]))+1),ROWS(AC$6:AC94))),"")</f>
        <v/>
      </c>
      <c r="AD94" s="70">
        <f t="array" ref="AD94">IFERROR(INDEX(tblItems[ItemCode],SMALL(IF((tblItems[Zone]=AD$4)*(tblItems[ItemCode]&lt;&gt;""),ROW(tblItems[ItemCode])-MIN(ROW(tblItems[ItemCode]))+1),ROWS(AD$6:AD94))),"")</f>
        <v/>
      </c>
      <c r="AE94" s="70">
        <f t="array" ref="AE94">IFERROR(INDEX(tblItems[ItemCode],SMALL(IF((tblItems[Zone]=AE$4)*(tblItems[ItemCode]&lt;&gt;""),ROW(tblItems[ItemCode])-MIN(ROW(tblItems[ItemCode]))+1),ROWS(AE$6:AE94))),"")</f>
        <v/>
      </c>
    </row>
    <row r="95">
      <c r="T95" s="70">
        <f t="array" ref="T95">IFERROR(INDEX(tblItems[ItemCode],SMALL(IF(tblItems[ItemCode]&lt;&gt;"",ROW(tblItems[ItemCode])-MIN(ROW(tblItems[ItemCode]))+1),ROWS(T$6:T95))),"")</f>
        <v/>
      </c>
      <c r="U95" s="70">
        <f t="array" ref="U95">IFERROR(INDEX(tblItems[ItemCode],SMALL(IF((tblItems[Zone]=U$4)*(tblItems[ItemCode]&lt;&gt;""),ROW(tblItems[ItemCode])-MIN(ROW(tblItems[ItemCode]))+1),ROWS(U$6:U95))),"")</f>
        <v/>
      </c>
      <c r="V95" s="70">
        <f t="array" ref="V95">IFERROR(INDEX(tblItems[ItemCode],SMALL(IF((tblItems[Zone]=V$4)*(tblItems[ItemCode]&lt;&gt;""),ROW(tblItems[ItemCode])-MIN(ROW(tblItems[ItemCode]))+1),ROWS(V$6:V95))),"")</f>
        <v/>
      </c>
      <c r="W95" s="70">
        <f t="array" ref="W95">IFERROR(INDEX(tblItems[ItemCode],SMALL(IF((tblItems[Zone]=W$4)*(tblItems[ItemCode]&lt;&gt;""),ROW(tblItems[ItemCode])-MIN(ROW(tblItems[ItemCode]))+1),ROWS(W$6:W95))),"")</f>
        <v/>
      </c>
      <c r="X95" s="70">
        <f t="array" ref="X95">IFERROR(INDEX(tblItems[ItemCode],SMALL(IF((tblItems[Zone]=X$4)*(tblItems[ItemCode]&lt;&gt;""),ROW(tblItems[ItemCode])-MIN(ROW(tblItems[ItemCode]))+1),ROWS(X$6:X95))),"")</f>
        <v/>
      </c>
      <c r="Y95" s="70">
        <f t="array" ref="Y95">IFERROR(INDEX(tblItems[ItemCode],SMALL(IF((tblItems[Zone]=Y$4)*(tblItems[ItemCode]&lt;&gt;""),ROW(tblItems[ItemCode])-MIN(ROW(tblItems[ItemCode]))+1),ROWS(Y$6:Y95))),"")</f>
        <v/>
      </c>
      <c r="Z95" s="70">
        <f t="array" ref="Z95">IFERROR(INDEX(tblItems[ItemCode],SMALL(IF((tblItems[Zone]=Z$4)*(tblItems[ItemCode]&lt;&gt;""),ROW(tblItems[ItemCode])-MIN(ROW(tblItems[ItemCode]))+1),ROWS(Z$6:Z95))),"")</f>
        <v/>
      </c>
      <c r="AA95" s="70">
        <f t="array" ref="AA95">IFERROR(INDEX(tblItems[ItemCode],SMALL(IF((tblItems[Zone]=AA$4)*(tblItems[ItemCode]&lt;&gt;""),ROW(tblItems[ItemCode])-MIN(ROW(tblItems[ItemCode]))+1),ROWS(AA$6:AA95))),"")</f>
        <v/>
      </c>
      <c r="AB95" s="70">
        <f t="array" ref="AB95">IFERROR(INDEX(tblItems[ItemCode],SMALL(IF((tblItems[Zone]=AB$4)*(tblItems[ItemCode]&lt;&gt;""),ROW(tblItems[ItemCode])-MIN(ROW(tblItems[ItemCode]))+1),ROWS(AB$6:AB95))),"")</f>
        <v/>
      </c>
      <c r="AC95" s="70">
        <f t="array" ref="AC95">IFERROR(INDEX(tblItems[ItemCode],SMALL(IF((tblItems[Zone]=AC$4)*(tblItems[ItemCode]&lt;&gt;""),ROW(tblItems[ItemCode])-MIN(ROW(tblItems[ItemCode]))+1),ROWS(AC$6:AC95))),"")</f>
        <v/>
      </c>
      <c r="AD95" s="70">
        <f t="array" ref="AD95">IFERROR(INDEX(tblItems[ItemCode],SMALL(IF((tblItems[Zone]=AD$4)*(tblItems[ItemCode]&lt;&gt;""),ROW(tblItems[ItemCode])-MIN(ROW(tblItems[ItemCode]))+1),ROWS(AD$6:AD95))),"")</f>
        <v/>
      </c>
      <c r="AE95" s="70">
        <f t="array" ref="AE95">IFERROR(INDEX(tblItems[ItemCode],SMALL(IF((tblItems[Zone]=AE$4)*(tblItems[ItemCode]&lt;&gt;""),ROW(tblItems[ItemCode])-MIN(ROW(tblItems[ItemCode]))+1),ROWS(AE$6:AE95))),"")</f>
        <v/>
      </c>
    </row>
    <row r="96">
      <c r="T96" s="70">
        <f t="array" ref="T96">IFERROR(INDEX(tblItems[ItemCode],SMALL(IF(tblItems[ItemCode]&lt;&gt;"",ROW(tblItems[ItemCode])-MIN(ROW(tblItems[ItemCode]))+1),ROWS(T$6:T96))),"")</f>
        <v/>
      </c>
      <c r="U96" s="70">
        <f t="array" ref="U96">IFERROR(INDEX(tblItems[ItemCode],SMALL(IF((tblItems[Zone]=U$4)*(tblItems[ItemCode]&lt;&gt;""),ROW(tblItems[ItemCode])-MIN(ROW(tblItems[ItemCode]))+1),ROWS(U$6:U96))),"")</f>
        <v/>
      </c>
      <c r="V96" s="70">
        <f t="array" ref="V96">IFERROR(INDEX(tblItems[ItemCode],SMALL(IF((tblItems[Zone]=V$4)*(tblItems[ItemCode]&lt;&gt;""),ROW(tblItems[ItemCode])-MIN(ROW(tblItems[ItemCode]))+1),ROWS(V$6:V96))),"")</f>
        <v/>
      </c>
      <c r="W96" s="70">
        <f t="array" ref="W96">IFERROR(INDEX(tblItems[ItemCode],SMALL(IF((tblItems[Zone]=W$4)*(tblItems[ItemCode]&lt;&gt;""),ROW(tblItems[ItemCode])-MIN(ROW(tblItems[ItemCode]))+1),ROWS(W$6:W96))),"")</f>
        <v/>
      </c>
      <c r="X96" s="70">
        <f t="array" ref="X96">IFERROR(INDEX(tblItems[ItemCode],SMALL(IF((tblItems[Zone]=X$4)*(tblItems[ItemCode]&lt;&gt;""),ROW(tblItems[ItemCode])-MIN(ROW(tblItems[ItemCode]))+1),ROWS(X$6:X96))),"")</f>
        <v/>
      </c>
      <c r="Y96" s="70">
        <f t="array" ref="Y96">IFERROR(INDEX(tblItems[ItemCode],SMALL(IF((tblItems[Zone]=Y$4)*(tblItems[ItemCode]&lt;&gt;""),ROW(tblItems[ItemCode])-MIN(ROW(tblItems[ItemCode]))+1),ROWS(Y$6:Y96))),"")</f>
        <v/>
      </c>
      <c r="Z96" s="70">
        <f t="array" ref="Z96">IFERROR(INDEX(tblItems[ItemCode],SMALL(IF((tblItems[Zone]=Z$4)*(tblItems[ItemCode]&lt;&gt;""),ROW(tblItems[ItemCode])-MIN(ROW(tblItems[ItemCode]))+1),ROWS(Z$6:Z96))),"")</f>
        <v/>
      </c>
      <c r="AA96" s="70">
        <f t="array" ref="AA96">IFERROR(INDEX(tblItems[ItemCode],SMALL(IF((tblItems[Zone]=AA$4)*(tblItems[ItemCode]&lt;&gt;""),ROW(tblItems[ItemCode])-MIN(ROW(tblItems[ItemCode]))+1),ROWS(AA$6:AA96))),"")</f>
        <v/>
      </c>
      <c r="AB96" s="70">
        <f t="array" ref="AB96">IFERROR(INDEX(tblItems[ItemCode],SMALL(IF((tblItems[Zone]=AB$4)*(tblItems[ItemCode]&lt;&gt;""),ROW(tblItems[ItemCode])-MIN(ROW(tblItems[ItemCode]))+1),ROWS(AB$6:AB96))),"")</f>
        <v/>
      </c>
      <c r="AC96" s="70">
        <f t="array" ref="AC96">IFERROR(INDEX(tblItems[ItemCode],SMALL(IF((tblItems[Zone]=AC$4)*(tblItems[ItemCode]&lt;&gt;""),ROW(tblItems[ItemCode])-MIN(ROW(tblItems[ItemCode]))+1),ROWS(AC$6:AC96))),"")</f>
        <v/>
      </c>
      <c r="AD96" s="70">
        <f t="array" ref="AD96">IFERROR(INDEX(tblItems[ItemCode],SMALL(IF((tblItems[Zone]=AD$4)*(tblItems[ItemCode]&lt;&gt;""),ROW(tblItems[ItemCode])-MIN(ROW(tblItems[ItemCode]))+1),ROWS(AD$6:AD96))),"")</f>
        <v/>
      </c>
      <c r="AE96" s="70">
        <f t="array" ref="AE96">IFERROR(INDEX(tblItems[ItemCode],SMALL(IF((tblItems[Zone]=AE$4)*(tblItems[ItemCode]&lt;&gt;""),ROW(tblItems[ItemCode])-MIN(ROW(tblItems[ItemCode]))+1),ROWS(AE$6:AE96))),"")</f>
        <v/>
      </c>
    </row>
    <row r="97">
      <c r="T97" s="70">
        <f t="array" ref="T97">IFERROR(INDEX(tblItems[ItemCode],SMALL(IF(tblItems[ItemCode]&lt;&gt;"",ROW(tblItems[ItemCode])-MIN(ROW(tblItems[ItemCode]))+1),ROWS(T$6:T97))),"")</f>
        <v/>
      </c>
      <c r="U97" s="70">
        <f t="array" ref="U97">IFERROR(INDEX(tblItems[ItemCode],SMALL(IF((tblItems[Zone]=U$4)*(tblItems[ItemCode]&lt;&gt;""),ROW(tblItems[ItemCode])-MIN(ROW(tblItems[ItemCode]))+1),ROWS(U$6:U97))),"")</f>
        <v/>
      </c>
      <c r="V97" s="70">
        <f t="array" ref="V97">IFERROR(INDEX(tblItems[ItemCode],SMALL(IF((tblItems[Zone]=V$4)*(tblItems[ItemCode]&lt;&gt;""),ROW(tblItems[ItemCode])-MIN(ROW(tblItems[ItemCode]))+1),ROWS(V$6:V97))),"")</f>
        <v/>
      </c>
      <c r="W97" s="70">
        <f t="array" ref="W97">IFERROR(INDEX(tblItems[ItemCode],SMALL(IF((tblItems[Zone]=W$4)*(tblItems[ItemCode]&lt;&gt;""),ROW(tblItems[ItemCode])-MIN(ROW(tblItems[ItemCode]))+1),ROWS(W$6:W97))),"")</f>
        <v/>
      </c>
      <c r="X97" s="70">
        <f t="array" ref="X97">IFERROR(INDEX(tblItems[ItemCode],SMALL(IF((tblItems[Zone]=X$4)*(tblItems[ItemCode]&lt;&gt;""),ROW(tblItems[ItemCode])-MIN(ROW(tblItems[ItemCode]))+1),ROWS(X$6:X97))),"")</f>
        <v/>
      </c>
      <c r="Y97" s="70">
        <f t="array" ref="Y97">IFERROR(INDEX(tblItems[ItemCode],SMALL(IF((tblItems[Zone]=Y$4)*(tblItems[ItemCode]&lt;&gt;""),ROW(tblItems[ItemCode])-MIN(ROW(tblItems[ItemCode]))+1),ROWS(Y$6:Y97))),"")</f>
        <v/>
      </c>
      <c r="Z97" s="70">
        <f t="array" ref="Z97">IFERROR(INDEX(tblItems[ItemCode],SMALL(IF((tblItems[Zone]=Z$4)*(tblItems[ItemCode]&lt;&gt;""),ROW(tblItems[ItemCode])-MIN(ROW(tblItems[ItemCode]))+1),ROWS(Z$6:Z97))),"")</f>
        <v/>
      </c>
      <c r="AA97" s="70">
        <f t="array" ref="AA97">IFERROR(INDEX(tblItems[ItemCode],SMALL(IF((tblItems[Zone]=AA$4)*(tblItems[ItemCode]&lt;&gt;""),ROW(tblItems[ItemCode])-MIN(ROW(tblItems[ItemCode]))+1),ROWS(AA$6:AA97))),"")</f>
        <v/>
      </c>
      <c r="AB97" s="70">
        <f t="array" ref="AB97">IFERROR(INDEX(tblItems[ItemCode],SMALL(IF((tblItems[Zone]=AB$4)*(tblItems[ItemCode]&lt;&gt;""),ROW(tblItems[ItemCode])-MIN(ROW(tblItems[ItemCode]))+1),ROWS(AB$6:AB97))),"")</f>
        <v/>
      </c>
      <c r="AC97" s="70">
        <f t="array" ref="AC97">IFERROR(INDEX(tblItems[ItemCode],SMALL(IF((tblItems[Zone]=AC$4)*(tblItems[ItemCode]&lt;&gt;""),ROW(tblItems[ItemCode])-MIN(ROW(tblItems[ItemCode]))+1),ROWS(AC$6:AC97))),"")</f>
        <v/>
      </c>
      <c r="AD97" s="70">
        <f t="array" ref="AD97">IFERROR(INDEX(tblItems[ItemCode],SMALL(IF((tblItems[Zone]=AD$4)*(tblItems[ItemCode]&lt;&gt;""),ROW(tblItems[ItemCode])-MIN(ROW(tblItems[ItemCode]))+1),ROWS(AD$6:AD97))),"")</f>
        <v/>
      </c>
      <c r="AE97" s="70">
        <f t="array" ref="AE97">IFERROR(INDEX(tblItems[ItemCode],SMALL(IF((tblItems[Zone]=AE$4)*(tblItems[ItemCode]&lt;&gt;""),ROW(tblItems[ItemCode])-MIN(ROW(tblItems[ItemCode]))+1),ROWS(AE$6:AE97))),"")</f>
        <v/>
      </c>
    </row>
    <row r="98">
      <c r="T98" s="70">
        <f t="array" ref="T98">IFERROR(INDEX(tblItems[ItemCode],SMALL(IF(tblItems[ItemCode]&lt;&gt;"",ROW(tblItems[ItemCode])-MIN(ROW(tblItems[ItemCode]))+1),ROWS(T$6:T98))),"")</f>
        <v/>
      </c>
      <c r="U98" s="70">
        <f t="array" ref="U98">IFERROR(INDEX(tblItems[ItemCode],SMALL(IF((tblItems[Zone]=U$4)*(tblItems[ItemCode]&lt;&gt;""),ROW(tblItems[ItemCode])-MIN(ROW(tblItems[ItemCode]))+1),ROWS(U$6:U98))),"")</f>
        <v/>
      </c>
      <c r="V98" s="70">
        <f t="array" ref="V98">IFERROR(INDEX(tblItems[ItemCode],SMALL(IF((tblItems[Zone]=V$4)*(tblItems[ItemCode]&lt;&gt;""),ROW(tblItems[ItemCode])-MIN(ROW(tblItems[ItemCode]))+1),ROWS(V$6:V98))),"")</f>
        <v/>
      </c>
      <c r="W98" s="70">
        <f t="array" ref="W98">IFERROR(INDEX(tblItems[ItemCode],SMALL(IF((tblItems[Zone]=W$4)*(tblItems[ItemCode]&lt;&gt;""),ROW(tblItems[ItemCode])-MIN(ROW(tblItems[ItemCode]))+1),ROWS(W$6:W98))),"")</f>
        <v/>
      </c>
      <c r="X98" s="70">
        <f t="array" ref="X98">IFERROR(INDEX(tblItems[ItemCode],SMALL(IF((tblItems[Zone]=X$4)*(tblItems[ItemCode]&lt;&gt;""),ROW(tblItems[ItemCode])-MIN(ROW(tblItems[ItemCode]))+1),ROWS(X$6:X98))),"")</f>
        <v/>
      </c>
      <c r="Y98" s="70">
        <f t="array" ref="Y98">IFERROR(INDEX(tblItems[ItemCode],SMALL(IF((tblItems[Zone]=Y$4)*(tblItems[ItemCode]&lt;&gt;""),ROW(tblItems[ItemCode])-MIN(ROW(tblItems[ItemCode]))+1),ROWS(Y$6:Y98))),"")</f>
        <v/>
      </c>
      <c r="Z98" s="70">
        <f t="array" ref="Z98">IFERROR(INDEX(tblItems[ItemCode],SMALL(IF((tblItems[Zone]=Z$4)*(tblItems[ItemCode]&lt;&gt;""),ROW(tblItems[ItemCode])-MIN(ROW(tblItems[ItemCode]))+1),ROWS(Z$6:Z98))),"")</f>
        <v/>
      </c>
      <c r="AA98" s="70">
        <f t="array" ref="AA98">IFERROR(INDEX(tblItems[ItemCode],SMALL(IF((tblItems[Zone]=AA$4)*(tblItems[ItemCode]&lt;&gt;""),ROW(tblItems[ItemCode])-MIN(ROW(tblItems[ItemCode]))+1),ROWS(AA$6:AA98))),"")</f>
        <v/>
      </c>
      <c r="AB98" s="70">
        <f t="array" ref="AB98">IFERROR(INDEX(tblItems[ItemCode],SMALL(IF((tblItems[Zone]=AB$4)*(tblItems[ItemCode]&lt;&gt;""),ROW(tblItems[ItemCode])-MIN(ROW(tblItems[ItemCode]))+1),ROWS(AB$6:AB98))),"")</f>
        <v/>
      </c>
      <c r="AC98" s="70">
        <f t="array" ref="AC98">IFERROR(INDEX(tblItems[ItemCode],SMALL(IF((tblItems[Zone]=AC$4)*(tblItems[ItemCode]&lt;&gt;""),ROW(tblItems[ItemCode])-MIN(ROW(tblItems[ItemCode]))+1),ROWS(AC$6:AC98))),"")</f>
        <v/>
      </c>
      <c r="AD98" s="70">
        <f t="array" ref="AD98">IFERROR(INDEX(tblItems[ItemCode],SMALL(IF((tblItems[Zone]=AD$4)*(tblItems[ItemCode]&lt;&gt;""),ROW(tblItems[ItemCode])-MIN(ROW(tblItems[ItemCode]))+1),ROWS(AD$6:AD98))),"")</f>
        <v/>
      </c>
      <c r="AE98" s="70">
        <f t="array" ref="AE98">IFERROR(INDEX(tblItems[ItemCode],SMALL(IF((tblItems[Zone]=AE$4)*(tblItems[ItemCode]&lt;&gt;""),ROW(tblItems[ItemCode])-MIN(ROW(tblItems[ItemCode]))+1),ROWS(AE$6:AE98))),"")</f>
        <v/>
      </c>
    </row>
    <row r="99">
      <c r="T99" s="70">
        <f t="array" ref="T99">IFERROR(INDEX(tblItems[ItemCode],SMALL(IF(tblItems[ItemCode]&lt;&gt;"",ROW(tblItems[ItemCode])-MIN(ROW(tblItems[ItemCode]))+1),ROWS(T$6:T99))),"")</f>
        <v/>
      </c>
      <c r="U99" s="70">
        <f t="array" ref="U99">IFERROR(INDEX(tblItems[ItemCode],SMALL(IF((tblItems[Zone]=U$4)*(tblItems[ItemCode]&lt;&gt;""),ROW(tblItems[ItemCode])-MIN(ROW(tblItems[ItemCode]))+1),ROWS(U$6:U99))),"")</f>
        <v/>
      </c>
      <c r="V99" s="70">
        <f t="array" ref="V99">IFERROR(INDEX(tblItems[ItemCode],SMALL(IF((tblItems[Zone]=V$4)*(tblItems[ItemCode]&lt;&gt;""),ROW(tblItems[ItemCode])-MIN(ROW(tblItems[ItemCode]))+1),ROWS(V$6:V99))),"")</f>
        <v/>
      </c>
      <c r="W99" s="70">
        <f t="array" ref="W99">IFERROR(INDEX(tblItems[ItemCode],SMALL(IF((tblItems[Zone]=W$4)*(tblItems[ItemCode]&lt;&gt;""),ROW(tblItems[ItemCode])-MIN(ROW(tblItems[ItemCode]))+1),ROWS(W$6:W99))),"")</f>
        <v/>
      </c>
      <c r="X99" s="70">
        <f t="array" ref="X99">IFERROR(INDEX(tblItems[ItemCode],SMALL(IF((tblItems[Zone]=X$4)*(tblItems[ItemCode]&lt;&gt;""),ROW(tblItems[ItemCode])-MIN(ROW(tblItems[ItemCode]))+1),ROWS(X$6:X99))),"")</f>
        <v/>
      </c>
      <c r="Y99" s="70">
        <f t="array" ref="Y99">IFERROR(INDEX(tblItems[ItemCode],SMALL(IF((tblItems[Zone]=Y$4)*(tblItems[ItemCode]&lt;&gt;""),ROW(tblItems[ItemCode])-MIN(ROW(tblItems[ItemCode]))+1),ROWS(Y$6:Y99))),"")</f>
        <v/>
      </c>
      <c r="Z99" s="70">
        <f t="array" ref="Z99">IFERROR(INDEX(tblItems[ItemCode],SMALL(IF((tblItems[Zone]=Z$4)*(tblItems[ItemCode]&lt;&gt;""),ROW(tblItems[ItemCode])-MIN(ROW(tblItems[ItemCode]))+1),ROWS(Z$6:Z99))),"")</f>
        <v/>
      </c>
      <c r="AA99" s="70">
        <f t="array" ref="AA99">IFERROR(INDEX(tblItems[ItemCode],SMALL(IF((tblItems[Zone]=AA$4)*(tblItems[ItemCode]&lt;&gt;""),ROW(tblItems[ItemCode])-MIN(ROW(tblItems[ItemCode]))+1),ROWS(AA$6:AA99))),"")</f>
        <v/>
      </c>
      <c r="AB99" s="70">
        <f t="array" ref="AB99">IFERROR(INDEX(tblItems[ItemCode],SMALL(IF((tblItems[Zone]=AB$4)*(tblItems[ItemCode]&lt;&gt;""),ROW(tblItems[ItemCode])-MIN(ROW(tblItems[ItemCode]))+1),ROWS(AB$6:AB99))),"")</f>
        <v/>
      </c>
      <c r="AC99" s="70">
        <f t="array" ref="AC99">IFERROR(INDEX(tblItems[ItemCode],SMALL(IF((tblItems[Zone]=AC$4)*(tblItems[ItemCode]&lt;&gt;""),ROW(tblItems[ItemCode])-MIN(ROW(tblItems[ItemCode]))+1),ROWS(AC$6:AC99))),"")</f>
        <v/>
      </c>
      <c r="AD99" s="70">
        <f t="array" ref="AD99">IFERROR(INDEX(tblItems[ItemCode],SMALL(IF((tblItems[Zone]=AD$4)*(tblItems[ItemCode]&lt;&gt;""),ROW(tblItems[ItemCode])-MIN(ROW(tblItems[ItemCode]))+1),ROWS(AD$6:AD99))),"")</f>
        <v/>
      </c>
      <c r="AE99" s="70">
        <f t="array" ref="AE99">IFERROR(INDEX(tblItems[ItemCode],SMALL(IF((tblItems[Zone]=AE$4)*(tblItems[ItemCode]&lt;&gt;""),ROW(tblItems[ItemCode])-MIN(ROW(tblItems[ItemCode]))+1),ROWS(AE$6:AE99))),"")</f>
        <v/>
      </c>
    </row>
    <row r="100">
      <c r="T100" s="70">
        <f t="array" ref="T100">IFERROR(INDEX(tblItems[ItemCode],SMALL(IF(tblItems[ItemCode]&lt;&gt;"",ROW(tblItems[ItemCode])-MIN(ROW(tblItems[ItemCode]))+1),ROWS(T$6:T100))),"")</f>
        <v/>
      </c>
      <c r="U100" s="70">
        <f t="array" ref="U100">IFERROR(INDEX(tblItems[ItemCode],SMALL(IF((tblItems[Zone]=U$4)*(tblItems[ItemCode]&lt;&gt;""),ROW(tblItems[ItemCode])-MIN(ROW(tblItems[ItemCode]))+1),ROWS(U$6:U100))),"")</f>
        <v/>
      </c>
      <c r="V100" s="70">
        <f t="array" ref="V100">IFERROR(INDEX(tblItems[ItemCode],SMALL(IF((tblItems[Zone]=V$4)*(tblItems[ItemCode]&lt;&gt;""),ROW(tblItems[ItemCode])-MIN(ROW(tblItems[ItemCode]))+1),ROWS(V$6:V100))),"")</f>
        <v/>
      </c>
      <c r="W100" s="70">
        <f t="array" ref="W100">IFERROR(INDEX(tblItems[ItemCode],SMALL(IF((tblItems[Zone]=W$4)*(tblItems[ItemCode]&lt;&gt;""),ROW(tblItems[ItemCode])-MIN(ROW(tblItems[ItemCode]))+1),ROWS(W$6:W100))),"")</f>
        <v/>
      </c>
      <c r="X100" s="70">
        <f t="array" ref="X100">IFERROR(INDEX(tblItems[ItemCode],SMALL(IF((tblItems[Zone]=X$4)*(tblItems[ItemCode]&lt;&gt;""),ROW(tblItems[ItemCode])-MIN(ROW(tblItems[ItemCode]))+1),ROWS(X$6:X100))),"")</f>
        <v/>
      </c>
      <c r="Y100" s="70">
        <f t="array" ref="Y100">IFERROR(INDEX(tblItems[ItemCode],SMALL(IF((tblItems[Zone]=Y$4)*(tblItems[ItemCode]&lt;&gt;""),ROW(tblItems[ItemCode])-MIN(ROW(tblItems[ItemCode]))+1),ROWS(Y$6:Y100))),"")</f>
        <v/>
      </c>
      <c r="Z100" s="70">
        <f t="array" ref="Z100">IFERROR(INDEX(tblItems[ItemCode],SMALL(IF((tblItems[Zone]=Z$4)*(tblItems[ItemCode]&lt;&gt;""),ROW(tblItems[ItemCode])-MIN(ROW(tblItems[ItemCode]))+1),ROWS(Z$6:Z100))),"")</f>
        <v/>
      </c>
      <c r="AA100" s="70">
        <f t="array" ref="AA100">IFERROR(INDEX(tblItems[ItemCode],SMALL(IF((tblItems[Zone]=AA$4)*(tblItems[ItemCode]&lt;&gt;""),ROW(tblItems[ItemCode])-MIN(ROW(tblItems[ItemCode]))+1),ROWS(AA$6:AA100))),"")</f>
        <v/>
      </c>
      <c r="AB100" s="70">
        <f t="array" ref="AB100">IFERROR(INDEX(tblItems[ItemCode],SMALL(IF((tblItems[Zone]=AB$4)*(tblItems[ItemCode]&lt;&gt;""),ROW(tblItems[ItemCode])-MIN(ROW(tblItems[ItemCode]))+1),ROWS(AB$6:AB100))),"")</f>
        <v/>
      </c>
      <c r="AC100" s="70">
        <f t="array" ref="AC100">IFERROR(INDEX(tblItems[ItemCode],SMALL(IF((tblItems[Zone]=AC$4)*(tblItems[ItemCode]&lt;&gt;""),ROW(tblItems[ItemCode])-MIN(ROW(tblItems[ItemCode]))+1),ROWS(AC$6:AC100))),"")</f>
        <v/>
      </c>
      <c r="AD100" s="70">
        <f t="array" ref="AD100">IFERROR(INDEX(tblItems[ItemCode],SMALL(IF((tblItems[Zone]=AD$4)*(tblItems[ItemCode]&lt;&gt;""),ROW(tblItems[ItemCode])-MIN(ROW(tblItems[ItemCode]))+1),ROWS(AD$6:AD100))),"")</f>
        <v/>
      </c>
      <c r="AE100" s="70">
        <f t="array" ref="AE100">IFERROR(INDEX(tblItems[ItemCode],SMALL(IF((tblItems[Zone]=AE$4)*(tblItems[ItemCode]&lt;&gt;""),ROW(tblItems[ItemCode])-MIN(ROW(tblItems[ItemCode]))+1),ROWS(AE$6:AE100))),"")</f>
        <v/>
      </c>
    </row>
    <row r="101">
      <c r="T101" s="70">
        <f t="array" ref="T101">IFERROR(INDEX(tblItems[ItemCode],SMALL(IF(tblItems[ItemCode]&lt;&gt;"",ROW(tblItems[ItemCode])-MIN(ROW(tblItems[ItemCode]))+1),ROWS(T$6:T101))),"")</f>
        <v/>
      </c>
      <c r="U101" s="70">
        <f t="array" ref="U101">IFERROR(INDEX(tblItems[ItemCode],SMALL(IF((tblItems[Zone]=U$4)*(tblItems[ItemCode]&lt;&gt;""),ROW(tblItems[ItemCode])-MIN(ROW(tblItems[ItemCode]))+1),ROWS(U$6:U101))),"")</f>
        <v/>
      </c>
      <c r="V101" s="70">
        <f t="array" ref="V101">IFERROR(INDEX(tblItems[ItemCode],SMALL(IF((tblItems[Zone]=V$4)*(tblItems[ItemCode]&lt;&gt;""),ROW(tblItems[ItemCode])-MIN(ROW(tblItems[ItemCode]))+1),ROWS(V$6:V101))),"")</f>
        <v/>
      </c>
      <c r="W101" s="70">
        <f t="array" ref="W101">IFERROR(INDEX(tblItems[ItemCode],SMALL(IF((tblItems[Zone]=W$4)*(tblItems[ItemCode]&lt;&gt;""),ROW(tblItems[ItemCode])-MIN(ROW(tblItems[ItemCode]))+1),ROWS(W$6:W101))),"")</f>
        <v/>
      </c>
      <c r="X101" s="70">
        <f t="array" ref="X101">IFERROR(INDEX(tblItems[ItemCode],SMALL(IF((tblItems[Zone]=X$4)*(tblItems[ItemCode]&lt;&gt;""),ROW(tblItems[ItemCode])-MIN(ROW(tblItems[ItemCode]))+1),ROWS(X$6:X101))),"")</f>
        <v/>
      </c>
      <c r="Y101" s="70">
        <f t="array" ref="Y101">IFERROR(INDEX(tblItems[ItemCode],SMALL(IF((tblItems[Zone]=Y$4)*(tblItems[ItemCode]&lt;&gt;""),ROW(tblItems[ItemCode])-MIN(ROW(tblItems[ItemCode]))+1),ROWS(Y$6:Y101))),"")</f>
        <v/>
      </c>
      <c r="Z101" s="70">
        <f t="array" ref="Z101">IFERROR(INDEX(tblItems[ItemCode],SMALL(IF((tblItems[Zone]=Z$4)*(tblItems[ItemCode]&lt;&gt;""),ROW(tblItems[ItemCode])-MIN(ROW(tblItems[ItemCode]))+1),ROWS(Z$6:Z101))),"")</f>
        <v/>
      </c>
      <c r="AA101" s="70">
        <f t="array" ref="AA101">IFERROR(INDEX(tblItems[ItemCode],SMALL(IF((tblItems[Zone]=AA$4)*(tblItems[ItemCode]&lt;&gt;""),ROW(tblItems[ItemCode])-MIN(ROW(tblItems[ItemCode]))+1),ROWS(AA$6:AA101))),"")</f>
        <v/>
      </c>
      <c r="AB101" s="70">
        <f t="array" ref="AB101">IFERROR(INDEX(tblItems[ItemCode],SMALL(IF((tblItems[Zone]=AB$4)*(tblItems[ItemCode]&lt;&gt;""),ROW(tblItems[ItemCode])-MIN(ROW(tblItems[ItemCode]))+1),ROWS(AB$6:AB101))),"")</f>
        <v/>
      </c>
      <c r="AC101" s="70">
        <f t="array" ref="AC101">IFERROR(INDEX(tblItems[ItemCode],SMALL(IF((tblItems[Zone]=AC$4)*(tblItems[ItemCode]&lt;&gt;""),ROW(tblItems[ItemCode])-MIN(ROW(tblItems[ItemCode]))+1),ROWS(AC$6:AC101))),"")</f>
        <v/>
      </c>
      <c r="AD101" s="70">
        <f t="array" ref="AD101">IFERROR(INDEX(tblItems[ItemCode],SMALL(IF((tblItems[Zone]=AD$4)*(tblItems[ItemCode]&lt;&gt;""),ROW(tblItems[ItemCode])-MIN(ROW(tblItems[ItemCode]))+1),ROWS(AD$6:AD101))),"")</f>
        <v/>
      </c>
      <c r="AE101" s="70">
        <f t="array" ref="AE101">IFERROR(INDEX(tblItems[ItemCode],SMALL(IF((tblItems[Zone]=AE$4)*(tblItems[ItemCode]&lt;&gt;""),ROW(tblItems[ItemCode])-MIN(ROW(tblItems[ItemCode]))+1),ROWS(AE$6:AE101))),"")</f>
        <v/>
      </c>
    </row>
    <row r="102">
      <c r="T102" s="70">
        <f t="array" ref="T102">IFERROR(INDEX(tblItems[ItemCode],SMALL(IF(tblItems[ItemCode]&lt;&gt;"",ROW(tblItems[ItemCode])-MIN(ROW(tblItems[ItemCode]))+1),ROWS(T$6:T102))),"")</f>
        <v/>
      </c>
      <c r="U102" s="70">
        <f t="array" ref="U102">IFERROR(INDEX(tblItems[ItemCode],SMALL(IF((tblItems[Zone]=U$4)*(tblItems[ItemCode]&lt;&gt;""),ROW(tblItems[ItemCode])-MIN(ROW(tblItems[ItemCode]))+1),ROWS(U$6:U102))),"")</f>
        <v/>
      </c>
      <c r="V102" s="70">
        <f t="array" ref="V102">IFERROR(INDEX(tblItems[ItemCode],SMALL(IF((tblItems[Zone]=V$4)*(tblItems[ItemCode]&lt;&gt;""),ROW(tblItems[ItemCode])-MIN(ROW(tblItems[ItemCode]))+1),ROWS(V$6:V102))),"")</f>
        <v/>
      </c>
      <c r="W102" s="70">
        <f t="array" ref="W102">IFERROR(INDEX(tblItems[ItemCode],SMALL(IF((tblItems[Zone]=W$4)*(tblItems[ItemCode]&lt;&gt;""),ROW(tblItems[ItemCode])-MIN(ROW(tblItems[ItemCode]))+1),ROWS(W$6:W102))),"")</f>
        <v/>
      </c>
      <c r="X102" s="70">
        <f t="array" ref="X102">IFERROR(INDEX(tblItems[ItemCode],SMALL(IF((tblItems[Zone]=X$4)*(tblItems[ItemCode]&lt;&gt;""),ROW(tblItems[ItemCode])-MIN(ROW(tblItems[ItemCode]))+1),ROWS(X$6:X102))),"")</f>
        <v/>
      </c>
      <c r="Y102" s="70">
        <f t="array" ref="Y102">IFERROR(INDEX(tblItems[ItemCode],SMALL(IF((tblItems[Zone]=Y$4)*(tblItems[ItemCode]&lt;&gt;""),ROW(tblItems[ItemCode])-MIN(ROW(tblItems[ItemCode]))+1),ROWS(Y$6:Y102))),"")</f>
        <v/>
      </c>
      <c r="Z102" s="70">
        <f t="array" ref="Z102">IFERROR(INDEX(tblItems[ItemCode],SMALL(IF((tblItems[Zone]=Z$4)*(tblItems[ItemCode]&lt;&gt;""),ROW(tblItems[ItemCode])-MIN(ROW(tblItems[ItemCode]))+1),ROWS(Z$6:Z102))),"")</f>
        <v/>
      </c>
      <c r="AA102" s="70">
        <f t="array" ref="AA102">IFERROR(INDEX(tblItems[ItemCode],SMALL(IF((tblItems[Zone]=AA$4)*(tblItems[ItemCode]&lt;&gt;""),ROW(tblItems[ItemCode])-MIN(ROW(tblItems[ItemCode]))+1),ROWS(AA$6:AA102))),"")</f>
        <v/>
      </c>
      <c r="AB102" s="70">
        <f t="array" ref="AB102">IFERROR(INDEX(tblItems[ItemCode],SMALL(IF((tblItems[Zone]=AB$4)*(tblItems[ItemCode]&lt;&gt;""),ROW(tblItems[ItemCode])-MIN(ROW(tblItems[ItemCode]))+1),ROWS(AB$6:AB102))),"")</f>
        <v/>
      </c>
      <c r="AC102" s="70">
        <f t="array" ref="AC102">IFERROR(INDEX(tblItems[ItemCode],SMALL(IF((tblItems[Zone]=AC$4)*(tblItems[ItemCode]&lt;&gt;""),ROW(tblItems[ItemCode])-MIN(ROW(tblItems[ItemCode]))+1),ROWS(AC$6:AC102))),"")</f>
        <v/>
      </c>
      <c r="AD102" s="70">
        <f t="array" ref="AD102">IFERROR(INDEX(tblItems[ItemCode],SMALL(IF((tblItems[Zone]=AD$4)*(tblItems[ItemCode]&lt;&gt;""),ROW(tblItems[ItemCode])-MIN(ROW(tblItems[ItemCode]))+1),ROWS(AD$6:AD102))),"")</f>
        <v/>
      </c>
      <c r="AE102" s="70">
        <f t="array" ref="AE102">IFERROR(INDEX(tblItems[ItemCode],SMALL(IF((tblItems[Zone]=AE$4)*(tblItems[ItemCode]&lt;&gt;""),ROW(tblItems[ItemCode])-MIN(ROW(tblItems[ItemCode]))+1),ROWS(AE$6:AE102))),"")</f>
        <v/>
      </c>
    </row>
    <row r="103">
      <c r="T103" s="70">
        <f t="array" ref="T103">IFERROR(INDEX(tblItems[ItemCode],SMALL(IF(tblItems[ItemCode]&lt;&gt;"",ROW(tblItems[ItemCode])-MIN(ROW(tblItems[ItemCode]))+1),ROWS(T$6:T103))),"")</f>
        <v/>
      </c>
      <c r="U103" s="70">
        <f t="array" ref="U103">IFERROR(INDEX(tblItems[ItemCode],SMALL(IF((tblItems[Zone]=U$4)*(tblItems[ItemCode]&lt;&gt;""),ROW(tblItems[ItemCode])-MIN(ROW(tblItems[ItemCode]))+1),ROWS(U$6:U103))),"")</f>
        <v/>
      </c>
      <c r="V103" s="70">
        <f t="array" ref="V103">IFERROR(INDEX(tblItems[ItemCode],SMALL(IF((tblItems[Zone]=V$4)*(tblItems[ItemCode]&lt;&gt;""),ROW(tblItems[ItemCode])-MIN(ROW(tblItems[ItemCode]))+1),ROWS(V$6:V103))),"")</f>
        <v/>
      </c>
      <c r="W103" s="70">
        <f t="array" ref="W103">IFERROR(INDEX(tblItems[ItemCode],SMALL(IF((tblItems[Zone]=W$4)*(tblItems[ItemCode]&lt;&gt;""),ROW(tblItems[ItemCode])-MIN(ROW(tblItems[ItemCode]))+1),ROWS(W$6:W103))),"")</f>
        <v/>
      </c>
      <c r="X103" s="70">
        <f t="array" ref="X103">IFERROR(INDEX(tblItems[ItemCode],SMALL(IF((tblItems[Zone]=X$4)*(tblItems[ItemCode]&lt;&gt;""),ROW(tblItems[ItemCode])-MIN(ROW(tblItems[ItemCode]))+1),ROWS(X$6:X103))),"")</f>
        <v/>
      </c>
      <c r="Y103" s="70">
        <f t="array" ref="Y103">IFERROR(INDEX(tblItems[ItemCode],SMALL(IF((tblItems[Zone]=Y$4)*(tblItems[ItemCode]&lt;&gt;""),ROW(tblItems[ItemCode])-MIN(ROW(tblItems[ItemCode]))+1),ROWS(Y$6:Y103))),"")</f>
        <v/>
      </c>
      <c r="Z103" s="70">
        <f t="array" ref="Z103">IFERROR(INDEX(tblItems[ItemCode],SMALL(IF((tblItems[Zone]=Z$4)*(tblItems[ItemCode]&lt;&gt;""),ROW(tblItems[ItemCode])-MIN(ROW(tblItems[ItemCode]))+1),ROWS(Z$6:Z103))),"")</f>
        <v/>
      </c>
      <c r="AA103" s="70">
        <f t="array" ref="AA103">IFERROR(INDEX(tblItems[ItemCode],SMALL(IF((tblItems[Zone]=AA$4)*(tblItems[ItemCode]&lt;&gt;""),ROW(tblItems[ItemCode])-MIN(ROW(tblItems[ItemCode]))+1),ROWS(AA$6:AA103))),"")</f>
        <v/>
      </c>
      <c r="AB103" s="70">
        <f t="array" ref="AB103">IFERROR(INDEX(tblItems[ItemCode],SMALL(IF((tblItems[Zone]=AB$4)*(tblItems[ItemCode]&lt;&gt;""),ROW(tblItems[ItemCode])-MIN(ROW(tblItems[ItemCode]))+1),ROWS(AB$6:AB103))),"")</f>
        <v/>
      </c>
      <c r="AC103" s="70">
        <f t="array" ref="AC103">IFERROR(INDEX(tblItems[ItemCode],SMALL(IF((tblItems[Zone]=AC$4)*(tblItems[ItemCode]&lt;&gt;""),ROW(tblItems[ItemCode])-MIN(ROW(tblItems[ItemCode]))+1),ROWS(AC$6:AC103))),"")</f>
        <v/>
      </c>
      <c r="AD103" s="70">
        <f t="array" ref="AD103">IFERROR(INDEX(tblItems[ItemCode],SMALL(IF((tblItems[Zone]=AD$4)*(tblItems[ItemCode]&lt;&gt;""),ROW(tblItems[ItemCode])-MIN(ROW(tblItems[ItemCode]))+1),ROWS(AD$6:AD103))),"")</f>
        <v/>
      </c>
      <c r="AE103" s="70">
        <f t="array" ref="AE103">IFERROR(INDEX(tblItems[ItemCode],SMALL(IF((tblItems[Zone]=AE$4)*(tblItems[ItemCode]&lt;&gt;""),ROW(tblItems[ItemCode])-MIN(ROW(tblItems[ItemCode]))+1),ROWS(AE$6:AE103))),"")</f>
        <v/>
      </c>
    </row>
    <row r="104">
      <c r="T104" s="70">
        <f t="array" ref="T104">IFERROR(INDEX(tblItems[ItemCode],SMALL(IF(tblItems[ItemCode]&lt;&gt;"",ROW(tblItems[ItemCode])-MIN(ROW(tblItems[ItemCode]))+1),ROWS(T$6:T104))),"")</f>
        <v/>
      </c>
      <c r="U104" s="70">
        <f t="array" ref="U104">IFERROR(INDEX(tblItems[ItemCode],SMALL(IF((tblItems[Zone]=U$4)*(tblItems[ItemCode]&lt;&gt;""),ROW(tblItems[ItemCode])-MIN(ROW(tblItems[ItemCode]))+1),ROWS(U$6:U104))),"")</f>
        <v/>
      </c>
      <c r="V104" s="70">
        <f t="array" ref="V104">IFERROR(INDEX(tblItems[ItemCode],SMALL(IF((tblItems[Zone]=V$4)*(tblItems[ItemCode]&lt;&gt;""),ROW(tblItems[ItemCode])-MIN(ROW(tblItems[ItemCode]))+1),ROWS(V$6:V104))),"")</f>
        <v/>
      </c>
      <c r="W104" s="70">
        <f t="array" ref="W104">IFERROR(INDEX(tblItems[ItemCode],SMALL(IF((tblItems[Zone]=W$4)*(tblItems[ItemCode]&lt;&gt;""),ROW(tblItems[ItemCode])-MIN(ROW(tblItems[ItemCode]))+1),ROWS(W$6:W104))),"")</f>
        <v/>
      </c>
      <c r="X104" s="70">
        <f t="array" ref="X104">IFERROR(INDEX(tblItems[ItemCode],SMALL(IF((tblItems[Zone]=X$4)*(tblItems[ItemCode]&lt;&gt;""),ROW(tblItems[ItemCode])-MIN(ROW(tblItems[ItemCode]))+1),ROWS(X$6:X104))),"")</f>
        <v/>
      </c>
      <c r="Y104" s="70">
        <f t="array" ref="Y104">IFERROR(INDEX(tblItems[ItemCode],SMALL(IF((tblItems[Zone]=Y$4)*(tblItems[ItemCode]&lt;&gt;""),ROW(tblItems[ItemCode])-MIN(ROW(tblItems[ItemCode]))+1),ROWS(Y$6:Y104))),"")</f>
        <v/>
      </c>
      <c r="Z104" s="70">
        <f t="array" ref="Z104">IFERROR(INDEX(tblItems[ItemCode],SMALL(IF((tblItems[Zone]=Z$4)*(tblItems[ItemCode]&lt;&gt;""),ROW(tblItems[ItemCode])-MIN(ROW(tblItems[ItemCode]))+1),ROWS(Z$6:Z104))),"")</f>
        <v/>
      </c>
      <c r="AA104" s="70">
        <f t="array" ref="AA104">IFERROR(INDEX(tblItems[ItemCode],SMALL(IF((tblItems[Zone]=AA$4)*(tblItems[ItemCode]&lt;&gt;""),ROW(tblItems[ItemCode])-MIN(ROW(tblItems[ItemCode]))+1),ROWS(AA$6:AA104))),"")</f>
        <v/>
      </c>
      <c r="AB104" s="70">
        <f t="array" ref="AB104">IFERROR(INDEX(tblItems[ItemCode],SMALL(IF((tblItems[Zone]=AB$4)*(tblItems[ItemCode]&lt;&gt;""),ROW(tblItems[ItemCode])-MIN(ROW(tblItems[ItemCode]))+1),ROWS(AB$6:AB104))),"")</f>
        <v/>
      </c>
      <c r="AC104" s="70">
        <f t="array" ref="AC104">IFERROR(INDEX(tblItems[ItemCode],SMALL(IF((tblItems[Zone]=AC$4)*(tblItems[ItemCode]&lt;&gt;""),ROW(tblItems[ItemCode])-MIN(ROW(tblItems[ItemCode]))+1),ROWS(AC$6:AC104))),"")</f>
        <v/>
      </c>
      <c r="AD104" s="70">
        <f t="array" ref="AD104">IFERROR(INDEX(tblItems[ItemCode],SMALL(IF((tblItems[Zone]=AD$4)*(tblItems[ItemCode]&lt;&gt;""),ROW(tblItems[ItemCode])-MIN(ROW(tblItems[ItemCode]))+1),ROWS(AD$6:AD104))),"")</f>
        <v/>
      </c>
      <c r="AE104" s="70">
        <f t="array" ref="AE104">IFERROR(INDEX(tblItems[ItemCode],SMALL(IF((tblItems[Zone]=AE$4)*(tblItems[ItemCode]&lt;&gt;""),ROW(tblItems[ItemCode])-MIN(ROW(tblItems[ItemCode]))+1),ROWS(AE$6:AE104))),"")</f>
        <v/>
      </c>
    </row>
    <row r="105">
      <c r="T105" s="70">
        <f t="array" ref="T105">IFERROR(INDEX(tblItems[ItemCode],SMALL(IF(tblItems[ItemCode]&lt;&gt;"",ROW(tblItems[ItemCode])-MIN(ROW(tblItems[ItemCode]))+1),ROWS(T$6:T105))),"")</f>
        <v/>
      </c>
      <c r="U105" s="70">
        <f t="array" ref="U105">IFERROR(INDEX(tblItems[ItemCode],SMALL(IF((tblItems[Zone]=U$4)*(tblItems[ItemCode]&lt;&gt;""),ROW(tblItems[ItemCode])-MIN(ROW(tblItems[ItemCode]))+1),ROWS(U$6:U105))),"")</f>
        <v/>
      </c>
      <c r="V105" s="70">
        <f t="array" ref="V105">IFERROR(INDEX(tblItems[ItemCode],SMALL(IF((tblItems[Zone]=V$4)*(tblItems[ItemCode]&lt;&gt;""),ROW(tblItems[ItemCode])-MIN(ROW(tblItems[ItemCode]))+1),ROWS(V$6:V105))),"")</f>
        <v/>
      </c>
      <c r="W105" s="70">
        <f t="array" ref="W105">IFERROR(INDEX(tblItems[ItemCode],SMALL(IF((tblItems[Zone]=W$4)*(tblItems[ItemCode]&lt;&gt;""),ROW(tblItems[ItemCode])-MIN(ROW(tblItems[ItemCode]))+1),ROWS(W$6:W105))),"")</f>
        <v/>
      </c>
      <c r="X105" s="70">
        <f t="array" ref="X105">IFERROR(INDEX(tblItems[ItemCode],SMALL(IF((tblItems[Zone]=X$4)*(tblItems[ItemCode]&lt;&gt;""),ROW(tblItems[ItemCode])-MIN(ROW(tblItems[ItemCode]))+1),ROWS(X$6:X105))),"")</f>
        <v/>
      </c>
      <c r="Y105" s="70">
        <f t="array" ref="Y105">IFERROR(INDEX(tblItems[ItemCode],SMALL(IF((tblItems[Zone]=Y$4)*(tblItems[ItemCode]&lt;&gt;""),ROW(tblItems[ItemCode])-MIN(ROW(tblItems[ItemCode]))+1),ROWS(Y$6:Y105))),"")</f>
        <v/>
      </c>
      <c r="Z105" s="70">
        <f t="array" ref="Z105">IFERROR(INDEX(tblItems[ItemCode],SMALL(IF((tblItems[Zone]=Z$4)*(tblItems[ItemCode]&lt;&gt;""),ROW(tblItems[ItemCode])-MIN(ROW(tblItems[ItemCode]))+1),ROWS(Z$6:Z105))),"")</f>
        <v/>
      </c>
      <c r="AA105" s="70">
        <f t="array" ref="AA105">IFERROR(INDEX(tblItems[ItemCode],SMALL(IF((tblItems[Zone]=AA$4)*(tblItems[ItemCode]&lt;&gt;""),ROW(tblItems[ItemCode])-MIN(ROW(tblItems[ItemCode]))+1),ROWS(AA$6:AA105))),"")</f>
        <v/>
      </c>
      <c r="AB105" s="70">
        <f t="array" ref="AB105">IFERROR(INDEX(tblItems[ItemCode],SMALL(IF((tblItems[Zone]=AB$4)*(tblItems[ItemCode]&lt;&gt;""),ROW(tblItems[ItemCode])-MIN(ROW(tblItems[ItemCode]))+1),ROWS(AB$6:AB105))),"")</f>
        <v/>
      </c>
      <c r="AC105" s="70">
        <f t="array" ref="AC105">IFERROR(INDEX(tblItems[ItemCode],SMALL(IF((tblItems[Zone]=AC$4)*(tblItems[ItemCode]&lt;&gt;""),ROW(tblItems[ItemCode])-MIN(ROW(tblItems[ItemCode]))+1),ROWS(AC$6:AC105))),"")</f>
        <v/>
      </c>
      <c r="AD105" s="70">
        <f t="array" ref="AD105">IFERROR(INDEX(tblItems[ItemCode],SMALL(IF((tblItems[Zone]=AD$4)*(tblItems[ItemCode]&lt;&gt;""),ROW(tblItems[ItemCode])-MIN(ROW(tblItems[ItemCode]))+1),ROWS(AD$6:AD105))),"")</f>
        <v/>
      </c>
      <c r="AE105" s="70">
        <f t="array" ref="AE105">IFERROR(INDEX(tblItems[ItemCode],SMALL(IF((tblItems[Zone]=AE$4)*(tblItems[ItemCode]&lt;&gt;""),ROW(tblItems[ItemCode])-MIN(ROW(tblItems[ItemCode]))+1),ROWS(AE$6:AE105))),"")</f>
        <v/>
      </c>
    </row>
    <row r="106">
      <c r="T106" s="70">
        <f t="array" ref="T106">IFERROR(INDEX(tblItems[ItemCode],SMALL(IF(tblItems[ItemCode]&lt;&gt;"",ROW(tblItems[ItemCode])-MIN(ROW(tblItems[ItemCode]))+1),ROWS(T$6:T106))),"")</f>
        <v/>
      </c>
      <c r="U106" s="70">
        <f t="array" ref="U106">IFERROR(INDEX(tblItems[ItemCode],SMALL(IF((tblItems[Zone]=U$4)*(tblItems[ItemCode]&lt;&gt;""),ROW(tblItems[ItemCode])-MIN(ROW(tblItems[ItemCode]))+1),ROWS(U$6:U106))),"")</f>
        <v/>
      </c>
      <c r="V106" s="70">
        <f t="array" ref="V106">IFERROR(INDEX(tblItems[ItemCode],SMALL(IF((tblItems[Zone]=V$4)*(tblItems[ItemCode]&lt;&gt;""),ROW(tblItems[ItemCode])-MIN(ROW(tblItems[ItemCode]))+1),ROWS(V$6:V106))),"")</f>
        <v/>
      </c>
      <c r="W106" s="70">
        <f t="array" ref="W106">IFERROR(INDEX(tblItems[ItemCode],SMALL(IF((tblItems[Zone]=W$4)*(tblItems[ItemCode]&lt;&gt;""),ROW(tblItems[ItemCode])-MIN(ROW(tblItems[ItemCode]))+1),ROWS(W$6:W106))),"")</f>
        <v/>
      </c>
      <c r="X106" s="70">
        <f t="array" ref="X106">IFERROR(INDEX(tblItems[ItemCode],SMALL(IF((tblItems[Zone]=X$4)*(tblItems[ItemCode]&lt;&gt;""),ROW(tblItems[ItemCode])-MIN(ROW(tblItems[ItemCode]))+1),ROWS(X$6:X106))),"")</f>
        <v/>
      </c>
      <c r="Y106" s="70">
        <f t="array" ref="Y106">IFERROR(INDEX(tblItems[ItemCode],SMALL(IF((tblItems[Zone]=Y$4)*(tblItems[ItemCode]&lt;&gt;""),ROW(tblItems[ItemCode])-MIN(ROW(tblItems[ItemCode]))+1),ROWS(Y$6:Y106))),"")</f>
        <v/>
      </c>
      <c r="Z106" s="70">
        <f t="array" ref="Z106">IFERROR(INDEX(tblItems[ItemCode],SMALL(IF((tblItems[Zone]=Z$4)*(tblItems[ItemCode]&lt;&gt;""),ROW(tblItems[ItemCode])-MIN(ROW(tblItems[ItemCode]))+1),ROWS(Z$6:Z106))),"")</f>
        <v/>
      </c>
      <c r="AA106" s="70">
        <f t="array" ref="AA106">IFERROR(INDEX(tblItems[ItemCode],SMALL(IF((tblItems[Zone]=AA$4)*(tblItems[ItemCode]&lt;&gt;""),ROW(tblItems[ItemCode])-MIN(ROW(tblItems[ItemCode]))+1),ROWS(AA$6:AA106))),"")</f>
        <v/>
      </c>
      <c r="AB106" s="70">
        <f t="array" ref="AB106">IFERROR(INDEX(tblItems[ItemCode],SMALL(IF((tblItems[Zone]=AB$4)*(tblItems[ItemCode]&lt;&gt;""),ROW(tblItems[ItemCode])-MIN(ROW(tblItems[ItemCode]))+1),ROWS(AB$6:AB106))),"")</f>
        <v/>
      </c>
      <c r="AC106" s="70">
        <f t="array" ref="AC106">IFERROR(INDEX(tblItems[ItemCode],SMALL(IF((tblItems[Zone]=AC$4)*(tblItems[ItemCode]&lt;&gt;""),ROW(tblItems[ItemCode])-MIN(ROW(tblItems[ItemCode]))+1),ROWS(AC$6:AC106))),"")</f>
        <v/>
      </c>
      <c r="AD106" s="70">
        <f t="array" ref="AD106">IFERROR(INDEX(tblItems[ItemCode],SMALL(IF((tblItems[Zone]=AD$4)*(tblItems[ItemCode]&lt;&gt;""),ROW(tblItems[ItemCode])-MIN(ROW(tblItems[ItemCode]))+1),ROWS(AD$6:AD106))),"")</f>
        <v/>
      </c>
      <c r="AE106" s="70">
        <f t="array" ref="AE106">IFERROR(INDEX(tblItems[ItemCode],SMALL(IF((tblItems[Zone]=AE$4)*(tblItems[ItemCode]&lt;&gt;""),ROW(tblItems[ItemCode])-MIN(ROW(tblItems[ItemCode]))+1),ROWS(AE$6:AE106))),"")</f>
        <v/>
      </c>
    </row>
    <row r="107">
      <c r="T107" s="70">
        <f t="array" ref="T107">IFERROR(INDEX(tblItems[ItemCode],SMALL(IF(tblItems[ItemCode]&lt;&gt;"",ROW(tblItems[ItemCode])-MIN(ROW(tblItems[ItemCode]))+1),ROWS(T$6:T107))),"")</f>
        <v/>
      </c>
      <c r="U107" s="70">
        <f t="array" ref="U107">IFERROR(INDEX(tblItems[ItemCode],SMALL(IF((tblItems[Zone]=U$4)*(tblItems[ItemCode]&lt;&gt;""),ROW(tblItems[ItemCode])-MIN(ROW(tblItems[ItemCode]))+1),ROWS(U$6:U107))),"")</f>
        <v/>
      </c>
      <c r="V107" s="70">
        <f t="array" ref="V107">IFERROR(INDEX(tblItems[ItemCode],SMALL(IF((tblItems[Zone]=V$4)*(tblItems[ItemCode]&lt;&gt;""),ROW(tblItems[ItemCode])-MIN(ROW(tblItems[ItemCode]))+1),ROWS(V$6:V107))),"")</f>
        <v/>
      </c>
      <c r="W107" s="70">
        <f t="array" ref="W107">IFERROR(INDEX(tblItems[ItemCode],SMALL(IF((tblItems[Zone]=W$4)*(tblItems[ItemCode]&lt;&gt;""),ROW(tblItems[ItemCode])-MIN(ROW(tblItems[ItemCode]))+1),ROWS(W$6:W107))),"")</f>
        <v/>
      </c>
      <c r="X107" s="70">
        <f t="array" ref="X107">IFERROR(INDEX(tblItems[ItemCode],SMALL(IF((tblItems[Zone]=X$4)*(tblItems[ItemCode]&lt;&gt;""),ROW(tblItems[ItemCode])-MIN(ROW(tblItems[ItemCode]))+1),ROWS(X$6:X107))),"")</f>
        <v/>
      </c>
      <c r="Y107" s="70">
        <f t="array" ref="Y107">IFERROR(INDEX(tblItems[ItemCode],SMALL(IF((tblItems[Zone]=Y$4)*(tblItems[ItemCode]&lt;&gt;""),ROW(tblItems[ItemCode])-MIN(ROW(tblItems[ItemCode]))+1),ROWS(Y$6:Y107))),"")</f>
        <v/>
      </c>
      <c r="Z107" s="70">
        <f t="array" ref="Z107">IFERROR(INDEX(tblItems[ItemCode],SMALL(IF((tblItems[Zone]=Z$4)*(tblItems[ItemCode]&lt;&gt;""),ROW(tblItems[ItemCode])-MIN(ROW(tblItems[ItemCode]))+1),ROWS(Z$6:Z107))),"")</f>
        <v/>
      </c>
      <c r="AA107" s="70">
        <f t="array" ref="AA107">IFERROR(INDEX(tblItems[ItemCode],SMALL(IF((tblItems[Zone]=AA$4)*(tblItems[ItemCode]&lt;&gt;""),ROW(tblItems[ItemCode])-MIN(ROW(tblItems[ItemCode]))+1),ROWS(AA$6:AA107))),"")</f>
        <v/>
      </c>
      <c r="AB107" s="70">
        <f t="array" ref="AB107">IFERROR(INDEX(tblItems[ItemCode],SMALL(IF((tblItems[Zone]=AB$4)*(tblItems[ItemCode]&lt;&gt;""),ROW(tblItems[ItemCode])-MIN(ROW(tblItems[ItemCode]))+1),ROWS(AB$6:AB107))),"")</f>
        <v/>
      </c>
      <c r="AC107" s="70">
        <f t="array" ref="AC107">IFERROR(INDEX(tblItems[ItemCode],SMALL(IF((tblItems[Zone]=AC$4)*(tblItems[ItemCode]&lt;&gt;""),ROW(tblItems[ItemCode])-MIN(ROW(tblItems[ItemCode]))+1),ROWS(AC$6:AC107))),"")</f>
        <v/>
      </c>
      <c r="AD107" s="70">
        <f t="array" ref="AD107">IFERROR(INDEX(tblItems[ItemCode],SMALL(IF((tblItems[Zone]=AD$4)*(tblItems[ItemCode]&lt;&gt;""),ROW(tblItems[ItemCode])-MIN(ROW(tblItems[ItemCode]))+1),ROWS(AD$6:AD107))),"")</f>
        <v/>
      </c>
      <c r="AE107" s="70">
        <f t="array" ref="AE107">IFERROR(INDEX(tblItems[ItemCode],SMALL(IF((tblItems[Zone]=AE$4)*(tblItems[ItemCode]&lt;&gt;""),ROW(tblItems[ItemCode])-MIN(ROW(tblItems[ItemCode]))+1),ROWS(AE$6:AE107))),"")</f>
        <v/>
      </c>
    </row>
    <row r="108">
      <c r="T108" s="70">
        <f t="array" ref="T108">IFERROR(INDEX(tblItems[ItemCode],SMALL(IF(tblItems[ItemCode]&lt;&gt;"",ROW(tblItems[ItemCode])-MIN(ROW(tblItems[ItemCode]))+1),ROWS(T$6:T108))),"")</f>
        <v/>
      </c>
      <c r="U108" s="70">
        <f t="array" ref="U108">IFERROR(INDEX(tblItems[ItemCode],SMALL(IF((tblItems[Zone]=U$4)*(tblItems[ItemCode]&lt;&gt;""),ROW(tblItems[ItemCode])-MIN(ROW(tblItems[ItemCode]))+1),ROWS(U$6:U108))),"")</f>
        <v/>
      </c>
      <c r="V108" s="70">
        <f t="array" ref="V108">IFERROR(INDEX(tblItems[ItemCode],SMALL(IF((tblItems[Zone]=V$4)*(tblItems[ItemCode]&lt;&gt;""),ROW(tblItems[ItemCode])-MIN(ROW(tblItems[ItemCode]))+1),ROWS(V$6:V108))),"")</f>
        <v/>
      </c>
      <c r="W108" s="70">
        <f t="array" ref="W108">IFERROR(INDEX(tblItems[ItemCode],SMALL(IF((tblItems[Zone]=W$4)*(tblItems[ItemCode]&lt;&gt;""),ROW(tblItems[ItemCode])-MIN(ROW(tblItems[ItemCode]))+1),ROWS(W$6:W108))),"")</f>
        <v/>
      </c>
      <c r="X108" s="70">
        <f t="array" ref="X108">IFERROR(INDEX(tblItems[ItemCode],SMALL(IF((tblItems[Zone]=X$4)*(tblItems[ItemCode]&lt;&gt;""),ROW(tblItems[ItemCode])-MIN(ROW(tblItems[ItemCode]))+1),ROWS(X$6:X108))),"")</f>
        <v/>
      </c>
      <c r="Y108" s="70">
        <f t="array" ref="Y108">IFERROR(INDEX(tblItems[ItemCode],SMALL(IF((tblItems[Zone]=Y$4)*(tblItems[ItemCode]&lt;&gt;""),ROW(tblItems[ItemCode])-MIN(ROW(tblItems[ItemCode]))+1),ROWS(Y$6:Y108))),"")</f>
        <v/>
      </c>
      <c r="Z108" s="70">
        <f t="array" ref="Z108">IFERROR(INDEX(tblItems[ItemCode],SMALL(IF((tblItems[Zone]=Z$4)*(tblItems[ItemCode]&lt;&gt;""),ROW(tblItems[ItemCode])-MIN(ROW(tblItems[ItemCode]))+1),ROWS(Z$6:Z108))),"")</f>
        <v/>
      </c>
      <c r="AA108" s="70">
        <f t="array" ref="AA108">IFERROR(INDEX(tblItems[ItemCode],SMALL(IF((tblItems[Zone]=AA$4)*(tblItems[ItemCode]&lt;&gt;""),ROW(tblItems[ItemCode])-MIN(ROW(tblItems[ItemCode]))+1),ROWS(AA$6:AA108))),"")</f>
        <v/>
      </c>
      <c r="AB108" s="70">
        <f t="array" ref="AB108">IFERROR(INDEX(tblItems[ItemCode],SMALL(IF((tblItems[Zone]=AB$4)*(tblItems[ItemCode]&lt;&gt;""),ROW(tblItems[ItemCode])-MIN(ROW(tblItems[ItemCode]))+1),ROWS(AB$6:AB108))),"")</f>
        <v/>
      </c>
      <c r="AC108" s="70">
        <f t="array" ref="AC108">IFERROR(INDEX(tblItems[ItemCode],SMALL(IF((tblItems[Zone]=AC$4)*(tblItems[ItemCode]&lt;&gt;""),ROW(tblItems[ItemCode])-MIN(ROW(tblItems[ItemCode]))+1),ROWS(AC$6:AC108))),"")</f>
        <v/>
      </c>
      <c r="AD108" s="70">
        <f t="array" ref="AD108">IFERROR(INDEX(tblItems[ItemCode],SMALL(IF((tblItems[Zone]=AD$4)*(tblItems[ItemCode]&lt;&gt;""),ROW(tblItems[ItemCode])-MIN(ROW(tblItems[ItemCode]))+1),ROWS(AD$6:AD108))),"")</f>
        <v/>
      </c>
      <c r="AE108" s="70">
        <f t="array" ref="AE108">IFERROR(INDEX(tblItems[ItemCode],SMALL(IF((tblItems[Zone]=AE$4)*(tblItems[ItemCode]&lt;&gt;""),ROW(tblItems[ItemCode])-MIN(ROW(tblItems[ItemCode]))+1),ROWS(AE$6:AE108))),"")</f>
        <v/>
      </c>
    </row>
    <row r="109">
      <c r="T109" s="70">
        <f t="array" ref="T109">IFERROR(INDEX(tblItems[ItemCode],SMALL(IF(tblItems[ItemCode]&lt;&gt;"",ROW(tblItems[ItemCode])-MIN(ROW(tblItems[ItemCode]))+1),ROWS(T$6:T109))),"")</f>
        <v/>
      </c>
      <c r="U109" s="70">
        <f t="array" ref="U109">IFERROR(INDEX(tblItems[ItemCode],SMALL(IF((tblItems[Zone]=U$4)*(tblItems[ItemCode]&lt;&gt;""),ROW(tblItems[ItemCode])-MIN(ROW(tblItems[ItemCode]))+1),ROWS(U$6:U109))),"")</f>
        <v/>
      </c>
      <c r="V109" s="70">
        <f t="array" ref="V109">IFERROR(INDEX(tblItems[ItemCode],SMALL(IF((tblItems[Zone]=V$4)*(tblItems[ItemCode]&lt;&gt;""),ROW(tblItems[ItemCode])-MIN(ROW(tblItems[ItemCode]))+1),ROWS(V$6:V109))),"")</f>
        <v/>
      </c>
      <c r="W109" s="70">
        <f t="array" ref="W109">IFERROR(INDEX(tblItems[ItemCode],SMALL(IF((tblItems[Zone]=W$4)*(tblItems[ItemCode]&lt;&gt;""),ROW(tblItems[ItemCode])-MIN(ROW(tblItems[ItemCode]))+1),ROWS(W$6:W109))),"")</f>
        <v/>
      </c>
      <c r="X109" s="70">
        <f t="array" ref="X109">IFERROR(INDEX(tblItems[ItemCode],SMALL(IF((tblItems[Zone]=X$4)*(tblItems[ItemCode]&lt;&gt;""),ROW(tblItems[ItemCode])-MIN(ROW(tblItems[ItemCode]))+1),ROWS(X$6:X109))),"")</f>
        <v/>
      </c>
      <c r="Y109" s="70">
        <f t="array" ref="Y109">IFERROR(INDEX(tblItems[ItemCode],SMALL(IF((tblItems[Zone]=Y$4)*(tblItems[ItemCode]&lt;&gt;""),ROW(tblItems[ItemCode])-MIN(ROW(tblItems[ItemCode]))+1),ROWS(Y$6:Y109))),"")</f>
        <v/>
      </c>
      <c r="Z109" s="70">
        <f t="array" ref="Z109">IFERROR(INDEX(tblItems[ItemCode],SMALL(IF((tblItems[Zone]=Z$4)*(tblItems[ItemCode]&lt;&gt;""),ROW(tblItems[ItemCode])-MIN(ROW(tblItems[ItemCode]))+1),ROWS(Z$6:Z109))),"")</f>
        <v/>
      </c>
      <c r="AA109" s="70">
        <f t="array" ref="AA109">IFERROR(INDEX(tblItems[ItemCode],SMALL(IF((tblItems[Zone]=AA$4)*(tblItems[ItemCode]&lt;&gt;""),ROW(tblItems[ItemCode])-MIN(ROW(tblItems[ItemCode]))+1),ROWS(AA$6:AA109))),"")</f>
        <v/>
      </c>
      <c r="AB109" s="70">
        <f t="array" ref="AB109">IFERROR(INDEX(tblItems[ItemCode],SMALL(IF((tblItems[Zone]=AB$4)*(tblItems[ItemCode]&lt;&gt;""),ROW(tblItems[ItemCode])-MIN(ROW(tblItems[ItemCode]))+1),ROWS(AB$6:AB109))),"")</f>
        <v/>
      </c>
      <c r="AC109" s="70">
        <f t="array" ref="AC109">IFERROR(INDEX(tblItems[ItemCode],SMALL(IF((tblItems[Zone]=AC$4)*(tblItems[ItemCode]&lt;&gt;""),ROW(tblItems[ItemCode])-MIN(ROW(tblItems[ItemCode]))+1),ROWS(AC$6:AC109))),"")</f>
        <v/>
      </c>
      <c r="AD109" s="70">
        <f t="array" ref="AD109">IFERROR(INDEX(tblItems[ItemCode],SMALL(IF((tblItems[Zone]=AD$4)*(tblItems[ItemCode]&lt;&gt;""),ROW(tblItems[ItemCode])-MIN(ROW(tblItems[ItemCode]))+1),ROWS(AD$6:AD109))),"")</f>
        <v/>
      </c>
      <c r="AE109" s="70">
        <f t="array" ref="AE109">IFERROR(INDEX(tblItems[ItemCode],SMALL(IF((tblItems[Zone]=AE$4)*(tblItems[ItemCode]&lt;&gt;""),ROW(tblItems[ItemCode])-MIN(ROW(tblItems[ItemCode]))+1),ROWS(AE$6:AE109))),"")</f>
        <v/>
      </c>
    </row>
    <row r="110">
      <c r="T110" s="70">
        <f t="array" ref="T110">IFERROR(INDEX(tblItems[ItemCode],SMALL(IF(tblItems[ItemCode]&lt;&gt;"",ROW(tblItems[ItemCode])-MIN(ROW(tblItems[ItemCode]))+1),ROWS(T$6:T110))),"")</f>
        <v/>
      </c>
      <c r="U110" s="70">
        <f t="array" ref="U110">IFERROR(INDEX(tblItems[ItemCode],SMALL(IF((tblItems[Zone]=U$4)*(tblItems[ItemCode]&lt;&gt;""),ROW(tblItems[ItemCode])-MIN(ROW(tblItems[ItemCode]))+1),ROWS(U$6:U110))),"")</f>
        <v/>
      </c>
      <c r="V110" s="70">
        <f t="array" ref="V110">IFERROR(INDEX(tblItems[ItemCode],SMALL(IF((tblItems[Zone]=V$4)*(tblItems[ItemCode]&lt;&gt;""),ROW(tblItems[ItemCode])-MIN(ROW(tblItems[ItemCode]))+1),ROWS(V$6:V110))),"")</f>
        <v/>
      </c>
      <c r="W110" s="70">
        <f t="array" ref="W110">IFERROR(INDEX(tblItems[ItemCode],SMALL(IF((tblItems[Zone]=W$4)*(tblItems[ItemCode]&lt;&gt;""),ROW(tblItems[ItemCode])-MIN(ROW(tblItems[ItemCode]))+1),ROWS(W$6:W110))),"")</f>
        <v/>
      </c>
      <c r="X110" s="70">
        <f t="array" ref="X110">IFERROR(INDEX(tblItems[ItemCode],SMALL(IF((tblItems[Zone]=X$4)*(tblItems[ItemCode]&lt;&gt;""),ROW(tblItems[ItemCode])-MIN(ROW(tblItems[ItemCode]))+1),ROWS(X$6:X110))),"")</f>
        <v/>
      </c>
      <c r="Y110" s="70">
        <f t="array" ref="Y110">IFERROR(INDEX(tblItems[ItemCode],SMALL(IF((tblItems[Zone]=Y$4)*(tblItems[ItemCode]&lt;&gt;""),ROW(tblItems[ItemCode])-MIN(ROW(tblItems[ItemCode]))+1),ROWS(Y$6:Y110))),"")</f>
        <v/>
      </c>
      <c r="Z110" s="70">
        <f t="array" ref="Z110">IFERROR(INDEX(tblItems[ItemCode],SMALL(IF((tblItems[Zone]=Z$4)*(tblItems[ItemCode]&lt;&gt;""),ROW(tblItems[ItemCode])-MIN(ROW(tblItems[ItemCode]))+1),ROWS(Z$6:Z110))),"")</f>
        <v/>
      </c>
      <c r="AA110" s="70">
        <f t="array" ref="AA110">IFERROR(INDEX(tblItems[ItemCode],SMALL(IF((tblItems[Zone]=AA$4)*(tblItems[ItemCode]&lt;&gt;""),ROW(tblItems[ItemCode])-MIN(ROW(tblItems[ItemCode]))+1),ROWS(AA$6:AA110))),"")</f>
        <v/>
      </c>
      <c r="AB110" s="70">
        <f t="array" ref="AB110">IFERROR(INDEX(tblItems[ItemCode],SMALL(IF((tblItems[Zone]=AB$4)*(tblItems[ItemCode]&lt;&gt;""),ROW(tblItems[ItemCode])-MIN(ROW(tblItems[ItemCode]))+1),ROWS(AB$6:AB110))),"")</f>
        <v/>
      </c>
      <c r="AC110" s="70">
        <f t="array" ref="AC110">IFERROR(INDEX(tblItems[ItemCode],SMALL(IF((tblItems[Zone]=AC$4)*(tblItems[ItemCode]&lt;&gt;""),ROW(tblItems[ItemCode])-MIN(ROW(tblItems[ItemCode]))+1),ROWS(AC$6:AC110))),"")</f>
        <v/>
      </c>
      <c r="AD110" s="70">
        <f t="array" ref="AD110">IFERROR(INDEX(tblItems[ItemCode],SMALL(IF((tblItems[Zone]=AD$4)*(tblItems[ItemCode]&lt;&gt;""),ROW(tblItems[ItemCode])-MIN(ROW(tblItems[ItemCode]))+1),ROWS(AD$6:AD110))),"")</f>
        <v/>
      </c>
      <c r="AE110" s="70">
        <f t="array" ref="AE110">IFERROR(INDEX(tblItems[ItemCode],SMALL(IF((tblItems[Zone]=AE$4)*(tblItems[ItemCode]&lt;&gt;""),ROW(tblItems[ItemCode])-MIN(ROW(tblItems[ItemCode]))+1),ROWS(AE$6:AE110))),"")</f>
        <v/>
      </c>
    </row>
    <row r="111">
      <c r="T111" s="70">
        <f t="array" ref="T111">IFERROR(INDEX(tblItems[ItemCode],SMALL(IF(tblItems[ItemCode]&lt;&gt;"",ROW(tblItems[ItemCode])-MIN(ROW(tblItems[ItemCode]))+1),ROWS(T$6:T111))),"")</f>
        <v/>
      </c>
      <c r="U111" s="70">
        <f t="array" ref="U111">IFERROR(INDEX(tblItems[ItemCode],SMALL(IF((tblItems[Zone]=U$4)*(tblItems[ItemCode]&lt;&gt;""),ROW(tblItems[ItemCode])-MIN(ROW(tblItems[ItemCode]))+1),ROWS(U$6:U111))),"")</f>
        <v/>
      </c>
      <c r="V111" s="70">
        <f t="array" ref="V111">IFERROR(INDEX(tblItems[ItemCode],SMALL(IF((tblItems[Zone]=V$4)*(tblItems[ItemCode]&lt;&gt;""),ROW(tblItems[ItemCode])-MIN(ROW(tblItems[ItemCode]))+1),ROWS(V$6:V111))),"")</f>
        <v/>
      </c>
      <c r="W111" s="70">
        <f t="array" ref="W111">IFERROR(INDEX(tblItems[ItemCode],SMALL(IF((tblItems[Zone]=W$4)*(tblItems[ItemCode]&lt;&gt;""),ROW(tblItems[ItemCode])-MIN(ROW(tblItems[ItemCode]))+1),ROWS(W$6:W111))),"")</f>
        <v/>
      </c>
      <c r="X111" s="70">
        <f t="array" ref="X111">IFERROR(INDEX(tblItems[ItemCode],SMALL(IF((tblItems[Zone]=X$4)*(tblItems[ItemCode]&lt;&gt;""),ROW(tblItems[ItemCode])-MIN(ROW(tblItems[ItemCode]))+1),ROWS(X$6:X111))),"")</f>
        <v/>
      </c>
      <c r="Y111" s="70">
        <f t="array" ref="Y111">IFERROR(INDEX(tblItems[ItemCode],SMALL(IF((tblItems[Zone]=Y$4)*(tblItems[ItemCode]&lt;&gt;""),ROW(tblItems[ItemCode])-MIN(ROW(tblItems[ItemCode]))+1),ROWS(Y$6:Y111))),"")</f>
        <v/>
      </c>
      <c r="Z111" s="70">
        <f t="array" ref="Z111">IFERROR(INDEX(tblItems[ItemCode],SMALL(IF((tblItems[Zone]=Z$4)*(tblItems[ItemCode]&lt;&gt;""),ROW(tblItems[ItemCode])-MIN(ROW(tblItems[ItemCode]))+1),ROWS(Z$6:Z111))),"")</f>
        <v/>
      </c>
      <c r="AA111" s="70">
        <f t="array" ref="AA111">IFERROR(INDEX(tblItems[ItemCode],SMALL(IF((tblItems[Zone]=AA$4)*(tblItems[ItemCode]&lt;&gt;""),ROW(tblItems[ItemCode])-MIN(ROW(tblItems[ItemCode]))+1),ROWS(AA$6:AA111))),"")</f>
        <v/>
      </c>
      <c r="AB111" s="70">
        <f t="array" ref="AB111">IFERROR(INDEX(tblItems[ItemCode],SMALL(IF((tblItems[Zone]=AB$4)*(tblItems[ItemCode]&lt;&gt;""),ROW(tblItems[ItemCode])-MIN(ROW(tblItems[ItemCode]))+1),ROWS(AB$6:AB111))),"")</f>
        <v/>
      </c>
      <c r="AC111" s="70">
        <f t="array" ref="AC111">IFERROR(INDEX(tblItems[ItemCode],SMALL(IF((tblItems[Zone]=AC$4)*(tblItems[ItemCode]&lt;&gt;""),ROW(tblItems[ItemCode])-MIN(ROW(tblItems[ItemCode]))+1),ROWS(AC$6:AC111))),"")</f>
        <v/>
      </c>
      <c r="AD111" s="70">
        <f t="array" ref="AD111">IFERROR(INDEX(tblItems[ItemCode],SMALL(IF((tblItems[Zone]=AD$4)*(tblItems[ItemCode]&lt;&gt;""),ROW(tblItems[ItemCode])-MIN(ROW(tblItems[ItemCode]))+1),ROWS(AD$6:AD111))),"")</f>
        <v/>
      </c>
      <c r="AE111" s="70">
        <f t="array" ref="AE111">IFERROR(INDEX(tblItems[ItemCode],SMALL(IF((tblItems[Zone]=AE$4)*(tblItems[ItemCode]&lt;&gt;""),ROW(tblItems[ItemCode])-MIN(ROW(tblItems[ItemCode]))+1),ROWS(AE$6:AE111))),"")</f>
        <v/>
      </c>
    </row>
    <row r="112">
      <c r="T112" s="70">
        <f t="array" ref="T112">IFERROR(INDEX(tblItems[ItemCode],SMALL(IF(tblItems[ItemCode]&lt;&gt;"",ROW(tblItems[ItemCode])-MIN(ROW(tblItems[ItemCode]))+1),ROWS(T$6:T112))),"")</f>
        <v/>
      </c>
      <c r="U112" s="70">
        <f t="array" ref="U112">IFERROR(INDEX(tblItems[ItemCode],SMALL(IF((tblItems[Zone]=U$4)*(tblItems[ItemCode]&lt;&gt;""),ROW(tblItems[ItemCode])-MIN(ROW(tblItems[ItemCode]))+1),ROWS(U$6:U112))),"")</f>
        <v/>
      </c>
      <c r="V112" s="70">
        <f t="array" ref="V112">IFERROR(INDEX(tblItems[ItemCode],SMALL(IF((tblItems[Zone]=V$4)*(tblItems[ItemCode]&lt;&gt;""),ROW(tblItems[ItemCode])-MIN(ROW(tblItems[ItemCode]))+1),ROWS(V$6:V112))),"")</f>
        <v/>
      </c>
      <c r="W112" s="70">
        <f t="array" ref="W112">IFERROR(INDEX(tblItems[ItemCode],SMALL(IF((tblItems[Zone]=W$4)*(tblItems[ItemCode]&lt;&gt;""),ROW(tblItems[ItemCode])-MIN(ROW(tblItems[ItemCode]))+1),ROWS(W$6:W112))),"")</f>
        <v/>
      </c>
      <c r="X112" s="70">
        <f t="array" ref="X112">IFERROR(INDEX(tblItems[ItemCode],SMALL(IF((tblItems[Zone]=X$4)*(tblItems[ItemCode]&lt;&gt;""),ROW(tblItems[ItemCode])-MIN(ROW(tblItems[ItemCode]))+1),ROWS(X$6:X112))),"")</f>
        <v/>
      </c>
      <c r="Y112" s="70">
        <f t="array" ref="Y112">IFERROR(INDEX(tblItems[ItemCode],SMALL(IF((tblItems[Zone]=Y$4)*(tblItems[ItemCode]&lt;&gt;""),ROW(tblItems[ItemCode])-MIN(ROW(tblItems[ItemCode]))+1),ROWS(Y$6:Y112))),"")</f>
        <v/>
      </c>
      <c r="Z112" s="70">
        <f t="array" ref="Z112">IFERROR(INDEX(tblItems[ItemCode],SMALL(IF((tblItems[Zone]=Z$4)*(tblItems[ItemCode]&lt;&gt;""),ROW(tblItems[ItemCode])-MIN(ROW(tblItems[ItemCode]))+1),ROWS(Z$6:Z112))),"")</f>
        <v/>
      </c>
      <c r="AA112" s="70">
        <f t="array" ref="AA112">IFERROR(INDEX(tblItems[ItemCode],SMALL(IF((tblItems[Zone]=AA$4)*(tblItems[ItemCode]&lt;&gt;""),ROW(tblItems[ItemCode])-MIN(ROW(tblItems[ItemCode]))+1),ROWS(AA$6:AA112))),"")</f>
        <v/>
      </c>
      <c r="AB112" s="70">
        <f t="array" ref="AB112">IFERROR(INDEX(tblItems[ItemCode],SMALL(IF((tblItems[Zone]=AB$4)*(tblItems[ItemCode]&lt;&gt;""),ROW(tblItems[ItemCode])-MIN(ROW(tblItems[ItemCode]))+1),ROWS(AB$6:AB112))),"")</f>
        <v/>
      </c>
      <c r="AC112" s="70">
        <f t="array" ref="AC112">IFERROR(INDEX(tblItems[ItemCode],SMALL(IF((tblItems[Zone]=AC$4)*(tblItems[ItemCode]&lt;&gt;""),ROW(tblItems[ItemCode])-MIN(ROW(tblItems[ItemCode]))+1),ROWS(AC$6:AC112))),"")</f>
        <v/>
      </c>
      <c r="AD112" s="70">
        <f t="array" ref="AD112">IFERROR(INDEX(tblItems[ItemCode],SMALL(IF((tblItems[Zone]=AD$4)*(tblItems[ItemCode]&lt;&gt;""),ROW(tblItems[ItemCode])-MIN(ROW(tblItems[ItemCode]))+1),ROWS(AD$6:AD112))),"")</f>
        <v/>
      </c>
      <c r="AE112" s="70">
        <f t="array" ref="AE112">IFERROR(INDEX(tblItems[ItemCode],SMALL(IF((tblItems[Zone]=AE$4)*(tblItems[ItemCode]&lt;&gt;""),ROW(tblItems[ItemCode])-MIN(ROW(tblItems[ItemCode]))+1),ROWS(AE$6:AE112))),"")</f>
        <v/>
      </c>
    </row>
    <row r="113">
      <c r="T113" s="70">
        <f t="array" ref="T113">IFERROR(INDEX(tblItems[ItemCode],SMALL(IF(tblItems[ItemCode]&lt;&gt;"",ROW(tblItems[ItemCode])-MIN(ROW(tblItems[ItemCode]))+1),ROWS(T$6:T113))),"")</f>
        <v/>
      </c>
      <c r="U113" s="70">
        <f t="array" ref="U113">IFERROR(INDEX(tblItems[ItemCode],SMALL(IF((tblItems[Zone]=U$4)*(tblItems[ItemCode]&lt;&gt;""),ROW(tblItems[ItemCode])-MIN(ROW(tblItems[ItemCode]))+1),ROWS(U$6:U113))),"")</f>
        <v/>
      </c>
      <c r="V113" s="70">
        <f t="array" ref="V113">IFERROR(INDEX(tblItems[ItemCode],SMALL(IF((tblItems[Zone]=V$4)*(tblItems[ItemCode]&lt;&gt;""),ROW(tblItems[ItemCode])-MIN(ROW(tblItems[ItemCode]))+1),ROWS(V$6:V113))),"")</f>
        <v/>
      </c>
      <c r="W113" s="70">
        <f t="array" ref="W113">IFERROR(INDEX(tblItems[ItemCode],SMALL(IF((tblItems[Zone]=W$4)*(tblItems[ItemCode]&lt;&gt;""),ROW(tblItems[ItemCode])-MIN(ROW(tblItems[ItemCode]))+1),ROWS(W$6:W113))),"")</f>
        <v/>
      </c>
      <c r="X113" s="70">
        <f t="array" ref="X113">IFERROR(INDEX(tblItems[ItemCode],SMALL(IF((tblItems[Zone]=X$4)*(tblItems[ItemCode]&lt;&gt;""),ROW(tblItems[ItemCode])-MIN(ROW(tblItems[ItemCode]))+1),ROWS(X$6:X113))),"")</f>
        <v/>
      </c>
      <c r="Y113" s="70">
        <f t="array" ref="Y113">IFERROR(INDEX(tblItems[ItemCode],SMALL(IF((tblItems[Zone]=Y$4)*(tblItems[ItemCode]&lt;&gt;""),ROW(tblItems[ItemCode])-MIN(ROW(tblItems[ItemCode]))+1),ROWS(Y$6:Y113))),"")</f>
        <v/>
      </c>
      <c r="Z113" s="70">
        <f t="array" ref="Z113">IFERROR(INDEX(tblItems[ItemCode],SMALL(IF((tblItems[Zone]=Z$4)*(tblItems[ItemCode]&lt;&gt;""),ROW(tblItems[ItemCode])-MIN(ROW(tblItems[ItemCode]))+1),ROWS(Z$6:Z113))),"")</f>
        <v/>
      </c>
      <c r="AA113" s="70">
        <f t="array" ref="AA113">IFERROR(INDEX(tblItems[ItemCode],SMALL(IF((tblItems[Zone]=AA$4)*(tblItems[ItemCode]&lt;&gt;""),ROW(tblItems[ItemCode])-MIN(ROW(tblItems[ItemCode]))+1),ROWS(AA$6:AA113))),"")</f>
        <v/>
      </c>
      <c r="AB113" s="70">
        <f t="array" ref="AB113">IFERROR(INDEX(tblItems[ItemCode],SMALL(IF((tblItems[Zone]=AB$4)*(tblItems[ItemCode]&lt;&gt;""),ROW(tblItems[ItemCode])-MIN(ROW(tblItems[ItemCode]))+1),ROWS(AB$6:AB113))),"")</f>
        <v/>
      </c>
      <c r="AC113" s="70">
        <f t="array" ref="AC113">IFERROR(INDEX(tblItems[ItemCode],SMALL(IF((tblItems[Zone]=AC$4)*(tblItems[ItemCode]&lt;&gt;""),ROW(tblItems[ItemCode])-MIN(ROW(tblItems[ItemCode]))+1),ROWS(AC$6:AC113))),"")</f>
        <v/>
      </c>
      <c r="AD113" s="70">
        <f t="array" ref="AD113">IFERROR(INDEX(tblItems[ItemCode],SMALL(IF((tblItems[Zone]=AD$4)*(tblItems[ItemCode]&lt;&gt;""),ROW(tblItems[ItemCode])-MIN(ROW(tblItems[ItemCode]))+1),ROWS(AD$6:AD113))),"")</f>
        <v/>
      </c>
      <c r="AE113" s="70">
        <f t="array" ref="AE113">IFERROR(INDEX(tblItems[ItemCode],SMALL(IF((tblItems[Zone]=AE$4)*(tblItems[ItemCode]&lt;&gt;""),ROW(tblItems[ItemCode])-MIN(ROW(tblItems[ItemCode]))+1),ROWS(AE$6:AE113))),"")</f>
        <v/>
      </c>
    </row>
    <row r="114">
      <c r="T114" s="70">
        <f t="array" ref="T114">IFERROR(INDEX(tblItems[ItemCode],SMALL(IF(tblItems[ItemCode]&lt;&gt;"",ROW(tblItems[ItemCode])-MIN(ROW(tblItems[ItemCode]))+1),ROWS(T$6:T114))),"")</f>
        <v/>
      </c>
      <c r="U114" s="70">
        <f t="array" ref="U114">IFERROR(INDEX(tblItems[ItemCode],SMALL(IF((tblItems[Zone]=U$4)*(tblItems[ItemCode]&lt;&gt;""),ROW(tblItems[ItemCode])-MIN(ROW(tblItems[ItemCode]))+1),ROWS(U$6:U114))),"")</f>
        <v/>
      </c>
      <c r="V114" s="70">
        <f t="array" ref="V114">IFERROR(INDEX(tblItems[ItemCode],SMALL(IF((tblItems[Zone]=V$4)*(tblItems[ItemCode]&lt;&gt;""),ROW(tblItems[ItemCode])-MIN(ROW(tblItems[ItemCode]))+1),ROWS(V$6:V114))),"")</f>
        <v/>
      </c>
      <c r="W114" s="70">
        <f t="array" ref="W114">IFERROR(INDEX(tblItems[ItemCode],SMALL(IF((tblItems[Zone]=W$4)*(tblItems[ItemCode]&lt;&gt;""),ROW(tblItems[ItemCode])-MIN(ROW(tblItems[ItemCode]))+1),ROWS(W$6:W114))),"")</f>
        <v/>
      </c>
      <c r="X114" s="70">
        <f t="array" ref="X114">IFERROR(INDEX(tblItems[ItemCode],SMALL(IF((tblItems[Zone]=X$4)*(tblItems[ItemCode]&lt;&gt;""),ROW(tblItems[ItemCode])-MIN(ROW(tblItems[ItemCode]))+1),ROWS(X$6:X114))),"")</f>
        <v/>
      </c>
      <c r="Y114" s="70">
        <f t="array" ref="Y114">IFERROR(INDEX(tblItems[ItemCode],SMALL(IF((tblItems[Zone]=Y$4)*(tblItems[ItemCode]&lt;&gt;""),ROW(tblItems[ItemCode])-MIN(ROW(tblItems[ItemCode]))+1),ROWS(Y$6:Y114))),"")</f>
        <v/>
      </c>
      <c r="Z114" s="70">
        <f t="array" ref="Z114">IFERROR(INDEX(tblItems[ItemCode],SMALL(IF((tblItems[Zone]=Z$4)*(tblItems[ItemCode]&lt;&gt;""),ROW(tblItems[ItemCode])-MIN(ROW(tblItems[ItemCode]))+1),ROWS(Z$6:Z114))),"")</f>
        <v/>
      </c>
      <c r="AA114" s="70">
        <f t="array" ref="AA114">IFERROR(INDEX(tblItems[ItemCode],SMALL(IF((tblItems[Zone]=AA$4)*(tblItems[ItemCode]&lt;&gt;""),ROW(tblItems[ItemCode])-MIN(ROW(tblItems[ItemCode]))+1),ROWS(AA$6:AA114))),"")</f>
        <v/>
      </c>
      <c r="AB114" s="70">
        <f t="array" ref="AB114">IFERROR(INDEX(tblItems[ItemCode],SMALL(IF((tblItems[Zone]=AB$4)*(tblItems[ItemCode]&lt;&gt;""),ROW(tblItems[ItemCode])-MIN(ROW(tblItems[ItemCode]))+1),ROWS(AB$6:AB114))),"")</f>
        <v/>
      </c>
      <c r="AC114" s="70">
        <f t="array" ref="AC114">IFERROR(INDEX(tblItems[ItemCode],SMALL(IF((tblItems[Zone]=AC$4)*(tblItems[ItemCode]&lt;&gt;""),ROW(tblItems[ItemCode])-MIN(ROW(tblItems[ItemCode]))+1),ROWS(AC$6:AC114))),"")</f>
        <v/>
      </c>
      <c r="AD114" s="70">
        <f t="array" ref="AD114">IFERROR(INDEX(tblItems[ItemCode],SMALL(IF((tblItems[Zone]=AD$4)*(tblItems[ItemCode]&lt;&gt;""),ROW(tblItems[ItemCode])-MIN(ROW(tblItems[ItemCode]))+1),ROWS(AD$6:AD114))),"")</f>
        <v/>
      </c>
      <c r="AE114" s="70">
        <f t="array" ref="AE114">IFERROR(INDEX(tblItems[ItemCode],SMALL(IF((tblItems[Zone]=AE$4)*(tblItems[ItemCode]&lt;&gt;""),ROW(tblItems[ItemCode])-MIN(ROW(tblItems[ItemCode]))+1),ROWS(AE$6:AE114))),"")</f>
        <v/>
      </c>
    </row>
    <row r="115">
      <c r="T115" s="70">
        <f t="array" ref="T115">IFERROR(INDEX(tblItems[ItemCode],SMALL(IF(tblItems[ItemCode]&lt;&gt;"",ROW(tblItems[ItemCode])-MIN(ROW(tblItems[ItemCode]))+1),ROWS(T$6:T115))),"")</f>
        <v/>
      </c>
      <c r="U115" s="70">
        <f t="array" ref="U115">IFERROR(INDEX(tblItems[ItemCode],SMALL(IF((tblItems[Zone]=U$4)*(tblItems[ItemCode]&lt;&gt;""),ROW(tblItems[ItemCode])-MIN(ROW(tblItems[ItemCode]))+1),ROWS(U$6:U115))),"")</f>
        <v/>
      </c>
      <c r="V115" s="70">
        <f t="array" ref="V115">IFERROR(INDEX(tblItems[ItemCode],SMALL(IF((tblItems[Zone]=V$4)*(tblItems[ItemCode]&lt;&gt;""),ROW(tblItems[ItemCode])-MIN(ROW(tblItems[ItemCode]))+1),ROWS(V$6:V115))),"")</f>
        <v/>
      </c>
      <c r="W115" s="70">
        <f t="array" ref="W115">IFERROR(INDEX(tblItems[ItemCode],SMALL(IF((tblItems[Zone]=W$4)*(tblItems[ItemCode]&lt;&gt;""),ROW(tblItems[ItemCode])-MIN(ROW(tblItems[ItemCode]))+1),ROWS(W$6:W115))),"")</f>
        <v/>
      </c>
      <c r="X115" s="70">
        <f t="array" ref="X115">IFERROR(INDEX(tblItems[ItemCode],SMALL(IF((tblItems[Zone]=X$4)*(tblItems[ItemCode]&lt;&gt;""),ROW(tblItems[ItemCode])-MIN(ROW(tblItems[ItemCode]))+1),ROWS(X$6:X115))),"")</f>
        <v/>
      </c>
      <c r="Y115" s="70">
        <f t="array" ref="Y115">IFERROR(INDEX(tblItems[ItemCode],SMALL(IF((tblItems[Zone]=Y$4)*(tblItems[ItemCode]&lt;&gt;""),ROW(tblItems[ItemCode])-MIN(ROW(tblItems[ItemCode]))+1),ROWS(Y$6:Y115))),"")</f>
        <v/>
      </c>
      <c r="Z115" s="70">
        <f t="array" ref="Z115">IFERROR(INDEX(tblItems[ItemCode],SMALL(IF((tblItems[Zone]=Z$4)*(tblItems[ItemCode]&lt;&gt;""),ROW(tblItems[ItemCode])-MIN(ROW(tblItems[ItemCode]))+1),ROWS(Z$6:Z115))),"")</f>
        <v/>
      </c>
      <c r="AA115" s="70">
        <f t="array" ref="AA115">IFERROR(INDEX(tblItems[ItemCode],SMALL(IF((tblItems[Zone]=AA$4)*(tblItems[ItemCode]&lt;&gt;""),ROW(tblItems[ItemCode])-MIN(ROW(tblItems[ItemCode]))+1),ROWS(AA$6:AA115))),"")</f>
        <v/>
      </c>
      <c r="AB115" s="70">
        <f t="array" ref="AB115">IFERROR(INDEX(tblItems[ItemCode],SMALL(IF((tblItems[Zone]=AB$4)*(tblItems[ItemCode]&lt;&gt;""),ROW(tblItems[ItemCode])-MIN(ROW(tblItems[ItemCode]))+1),ROWS(AB$6:AB115))),"")</f>
        <v/>
      </c>
      <c r="AC115" s="70">
        <f t="array" ref="AC115">IFERROR(INDEX(tblItems[ItemCode],SMALL(IF((tblItems[Zone]=AC$4)*(tblItems[ItemCode]&lt;&gt;""),ROW(tblItems[ItemCode])-MIN(ROW(tblItems[ItemCode]))+1),ROWS(AC$6:AC115))),"")</f>
        <v/>
      </c>
      <c r="AD115" s="70">
        <f t="array" ref="AD115">IFERROR(INDEX(tblItems[ItemCode],SMALL(IF((tblItems[Zone]=AD$4)*(tblItems[ItemCode]&lt;&gt;""),ROW(tblItems[ItemCode])-MIN(ROW(tblItems[ItemCode]))+1),ROWS(AD$6:AD115))),"")</f>
        <v/>
      </c>
      <c r="AE115" s="70">
        <f t="array" ref="AE115">IFERROR(INDEX(tblItems[ItemCode],SMALL(IF((tblItems[Zone]=AE$4)*(tblItems[ItemCode]&lt;&gt;""),ROW(tblItems[ItemCode])-MIN(ROW(tblItems[ItemCode]))+1),ROWS(AE$6:AE115))),"")</f>
        <v/>
      </c>
    </row>
    <row r="116">
      <c r="T116" s="70">
        <f t="array" ref="T116">IFERROR(INDEX(tblItems[ItemCode],SMALL(IF(tblItems[ItemCode]&lt;&gt;"",ROW(tblItems[ItemCode])-MIN(ROW(tblItems[ItemCode]))+1),ROWS(T$6:T116))),"")</f>
        <v/>
      </c>
      <c r="U116" s="70">
        <f t="array" ref="U116">IFERROR(INDEX(tblItems[ItemCode],SMALL(IF((tblItems[Zone]=U$4)*(tblItems[ItemCode]&lt;&gt;""),ROW(tblItems[ItemCode])-MIN(ROW(tblItems[ItemCode]))+1),ROWS(U$6:U116))),"")</f>
        <v/>
      </c>
      <c r="V116" s="70">
        <f t="array" ref="V116">IFERROR(INDEX(tblItems[ItemCode],SMALL(IF((tblItems[Zone]=V$4)*(tblItems[ItemCode]&lt;&gt;""),ROW(tblItems[ItemCode])-MIN(ROW(tblItems[ItemCode]))+1),ROWS(V$6:V116))),"")</f>
        <v/>
      </c>
      <c r="W116" s="70">
        <f t="array" ref="W116">IFERROR(INDEX(tblItems[ItemCode],SMALL(IF((tblItems[Zone]=W$4)*(tblItems[ItemCode]&lt;&gt;""),ROW(tblItems[ItemCode])-MIN(ROW(tblItems[ItemCode]))+1),ROWS(W$6:W116))),"")</f>
        <v/>
      </c>
      <c r="X116" s="70">
        <f t="array" ref="X116">IFERROR(INDEX(tblItems[ItemCode],SMALL(IF((tblItems[Zone]=X$4)*(tblItems[ItemCode]&lt;&gt;""),ROW(tblItems[ItemCode])-MIN(ROW(tblItems[ItemCode]))+1),ROWS(X$6:X116))),"")</f>
        <v/>
      </c>
      <c r="Y116" s="70">
        <f t="array" ref="Y116">IFERROR(INDEX(tblItems[ItemCode],SMALL(IF((tblItems[Zone]=Y$4)*(tblItems[ItemCode]&lt;&gt;""),ROW(tblItems[ItemCode])-MIN(ROW(tblItems[ItemCode]))+1),ROWS(Y$6:Y116))),"")</f>
        <v/>
      </c>
      <c r="Z116" s="70">
        <f t="array" ref="Z116">IFERROR(INDEX(tblItems[ItemCode],SMALL(IF((tblItems[Zone]=Z$4)*(tblItems[ItemCode]&lt;&gt;""),ROW(tblItems[ItemCode])-MIN(ROW(tblItems[ItemCode]))+1),ROWS(Z$6:Z116))),"")</f>
        <v/>
      </c>
      <c r="AA116" s="70">
        <f t="array" ref="AA116">IFERROR(INDEX(tblItems[ItemCode],SMALL(IF((tblItems[Zone]=AA$4)*(tblItems[ItemCode]&lt;&gt;""),ROW(tblItems[ItemCode])-MIN(ROW(tblItems[ItemCode]))+1),ROWS(AA$6:AA116))),"")</f>
        <v/>
      </c>
      <c r="AB116" s="70">
        <f t="array" ref="AB116">IFERROR(INDEX(tblItems[ItemCode],SMALL(IF((tblItems[Zone]=AB$4)*(tblItems[ItemCode]&lt;&gt;""),ROW(tblItems[ItemCode])-MIN(ROW(tblItems[ItemCode]))+1),ROWS(AB$6:AB116))),"")</f>
        <v/>
      </c>
      <c r="AC116" s="70">
        <f t="array" ref="AC116">IFERROR(INDEX(tblItems[ItemCode],SMALL(IF((tblItems[Zone]=AC$4)*(tblItems[ItemCode]&lt;&gt;""),ROW(tblItems[ItemCode])-MIN(ROW(tblItems[ItemCode]))+1),ROWS(AC$6:AC116))),"")</f>
        <v/>
      </c>
      <c r="AD116" s="70">
        <f t="array" ref="AD116">IFERROR(INDEX(tblItems[ItemCode],SMALL(IF((tblItems[Zone]=AD$4)*(tblItems[ItemCode]&lt;&gt;""),ROW(tblItems[ItemCode])-MIN(ROW(tblItems[ItemCode]))+1),ROWS(AD$6:AD116))),"")</f>
        <v/>
      </c>
      <c r="AE116" s="70">
        <f t="array" ref="AE116">IFERROR(INDEX(tblItems[ItemCode],SMALL(IF((tblItems[Zone]=AE$4)*(tblItems[ItemCode]&lt;&gt;""),ROW(tblItems[ItemCode])-MIN(ROW(tblItems[ItemCode]))+1),ROWS(AE$6:AE116))),"")</f>
        <v/>
      </c>
    </row>
    <row r="117">
      <c r="T117" s="70">
        <f t="array" ref="T117">IFERROR(INDEX(tblItems[ItemCode],SMALL(IF(tblItems[ItemCode]&lt;&gt;"",ROW(tblItems[ItemCode])-MIN(ROW(tblItems[ItemCode]))+1),ROWS(T$6:T117))),"")</f>
        <v/>
      </c>
      <c r="U117" s="70">
        <f t="array" ref="U117">IFERROR(INDEX(tblItems[ItemCode],SMALL(IF((tblItems[Zone]=U$4)*(tblItems[ItemCode]&lt;&gt;""),ROW(tblItems[ItemCode])-MIN(ROW(tblItems[ItemCode]))+1),ROWS(U$6:U117))),"")</f>
        <v/>
      </c>
      <c r="V117" s="70">
        <f t="array" ref="V117">IFERROR(INDEX(tblItems[ItemCode],SMALL(IF((tblItems[Zone]=V$4)*(tblItems[ItemCode]&lt;&gt;""),ROW(tblItems[ItemCode])-MIN(ROW(tblItems[ItemCode]))+1),ROWS(V$6:V117))),"")</f>
        <v/>
      </c>
      <c r="W117" s="70">
        <f t="array" ref="W117">IFERROR(INDEX(tblItems[ItemCode],SMALL(IF((tblItems[Zone]=W$4)*(tblItems[ItemCode]&lt;&gt;""),ROW(tblItems[ItemCode])-MIN(ROW(tblItems[ItemCode]))+1),ROWS(W$6:W117))),"")</f>
        <v/>
      </c>
      <c r="X117" s="70">
        <f t="array" ref="X117">IFERROR(INDEX(tblItems[ItemCode],SMALL(IF((tblItems[Zone]=X$4)*(tblItems[ItemCode]&lt;&gt;""),ROW(tblItems[ItemCode])-MIN(ROW(tblItems[ItemCode]))+1),ROWS(X$6:X117))),"")</f>
        <v/>
      </c>
      <c r="Y117" s="70">
        <f t="array" ref="Y117">IFERROR(INDEX(tblItems[ItemCode],SMALL(IF((tblItems[Zone]=Y$4)*(tblItems[ItemCode]&lt;&gt;""),ROW(tblItems[ItemCode])-MIN(ROW(tblItems[ItemCode]))+1),ROWS(Y$6:Y117))),"")</f>
        <v/>
      </c>
      <c r="Z117" s="70">
        <f t="array" ref="Z117">IFERROR(INDEX(tblItems[ItemCode],SMALL(IF((tblItems[Zone]=Z$4)*(tblItems[ItemCode]&lt;&gt;""),ROW(tblItems[ItemCode])-MIN(ROW(tblItems[ItemCode]))+1),ROWS(Z$6:Z117))),"")</f>
        <v/>
      </c>
      <c r="AA117" s="70">
        <f t="array" ref="AA117">IFERROR(INDEX(tblItems[ItemCode],SMALL(IF((tblItems[Zone]=AA$4)*(tblItems[ItemCode]&lt;&gt;""),ROW(tblItems[ItemCode])-MIN(ROW(tblItems[ItemCode]))+1),ROWS(AA$6:AA117))),"")</f>
        <v/>
      </c>
      <c r="AB117" s="70">
        <f t="array" ref="AB117">IFERROR(INDEX(tblItems[ItemCode],SMALL(IF((tblItems[Zone]=AB$4)*(tblItems[ItemCode]&lt;&gt;""),ROW(tblItems[ItemCode])-MIN(ROW(tblItems[ItemCode]))+1),ROWS(AB$6:AB117))),"")</f>
        <v/>
      </c>
      <c r="AC117" s="70">
        <f t="array" ref="AC117">IFERROR(INDEX(tblItems[ItemCode],SMALL(IF((tblItems[Zone]=AC$4)*(tblItems[ItemCode]&lt;&gt;""),ROW(tblItems[ItemCode])-MIN(ROW(tblItems[ItemCode]))+1),ROWS(AC$6:AC117))),"")</f>
        <v/>
      </c>
      <c r="AD117" s="70">
        <f t="array" ref="AD117">IFERROR(INDEX(tblItems[ItemCode],SMALL(IF((tblItems[Zone]=AD$4)*(tblItems[ItemCode]&lt;&gt;""),ROW(tblItems[ItemCode])-MIN(ROW(tblItems[ItemCode]))+1),ROWS(AD$6:AD117))),"")</f>
        <v/>
      </c>
      <c r="AE117" s="70">
        <f t="array" ref="AE117">IFERROR(INDEX(tblItems[ItemCode],SMALL(IF((tblItems[Zone]=AE$4)*(tblItems[ItemCode]&lt;&gt;""),ROW(tblItems[ItemCode])-MIN(ROW(tblItems[ItemCode]))+1),ROWS(AE$6:AE117))),"")</f>
        <v/>
      </c>
    </row>
    <row r="118">
      <c r="T118" s="70">
        <f t="array" ref="T118">IFERROR(INDEX(tblItems[ItemCode],SMALL(IF(tblItems[ItemCode]&lt;&gt;"",ROW(tblItems[ItemCode])-MIN(ROW(tblItems[ItemCode]))+1),ROWS(T$6:T118))),"")</f>
        <v/>
      </c>
      <c r="U118" s="70">
        <f t="array" ref="U118">IFERROR(INDEX(tblItems[ItemCode],SMALL(IF((tblItems[Zone]=U$4)*(tblItems[ItemCode]&lt;&gt;""),ROW(tblItems[ItemCode])-MIN(ROW(tblItems[ItemCode]))+1),ROWS(U$6:U118))),"")</f>
        <v/>
      </c>
      <c r="V118" s="70">
        <f t="array" ref="V118">IFERROR(INDEX(tblItems[ItemCode],SMALL(IF((tblItems[Zone]=V$4)*(tblItems[ItemCode]&lt;&gt;""),ROW(tblItems[ItemCode])-MIN(ROW(tblItems[ItemCode]))+1),ROWS(V$6:V118))),"")</f>
        <v/>
      </c>
      <c r="W118" s="70">
        <f t="array" ref="W118">IFERROR(INDEX(tblItems[ItemCode],SMALL(IF((tblItems[Zone]=W$4)*(tblItems[ItemCode]&lt;&gt;""),ROW(tblItems[ItemCode])-MIN(ROW(tblItems[ItemCode]))+1),ROWS(W$6:W118))),"")</f>
        <v/>
      </c>
      <c r="X118" s="70">
        <f t="array" ref="X118">IFERROR(INDEX(tblItems[ItemCode],SMALL(IF((tblItems[Zone]=X$4)*(tblItems[ItemCode]&lt;&gt;""),ROW(tblItems[ItemCode])-MIN(ROW(tblItems[ItemCode]))+1),ROWS(X$6:X118))),"")</f>
        <v/>
      </c>
      <c r="Y118" s="70">
        <f t="array" ref="Y118">IFERROR(INDEX(tblItems[ItemCode],SMALL(IF((tblItems[Zone]=Y$4)*(tblItems[ItemCode]&lt;&gt;""),ROW(tblItems[ItemCode])-MIN(ROW(tblItems[ItemCode]))+1),ROWS(Y$6:Y118))),"")</f>
        <v/>
      </c>
      <c r="Z118" s="70">
        <f t="array" ref="Z118">IFERROR(INDEX(tblItems[ItemCode],SMALL(IF((tblItems[Zone]=Z$4)*(tblItems[ItemCode]&lt;&gt;""),ROW(tblItems[ItemCode])-MIN(ROW(tblItems[ItemCode]))+1),ROWS(Z$6:Z118))),"")</f>
        <v/>
      </c>
      <c r="AA118" s="70">
        <f t="array" ref="AA118">IFERROR(INDEX(tblItems[ItemCode],SMALL(IF((tblItems[Zone]=AA$4)*(tblItems[ItemCode]&lt;&gt;""),ROW(tblItems[ItemCode])-MIN(ROW(tblItems[ItemCode]))+1),ROWS(AA$6:AA118))),"")</f>
        <v/>
      </c>
      <c r="AB118" s="70">
        <f t="array" ref="AB118">IFERROR(INDEX(tblItems[ItemCode],SMALL(IF((tblItems[Zone]=AB$4)*(tblItems[ItemCode]&lt;&gt;""),ROW(tblItems[ItemCode])-MIN(ROW(tblItems[ItemCode]))+1),ROWS(AB$6:AB118))),"")</f>
        <v/>
      </c>
      <c r="AC118" s="70">
        <f t="array" ref="AC118">IFERROR(INDEX(tblItems[ItemCode],SMALL(IF((tblItems[Zone]=AC$4)*(tblItems[ItemCode]&lt;&gt;""),ROW(tblItems[ItemCode])-MIN(ROW(tblItems[ItemCode]))+1),ROWS(AC$6:AC118))),"")</f>
        <v/>
      </c>
      <c r="AD118" s="70">
        <f t="array" ref="AD118">IFERROR(INDEX(tblItems[ItemCode],SMALL(IF((tblItems[Zone]=AD$4)*(tblItems[ItemCode]&lt;&gt;""),ROW(tblItems[ItemCode])-MIN(ROW(tblItems[ItemCode]))+1),ROWS(AD$6:AD118))),"")</f>
        <v/>
      </c>
      <c r="AE118" s="70">
        <f t="array" ref="AE118">IFERROR(INDEX(tblItems[ItemCode],SMALL(IF((tblItems[Zone]=AE$4)*(tblItems[ItemCode]&lt;&gt;""),ROW(tblItems[ItemCode])-MIN(ROW(tblItems[ItemCode]))+1),ROWS(AE$6:AE118))),"")</f>
        <v/>
      </c>
    </row>
    <row r="119">
      <c r="T119" s="70">
        <f t="array" ref="T119">IFERROR(INDEX(tblItems[ItemCode],SMALL(IF(tblItems[ItemCode]&lt;&gt;"",ROW(tblItems[ItemCode])-MIN(ROW(tblItems[ItemCode]))+1),ROWS(T$6:T119))),"")</f>
        <v/>
      </c>
      <c r="U119" s="70">
        <f t="array" ref="U119">IFERROR(INDEX(tblItems[ItemCode],SMALL(IF((tblItems[Zone]=U$4)*(tblItems[ItemCode]&lt;&gt;""),ROW(tblItems[ItemCode])-MIN(ROW(tblItems[ItemCode]))+1),ROWS(U$6:U119))),"")</f>
        <v/>
      </c>
      <c r="V119" s="70">
        <f t="array" ref="V119">IFERROR(INDEX(tblItems[ItemCode],SMALL(IF((tblItems[Zone]=V$4)*(tblItems[ItemCode]&lt;&gt;""),ROW(tblItems[ItemCode])-MIN(ROW(tblItems[ItemCode]))+1),ROWS(V$6:V119))),"")</f>
        <v/>
      </c>
      <c r="W119" s="70">
        <f t="array" ref="W119">IFERROR(INDEX(tblItems[ItemCode],SMALL(IF((tblItems[Zone]=W$4)*(tblItems[ItemCode]&lt;&gt;""),ROW(tblItems[ItemCode])-MIN(ROW(tblItems[ItemCode]))+1),ROWS(W$6:W119))),"")</f>
        <v/>
      </c>
      <c r="X119" s="70">
        <f t="array" ref="X119">IFERROR(INDEX(tblItems[ItemCode],SMALL(IF((tblItems[Zone]=X$4)*(tblItems[ItemCode]&lt;&gt;""),ROW(tblItems[ItemCode])-MIN(ROW(tblItems[ItemCode]))+1),ROWS(X$6:X119))),"")</f>
        <v/>
      </c>
      <c r="Y119" s="70">
        <f t="array" ref="Y119">IFERROR(INDEX(tblItems[ItemCode],SMALL(IF((tblItems[Zone]=Y$4)*(tblItems[ItemCode]&lt;&gt;""),ROW(tblItems[ItemCode])-MIN(ROW(tblItems[ItemCode]))+1),ROWS(Y$6:Y119))),"")</f>
        <v/>
      </c>
      <c r="Z119" s="70">
        <f t="array" ref="Z119">IFERROR(INDEX(tblItems[ItemCode],SMALL(IF((tblItems[Zone]=Z$4)*(tblItems[ItemCode]&lt;&gt;""),ROW(tblItems[ItemCode])-MIN(ROW(tblItems[ItemCode]))+1),ROWS(Z$6:Z119))),"")</f>
        <v/>
      </c>
      <c r="AA119" s="70">
        <f t="array" ref="AA119">IFERROR(INDEX(tblItems[ItemCode],SMALL(IF((tblItems[Zone]=AA$4)*(tblItems[ItemCode]&lt;&gt;""),ROW(tblItems[ItemCode])-MIN(ROW(tblItems[ItemCode]))+1),ROWS(AA$6:AA119))),"")</f>
        <v/>
      </c>
      <c r="AB119" s="70">
        <f t="array" ref="AB119">IFERROR(INDEX(tblItems[ItemCode],SMALL(IF((tblItems[Zone]=AB$4)*(tblItems[ItemCode]&lt;&gt;""),ROW(tblItems[ItemCode])-MIN(ROW(tblItems[ItemCode]))+1),ROWS(AB$6:AB119))),"")</f>
        <v/>
      </c>
      <c r="AC119" s="70">
        <f t="array" ref="AC119">IFERROR(INDEX(tblItems[ItemCode],SMALL(IF((tblItems[Zone]=AC$4)*(tblItems[ItemCode]&lt;&gt;""),ROW(tblItems[ItemCode])-MIN(ROW(tblItems[ItemCode]))+1),ROWS(AC$6:AC119))),"")</f>
        <v/>
      </c>
      <c r="AD119" s="70">
        <f t="array" ref="AD119">IFERROR(INDEX(tblItems[ItemCode],SMALL(IF((tblItems[Zone]=AD$4)*(tblItems[ItemCode]&lt;&gt;""),ROW(tblItems[ItemCode])-MIN(ROW(tblItems[ItemCode]))+1),ROWS(AD$6:AD119))),"")</f>
        <v/>
      </c>
      <c r="AE119" s="70">
        <f t="array" ref="AE119">IFERROR(INDEX(tblItems[ItemCode],SMALL(IF((tblItems[Zone]=AE$4)*(tblItems[ItemCode]&lt;&gt;""),ROW(tblItems[ItemCode])-MIN(ROW(tblItems[ItemCode]))+1),ROWS(AE$6:AE119))),"")</f>
        <v/>
      </c>
    </row>
    <row r="120">
      <c r="T120" s="70">
        <f t="array" ref="T120">IFERROR(INDEX(tblItems[ItemCode],SMALL(IF(tblItems[ItemCode]&lt;&gt;"",ROW(tblItems[ItemCode])-MIN(ROW(tblItems[ItemCode]))+1),ROWS(T$6:T120))),"")</f>
        <v/>
      </c>
      <c r="U120" s="70">
        <f t="array" ref="U120">IFERROR(INDEX(tblItems[ItemCode],SMALL(IF((tblItems[Zone]=U$4)*(tblItems[ItemCode]&lt;&gt;""),ROW(tblItems[ItemCode])-MIN(ROW(tblItems[ItemCode]))+1),ROWS(U$6:U120))),"")</f>
        <v/>
      </c>
      <c r="V120" s="70">
        <f t="array" ref="V120">IFERROR(INDEX(tblItems[ItemCode],SMALL(IF((tblItems[Zone]=V$4)*(tblItems[ItemCode]&lt;&gt;""),ROW(tblItems[ItemCode])-MIN(ROW(tblItems[ItemCode]))+1),ROWS(V$6:V120))),"")</f>
        <v/>
      </c>
      <c r="W120" s="70">
        <f t="array" ref="W120">IFERROR(INDEX(tblItems[ItemCode],SMALL(IF((tblItems[Zone]=W$4)*(tblItems[ItemCode]&lt;&gt;""),ROW(tblItems[ItemCode])-MIN(ROW(tblItems[ItemCode]))+1),ROWS(W$6:W120))),"")</f>
        <v/>
      </c>
      <c r="X120" s="70">
        <f t="array" ref="X120">IFERROR(INDEX(tblItems[ItemCode],SMALL(IF((tblItems[Zone]=X$4)*(tblItems[ItemCode]&lt;&gt;""),ROW(tblItems[ItemCode])-MIN(ROW(tblItems[ItemCode]))+1),ROWS(X$6:X120))),"")</f>
        <v/>
      </c>
      <c r="Y120" s="70">
        <f t="array" ref="Y120">IFERROR(INDEX(tblItems[ItemCode],SMALL(IF((tblItems[Zone]=Y$4)*(tblItems[ItemCode]&lt;&gt;""),ROW(tblItems[ItemCode])-MIN(ROW(tblItems[ItemCode]))+1),ROWS(Y$6:Y120))),"")</f>
        <v/>
      </c>
      <c r="Z120" s="70">
        <f t="array" ref="Z120">IFERROR(INDEX(tblItems[ItemCode],SMALL(IF((tblItems[Zone]=Z$4)*(tblItems[ItemCode]&lt;&gt;""),ROW(tblItems[ItemCode])-MIN(ROW(tblItems[ItemCode]))+1),ROWS(Z$6:Z120))),"")</f>
        <v/>
      </c>
      <c r="AA120" s="70">
        <f t="array" ref="AA120">IFERROR(INDEX(tblItems[ItemCode],SMALL(IF((tblItems[Zone]=AA$4)*(tblItems[ItemCode]&lt;&gt;""),ROW(tblItems[ItemCode])-MIN(ROW(tblItems[ItemCode]))+1),ROWS(AA$6:AA120))),"")</f>
        <v/>
      </c>
      <c r="AB120" s="70">
        <f t="array" ref="AB120">IFERROR(INDEX(tblItems[ItemCode],SMALL(IF((tblItems[Zone]=AB$4)*(tblItems[ItemCode]&lt;&gt;""),ROW(tblItems[ItemCode])-MIN(ROW(tblItems[ItemCode]))+1),ROWS(AB$6:AB120))),"")</f>
        <v/>
      </c>
      <c r="AC120" s="70">
        <f t="array" ref="AC120">IFERROR(INDEX(tblItems[ItemCode],SMALL(IF((tblItems[Zone]=AC$4)*(tblItems[ItemCode]&lt;&gt;""),ROW(tblItems[ItemCode])-MIN(ROW(tblItems[ItemCode]))+1),ROWS(AC$6:AC120))),"")</f>
        <v/>
      </c>
      <c r="AD120" s="70">
        <f t="array" ref="AD120">IFERROR(INDEX(tblItems[ItemCode],SMALL(IF((tblItems[Zone]=AD$4)*(tblItems[ItemCode]&lt;&gt;""),ROW(tblItems[ItemCode])-MIN(ROW(tblItems[ItemCode]))+1),ROWS(AD$6:AD120))),"")</f>
        <v/>
      </c>
      <c r="AE120" s="70">
        <f t="array" ref="AE120">IFERROR(INDEX(tblItems[ItemCode],SMALL(IF((tblItems[Zone]=AE$4)*(tblItems[ItemCode]&lt;&gt;""),ROW(tblItems[ItemCode])-MIN(ROW(tblItems[ItemCode]))+1),ROWS(AE$6:AE120))),"")</f>
        <v/>
      </c>
    </row>
    <row r="121">
      <c r="T121" s="70">
        <f t="array" ref="T121">IFERROR(INDEX(tblItems[ItemCode],SMALL(IF(tblItems[ItemCode]&lt;&gt;"",ROW(tblItems[ItemCode])-MIN(ROW(tblItems[ItemCode]))+1),ROWS(T$6:T121))),"")</f>
        <v/>
      </c>
      <c r="U121" s="70">
        <f t="array" ref="U121">IFERROR(INDEX(tblItems[ItemCode],SMALL(IF((tblItems[Zone]=U$4)*(tblItems[ItemCode]&lt;&gt;""),ROW(tblItems[ItemCode])-MIN(ROW(tblItems[ItemCode]))+1),ROWS(U$6:U121))),"")</f>
        <v/>
      </c>
      <c r="V121" s="70">
        <f t="array" ref="V121">IFERROR(INDEX(tblItems[ItemCode],SMALL(IF((tblItems[Zone]=V$4)*(tblItems[ItemCode]&lt;&gt;""),ROW(tblItems[ItemCode])-MIN(ROW(tblItems[ItemCode]))+1),ROWS(V$6:V121))),"")</f>
        <v/>
      </c>
      <c r="W121" s="70">
        <f t="array" ref="W121">IFERROR(INDEX(tblItems[ItemCode],SMALL(IF((tblItems[Zone]=W$4)*(tblItems[ItemCode]&lt;&gt;""),ROW(tblItems[ItemCode])-MIN(ROW(tblItems[ItemCode]))+1),ROWS(W$6:W121))),"")</f>
        <v/>
      </c>
      <c r="X121" s="70">
        <f t="array" ref="X121">IFERROR(INDEX(tblItems[ItemCode],SMALL(IF((tblItems[Zone]=X$4)*(tblItems[ItemCode]&lt;&gt;""),ROW(tblItems[ItemCode])-MIN(ROW(tblItems[ItemCode]))+1),ROWS(X$6:X121))),"")</f>
        <v/>
      </c>
      <c r="Y121" s="70">
        <f t="array" ref="Y121">IFERROR(INDEX(tblItems[ItemCode],SMALL(IF((tblItems[Zone]=Y$4)*(tblItems[ItemCode]&lt;&gt;""),ROW(tblItems[ItemCode])-MIN(ROW(tblItems[ItemCode]))+1),ROWS(Y$6:Y121))),"")</f>
        <v/>
      </c>
      <c r="Z121" s="70">
        <f t="array" ref="Z121">IFERROR(INDEX(tblItems[ItemCode],SMALL(IF((tblItems[Zone]=Z$4)*(tblItems[ItemCode]&lt;&gt;""),ROW(tblItems[ItemCode])-MIN(ROW(tblItems[ItemCode]))+1),ROWS(Z$6:Z121))),"")</f>
        <v/>
      </c>
      <c r="AA121" s="70">
        <f t="array" ref="AA121">IFERROR(INDEX(tblItems[ItemCode],SMALL(IF((tblItems[Zone]=AA$4)*(tblItems[ItemCode]&lt;&gt;""),ROW(tblItems[ItemCode])-MIN(ROW(tblItems[ItemCode]))+1),ROWS(AA$6:AA121))),"")</f>
        <v/>
      </c>
      <c r="AB121" s="70">
        <f t="array" ref="AB121">IFERROR(INDEX(tblItems[ItemCode],SMALL(IF((tblItems[Zone]=AB$4)*(tblItems[ItemCode]&lt;&gt;""),ROW(tblItems[ItemCode])-MIN(ROW(tblItems[ItemCode]))+1),ROWS(AB$6:AB121))),"")</f>
        <v/>
      </c>
      <c r="AC121" s="70">
        <f t="array" ref="AC121">IFERROR(INDEX(tblItems[ItemCode],SMALL(IF((tblItems[Zone]=AC$4)*(tblItems[ItemCode]&lt;&gt;""),ROW(tblItems[ItemCode])-MIN(ROW(tblItems[ItemCode]))+1),ROWS(AC$6:AC121))),"")</f>
        <v/>
      </c>
      <c r="AD121" s="70">
        <f t="array" ref="AD121">IFERROR(INDEX(tblItems[ItemCode],SMALL(IF((tblItems[Zone]=AD$4)*(tblItems[ItemCode]&lt;&gt;""),ROW(tblItems[ItemCode])-MIN(ROW(tblItems[ItemCode]))+1),ROWS(AD$6:AD121))),"")</f>
        <v/>
      </c>
      <c r="AE121" s="70">
        <f t="array" ref="AE121">IFERROR(INDEX(tblItems[ItemCode],SMALL(IF((tblItems[Zone]=AE$4)*(tblItems[ItemCode]&lt;&gt;""),ROW(tblItems[ItemCode])-MIN(ROW(tblItems[ItemCode]))+1),ROWS(AE$6:AE121))),"")</f>
        <v/>
      </c>
    </row>
    <row r="122">
      <c r="T122" s="70">
        <f t="array" ref="T122">IFERROR(INDEX(tblItems[ItemCode],SMALL(IF(tblItems[ItemCode]&lt;&gt;"",ROW(tblItems[ItemCode])-MIN(ROW(tblItems[ItemCode]))+1),ROWS(T$6:T122))),"")</f>
        <v/>
      </c>
      <c r="U122" s="70">
        <f t="array" ref="U122">IFERROR(INDEX(tblItems[ItemCode],SMALL(IF((tblItems[Zone]=U$4)*(tblItems[ItemCode]&lt;&gt;""),ROW(tblItems[ItemCode])-MIN(ROW(tblItems[ItemCode]))+1),ROWS(U$6:U122))),"")</f>
        <v/>
      </c>
      <c r="V122" s="70">
        <f t="array" ref="V122">IFERROR(INDEX(tblItems[ItemCode],SMALL(IF((tblItems[Zone]=V$4)*(tblItems[ItemCode]&lt;&gt;""),ROW(tblItems[ItemCode])-MIN(ROW(tblItems[ItemCode]))+1),ROWS(V$6:V122))),"")</f>
        <v/>
      </c>
      <c r="W122" s="70">
        <f t="array" ref="W122">IFERROR(INDEX(tblItems[ItemCode],SMALL(IF((tblItems[Zone]=W$4)*(tblItems[ItemCode]&lt;&gt;""),ROW(tblItems[ItemCode])-MIN(ROW(tblItems[ItemCode]))+1),ROWS(W$6:W122))),"")</f>
        <v/>
      </c>
      <c r="X122" s="70">
        <f t="array" ref="X122">IFERROR(INDEX(tblItems[ItemCode],SMALL(IF((tblItems[Zone]=X$4)*(tblItems[ItemCode]&lt;&gt;""),ROW(tblItems[ItemCode])-MIN(ROW(tblItems[ItemCode]))+1),ROWS(X$6:X122))),"")</f>
        <v/>
      </c>
      <c r="Y122" s="70">
        <f t="array" ref="Y122">IFERROR(INDEX(tblItems[ItemCode],SMALL(IF((tblItems[Zone]=Y$4)*(tblItems[ItemCode]&lt;&gt;""),ROW(tblItems[ItemCode])-MIN(ROW(tblItems[ItemCode]))+1),ROWS(Y$6:Y122))),"")</f>
        <v/>
      </c>
      <c r="Z122" s="70">
        <f t="array" ref="Z122">IFERROR(INDEX(tblItems[ItemCode],SMALL(IF((tblItems[Zone]=Z$4)*(tblItems[ItemCode]&lt;&gt;""),ROW(tblItems[ItemCode])-MIN(ROW(tblItems[ItemCode]))+1),ROWS(Z$6:Z122))),"")</f>
        <v/>
      </c>
      <c r="AA122" s="70">
        <f t="array" ref="AA122">IFERROR(INDEX(tblItems[ItemCode],SMALL(IF((tblItems[Zone]=AA$4)*(tblItems[ItemCode]&lt;&gt;""),ROW(tblItems[ItemCode])-MIN(ROW(tblItems[ItemCode]))+1),ROWS(AA$6:AA122))),"")</f>
        <v/>
      </c>
      <c r="AB122" s="70">
        <f t="array" ref="AB122">IFERROR(INDEX(tblItems[ItemCode],SMALL(IF((tblItems[Zone]=AB$4)*(tblItems[ItemCode]&lt;&gt;""),ROW(tblItems[ItemCode])-MIN(ROW(tblItems[ItemCode]))+1),ROWS(AB$6:AB122))),"")</f>
        <v/>
      </c>
      <c r="AC122" s="70">
        <f t="array" ref="AC122">IFERROR(INDEX(tblItems[ItemCode],SMALL(IF((tblItems[Zone]=AC$4)*(tblItems[ItemCode]&lt;&gt;""),ROW(tblItems[ItemCode])-MIN(ROW(tblItems[ItemCode]))+1),ROWS(AC$6:AC122))),"")</f>
        <v/>
      </c>
      <c r="AD122" s="70">
        <f t="array" ref="AD122">IFERROR(INDEX(tblItems[ItemCode],SMALL(IF((tblItems[Zone]=AD$4)*(tblItems[ItemCode]&lt;&gt;""),ROW(tblItems[ItemCode])-MIN(ROW(tblItems[ItemCode]))+1),ROWS(AD$6:AD122))),"")</f>
        <v/>
      </c>
      <c r="AE122" s="70">
        <f t="array" ref="AE122">IFERROR(INDEX(tblItems[ItemCode],SMALL(IF((tblItems[Zone]=AE$4)*(tblItems[ItemCode]&lt;&gt;""),ROW(tblItems[ItemCode])-MIN(ROW(tblItems[ItemCode]))+1),ROWS(AE$6:AE122))),"")</f>
        <v/>
      </c>
    </row>
    <row r="123">
      <c r="T123" s="70">
        <f t="array" ref="T123">IFERROR(INDEX(tblItems[ItemCode],SMALL(IF(tblItems[ItemCode]&lt;&gt;"",ROW(tblItems[ItemCode])-MIN(ROW(tblItems[ItemCode]))+1),ROWS(T$6:T123))),"")</f>
        <v/>
      </c>
      <c r="U123" s="70">
        <f t="array" ref="U123">IFERROR(INDEX(tblItems[ItemCode],SMALL(IF((tblItems[Zone]=U$4)*(tblItems[ItemCode]&lt;&gt;""),ROW(tblItems[ItemCode])-MIN(ROW(tblItems[ItemCode]))+1),ROWS(U$6:U123))),"")</f>
        <v/>
      </c>
      <c r="V123" s="70">
        <f t="array" ref="V123">IFERROR(INDEX(tblItems[ItemCode],SMALL(IF((tblItems[Zone]=V$4)*(tblItems[ItemCode]&lt;&gt;""),ROW(tblItems[ItemCode])-MIN(ROW(tblItems[ItemCode]))+1),ROWS(V$6:V123))),"")</f>
        <v/>
      </c>
      <c r="W123" s="70">
        <f t="array" ref="W123">IFERROR(INDEX(tblItems[ItemCode],SMALL(IF((tblItems[Zone]=W$4)*(tblItems[ItemCode]&lt;&gt;""),ROW(tblItems[ItemCode])-MIN(ROW(tblItems[ItemCode]))+1),ROWS(W$6:W123))),"")</f>
        <v/>
      </c>
      <c r="X123" s="70">
        <f t="array" ref="X123">IFERROR(INDEX(tblItems[ItemCode],SMALL(IF((tblItems[Zone]=X$4)*(tblItems[ItemCode]&lt;&gt;""),ROW(tblItems[ItemCode])-MIN(ROW(tblItems[ItemCode]))+1),ROWS(X$6:X123))),"")</f>
        <v/>
      </c>
      <c r="Y123" s="70">
        <f t="array" ref="Y123">IFERROR(INDEX(tblItems[ItemCode],SMALL(IF((tblItems[Zone]=Y$4)*(tblItems[ItemCode]&lt;&gt;""),ROW(tblItems[ItemCode])-MIN(ROW(tblItems[ItemCode]))+1),ROWS(Y$6:Y123))),"")</f>
        <v/>
      </c>
      <c r="Z123" s="70">
        <f t="array" ref="Z123">IFERROR(INDEX(tblItems[ItemCode],SMALL(IF((tblItems[Zone]=Z$4)*(tblItems[ItemCode]&lt;&gt;""),ROW(tblItems[ItemCode])-MIN(ROW(tblItems[ItemCode]))+1),ROWS(Z$6:Z123))),"")</f>
        <v/>
      </c>
      <c r="AA123" s="70">
        <f t="array" ref="AA123">IFERROR(INDEX(tblItems[ItemCode],SMALL(IF((tblItems[Zone]=AA$4)*(tblItems[ItemCode]&lt;&gt;""),ROW(tblItems[ItemCode])-MIN(ROW(tblItems[ItemCode]))+1),ROWS(AA$6:AA123))),"")</f>
        <v/>
      </c>
      <c r="AB123" s="70">
        <f t="array" ref="AB123">IFERROR(INDEX(tblItems[ItemCode],SMALL(IF((tblItems[Zone]=AB$4)*(tblItems[ItemCode]&lt;&gt;""),ROW(tblItems[ItemCode])-MIN(ROW(tblItems[ItemCode]))+1),ROWS(AB$6:AB123))),"")</f>
        <v/>
      </c>
      <c r="AC123" s="70">
        <f t="array" ref="AC123">IFERROR(INDEX(tblItems[ItemCode],SMALL(IF((tblItems[Zone]=AC$4)*(tblItems[ItemCode]&lt;&gt;""),ROW(tblItems[ItemCode])-MIN(ROW(tblItems[ItemCode]))+1),ROWS(AC$6:AC123))),"")</f>
        <v/>
      </c>
      <c r="AD123" s="70">
        <f t="array" ref="AD123">IFERROR(INDEX(tblItems[ItemCode],SMALL(IF((tblItems[Zone]=AD$4)*(tblItems[ItemCode]&lt;&gt;""),ROW(tblItems[ItemCode])-MIN(ROW(tblItems[ItemCode]))+1),ROWS(AD$6:AD123))),"")</f>
        <v/>
      </c>
      <c r="AE123" s="70">
        <f t="array" ref="AE123">IFERROR(INDEX(tblItems[ItemCode],SMALL(IF((tblItems[Zone]=AE$4)*(tblItems[ItemCode]&lt;&gt;""),ROW(tblItems[ItemCode])-MIN(ROW(tblItems[ItemCode]))+1),ROWS(AE$6:AE123))),"")</f>
        <v/>
      </c>
    </row>
    <row r="124">
      <c r="T124" s="70">
        <f t="array" ref="T124">IFERROR(INDEX(tblItems[ItemCode],SMALL(IF(tblItems[ItemCode]&lt;&gt;"",ROW(tblItems[ItemCode])-MIN(ROW(tblItems[ItemCode]))+1),ROWS(T$6:T124))),"")</f>
        <v/>
      </c>
      <c r="U124" s="70">
        <f t="array" ref="U124">IFERROR(INDEX(tblItems[ItemCode],SMALL(IF((tblItems[Zone]=U$4)*(tblItems[ItemCode]&lt;&gt;""),ROW(tblItems[ItemCode])-MIN(ROW(tblItems[ItemCode]))+1),ROWS(U$6:U124))),"")</f>
        <v/>
      </c>
      <c r="V124" s="70">
        <f t="array" ref="V124">IFERROR(INDEX(tblItems[ItemCode],SMALL(IF((tblItems[Zone]=V$4)*(tblItems[ItemCode]&lt;&gt;""),ROW(tblItems[ItemCode])-MIN(ROW(tblItems[ItemCode]))+1),ROWS(V$6:V124))),"")</f>
        <v/>
      </c>
      <c r="W124" s="70">
        <f t="array" ref="W124">IFERROR(INDEX(tblItems[ItemCode],SMALL(IF((tblItems[Zone]=W$4)*(tblItems[ItemCode]&lt;&gt;""),ROW(tblItems[ItemCode])-MIN(ROW(tblItems[ItemCode]))+1),ROWS(W$6:W124))),"")</f>
        <v/>
      </c>
      <c r="X124" s="70">
        <f t="array" ref="X124">IFERROR(INDEX(tblItems[ItemCode],SMALL(IF((tblItems[Zone]=X$4)*(tblItems[ItemCode]&lt;&gt;""),ROW(tblItems[ItemCode])-MIN(ROW(tblItems[ItemCode]))+1),ROWS(X$6:X124))),"")</f>
        <v/>
      </c>
      <c r="Y124" s="70">
        <f t="array" ref="Y124">IFERROR(INDEX(tblItems[ItemCode],SMALL(IF((tblItems[Zone]=Y$4)*(tblItems[ItemCode]&lt;&gt;""),ROW(tblItems[ItemCode])-MIN(ROW(tblItems[ItemCode]))+1),ROWS(Y$6:Y124))),"")</f>
        <v/>
      </c>
      <c r="Z124" s="70">
        <f t="array" ref="Z124">IFERROR(INDEX(tblItems[ItemCode],SMALL(IF((tblItems[Zone]=Z$4)*(tblItems[ItemCode]&lt;&gt;""),ROW(tblItems[ItemCode])-MIN(ROW(tblItems[ItemCode]))+1),ROWS(Z$6:Z124))),"")</f>
        <v/>
      </c>
      <c r="AA124" s="70">
        <f t="array" ref="AA124">IFERROR(INDEX(tblItems[ItemCode],SMALL(IF((tblItems[Zone]=AA$4)*(tblItems[ItemCode]&lt;&gt;""),ROW(tblItems[ItemCode])-MIN(ROW(tblItems[ItemCode]))+1),ROWS(AA$6:AA124))),"")</f>
        <v/>
      </c>
      <c r="AB124" s="70">
        <f t="array" ref="AB124">IFERROR(INDEX(tblItems[ItemCode],SMALL(IF((tblItems[Zone]=AB$4)*(tblItems[ItemCode]&lt;&gt;""),ROW(tblItems[ItemCode])-MIN(ROW(tblItems[ItemCode]))+1),ROWS(AB$6:AB124))),"")</f>
        <v/>
      </c>
      <c r="AC124" s="70">
        <f t="array" ref="AC124">IFERROR(INDEX(tblItems[ItemCode],SMALL(IF((tblItems[Zone]=AC$4)*(tblItems[ItemCode]&lt;&gt;""),ROW(tblItems[ItemCode])-MIN(ROW(tblItems[ItemCode]))+1),ROWS(AC$6:AC124))),"")</f>
        <v/>
      </c>
      <c r="AD124" s="70">
        <f t="array" ref="AD124">IFERROR(INDEX(tblItems[ItemCode],SMALL(IF((tblItems[Zone]=AD$4)*(tblItems[ItemCode]&lt;&gt;""),ROW(tblItems[ItemCode])-MIN(ROW(tblItems[ItemCode]))+1),ROWS(AD$6:AD124))),"")</f>
        <v/>
      </c>
      <c r="AE124" s="70">
        <f t="array" ref="AE124">IFERROR(INDEX(tblItems[ItemCode],SMALL(IF((tblItems[Zone]=AE$4)*(tblItems[ItemCode]&lt;&gt;""),ROW(tblItems[ItemCode])-MIN(ROW(tblItems[ItemCode]))+1),ROWS(AE$6:AE124))),"")</f>
        <v/>
      </c>
    </row>
    <row r="125">
      <c r="T125" s="70">
        <f t="array" ref="T125">IFERROR(INDEX(tblItems[ItemCode],SMALL(IF(tblItems[ItemCode]&lt;&gt;"",ROW(tblItems[ItemCode])-MIN(ROW(tblItems[ItemCode]))+1),ROWS(T$6:T125))),"")</f>
        <v/>
      </c>
      <c r="U125" s="70">
        <f t="array" ref="U125">IFERROR(INDEX(tblItems[ItemCode],SMALL(IF((tblItems[Zone]=U$4)*(tblItems[ItemCode]&lt;&gt;""),ROW(tblItems[ItemCode])-MIN(ROW(tblItems[ItemCode]))+1),ROWS(U$6:U125))),"")</f>
        <v/>
      </c>
      <c r="V125" s="70">
        <f t="array" ref="V125">IFERROR(INDEX(tblItems[ItemCode],SMALL(IF((tblItems[Zone]=V$4)*(tblItems[ItemCode]&lt;&gt;""),ROW(tblItems[ItemCode])-MIN(ROW(tblItems[ItemCode]))+1),ROWS(V$6:V125))),"")</f>
        <v/>
      </c>
      <c r="W125" s="70">
        <f t="array" ref="W125">IFERROR(INDEX(tblItems[ItemCode],SMALL(IF((tblItems[Zone]=W$4)*(tblItems[ItemCode]&lt;&gt;""),ROW(tblItems[ItemCode])-MIN(ROW(tblItems[ItemCode]))+1),ROWS(W$6:W125))),"")</f>
        <v/>
      </c>
      <c r="X125" s="70">
        <f t="array" ref="X125">IFERROR(INDEX(tblItems[ItemCode],SMALL(IF((tblItems[Zone]=X$4)*(tblItems[ItemCode]&lt;&gt;""),ROW(tblItems[ItemCode])-MIN(ROW(tblItems[ItemCode]))+1),ROWS(X$6:X125))),"")</f>
        <v/>
      </c>
      <c r="Y125" s="70">
        <f t="array" ref="Y125">IFERROR(INDEX(tblItems[ItemCode],SMALL(IF((tblItems[Zone]=Y$4)*(tblItems[ItemCode]&lt;&gt;""),ROW(tblItems[ItemCode])-MIN(ROW(tblItems[ItemCode]))+1),ROWS(Y$6:Y125))),"")</f>
        <v/>
      </c>
      <c r="Z125" s="70">
        <f t="array" ref="Z125">IFERROR(INDEX(tblItems[ItemCode],SMALL(IF((tblItems[Zone]=Z$4)*(tblItems[ItemCode]&lt;&gt;""),ROW(tblItems[ItemCode])-MIN(ROW(tblItems[ItemCode]))+1),ROWS(Z$6:Z125))),"")</f>
        <v/>
      </c>
      <c r="AA125" s="70">
        <f t="array" ref="AA125">IFERROR(INDEX(tblItems[ItemCode],SMALL(IF((tblItems[Zone]=AA$4)*(tblItems[ItemCode]&lt;&gt;""),ROW(tblItems[ItemCode])-MIN(ROW(tblItems[ItemCode]))+1),ROWS(AA$6:AA125))),"")</f>
        <v/>
      </c>
      <c r="AB125" s="70">
        <f t="array" ref="AB125">IFERROR(INDEX(tblItems[ItemCode],SMALL(IF((tblItems[Zone]=AB$4)*(tblItems[ItemCode]&lt;&gt;""),ROW(tblItems[ItemCode])-MIN(ROW(tblItems[ItemCode]))+1),ROWS(AB$6:AB125))),"")</f>
        <v/>
      </c>
      <c r="AC125" s="70">
        <f t="array" ref="AC125">IFERROR(INDEX(tblItems[ItemCode],SMALL(IF((tblItems[Zone]=AC$4)*(tblItems[ItemCode]&lt;&gt;""),ROW(tblItems[ItemCode])-MIN(ROW(tblItems[ItemCode]))+1),ROWS(AC$6:AC125))),"")</f>
        <v/>
      </c>
      <c r="AD125" s="70">
        <f t="array" ref="AD125">IFERROR(INDEX(tblItems[ItemCode],SMALL(IF((tblItems[Zone]=AD$4)*(tblItems[ItemCode]&lt;&gt;""),ROW(tblItems[ItemCode])-MIN(ROW(tblItems[ItemCode]))+1),ROWS(AD$6:AD125))),"")</f>
        <v/>
      </c>
      <c r="AE125" s="70">
        <f t="array" ref="AE125">IFERROR(INDEX(tblItems[ItemCode],SMALL(IF((tblItems[Zone]=AE$4)*(tblItems[ItemCode]&lt;&gt;""),ROW(tblItems[ItemCode])-MIN(ROW(tblItems[ItemCode]))+1),ROWS(AE$6:AE125))),"")</f>
        <v/>
      </c>
    </row>
    <row r="126">
      <c r="T126" s="70">
        <f t="array" ref="T126">IFERROR(INDEX(tblItems[ItemCode],SMALL(IF(tblItems[ItemCode]&lt;&gt;"",ROW(tblItems[ItemCode])-MIN(ROW(tblItems[ItemCode]))+1),ROWS(T$6:T126))),"")</f>
        <v/>
      </c>
      <c r="U126" s="70">
        <f t="array" ref="U126">IFERROR(INDEX(tblItems[ItemCode],SMALL(IF((tblItems[Zone]=U$4)*(tblItems[ItemCode]&lt;&gt;""),ROW(tblItems[ItemCode])-MIN(ROW(tblItems[ItemCode]))+1),ROWS(U$6:U126))),"")</f>
        <v/>
      </c>
      <c r="V126" s="70">
        <f t="array" ref="V126">IFERROR(INDEX(tblItems[ItemCode],SMALL(IF((tblItems[Zone]=V$4)*(tblItems[ItemCode]&lt;&gt;""),ROW(tblItems[ItemCode])-MIN(ROW(tblItems[ItemCode]))+1),ROWS(V$6:V126))),"")</f>
        <v/>
      </c>
      <c r="W126" s="70">
        <f t="array" ref="W126">IFERROR(INDEX(tblItems[ItemCode],SMALL(IF((tblItems[Zone]=W$4)*(tblItems[ItemCode]&lt;&gt;""),ROW(tblItems[ItemCode])-MIN(ROW(tblItems[ItemCode]))+1),ROWS(W$6:W126))),"")</f>
        <v/>
      </c>
      <c r="X126" s="70">
        <f t="array" ref="X126">IFERROR(INDEX(tblItems[ItemCode],SMALL(IF((tblItems[Zone]=X$4)*(tblItems[ItemCode]&lt;&gt;""),ROW(tblItems[ItemCode])-MIN(ROW(tblItems[ItemCode]))+1),ROWS(X$6:X126))),"")</f>
        <v/>
      </c>
      <c r="Y126" s="70">
        <f t="array" ref="Y126">IFERROR(INDEX(tblItems[ItemCode],SMALL(IF((tblItems[Zone]=Y$4)*(tblItems[ItemCode]&lt;&gt;""),ROW(tblItems[ItemCode])-MIN(ROW(tblItems[ItemCode]))+1),ROWS(Y$6:Y126))),"")</f>
        <v/>
      </c>
      <c r="Z126" s="70">
        <f t="array" ref="Z126">IFERROR(INDEX(tblItems[ItemCode],SMALL(IF((tblItems[Zone]=Z$4)*(tblItems[ItemCode]&lt;&gt;""),ROW(tblItems[ItemCode])-MIN(ROW(tblItems[ItemCode]))+1),ROWS(Z$6:Z126))),"")</f>
        <v/>
      </c>
      <c r="AA126" s="70">
        <f t="array" ref="AA126">IFERROR(INDEX(tblItems[ItemCode],SMALL(IF((tblItems[Zone]=AA$4)*(tblItems[ItemCode]&lt;&gt;""),ROW(tblItems[ItemCode])-MIN(ROW(tblItems[ItemCode]))+1),ROWS(AA$6:AA126))),"")</f>
        <v/>
      </c>
      <c r="AB126" s="70">
        <f t="array" ref="AB126">IFERROR(INDEX(tblItems[ItemCode],SMALL(IF((tblItems[Zone]=AB$4)*(tblItems[ItemCode]&lt;&gt;""),ROW(tblItems[ItemCode])-MIN(ROW(tblItems[ItemCode]))+1),ROWS(AB$6:AB126))),"")</f>
        <v/>
      </c>
      <c r="AC126" s="70">
        <f t="array" ref="AC126">IFERROR(INDEX(tblItems[ItemCode],SMALL(IF((tblItems[Zone]=AC$4)*(tblItems[ItemCode]&lt;&gt;""),ROW(tblItems[ItemCode])-MIN(ROW(tblItems[ItemCode]))+1),ROWS(AC$6:AC126))),"")</f>
        <v/>
      </c>
      <c r="AD126" s="70">
        <f t="array" ref="AD126">IFERROR(INDEX(tblItems[ItemCode],SMALL(IF((tblItems[Zone]=AD$4)*(tblItems[ItemCode]&lt;&gt;""),ROW(tblItems[ItemCode])-MIN(ROW(tblItems[ItemCode]))+1),ROWS(AD$6:AD126))),"")</f>
        <v/>
      </c>
      <c r="AE126" s="70">
        <f t="array" ref="AE126">IFERROR(INDEX(tblItems[ItemCode],SMALL(IF((tblItems[Zone]=AE$4)*(tblItems[ItemCode]&lt;&gt;""),ROW(tblItems[ItemCode])-MIN(ROW(tblItems[ItemCode]))+1),ROWS(AE$6:AE126))),"")</f>
        <v/>
      </c>
    </row>
    <row r="127">
      <c r="T127" s="70">
        <f t="array" ref="T127">IFERROR(INDEX(tblItems[ItemCode],SMALL(IF(tblItems[ItemCode]&lt;&gt;"",ROW(tblItems[ItemCode])-MIN(ROW(tblItems[ItemCode]))+1),ROWS(T$6:T127))),"")</f>
        <v/>
      </c>
      <c r="U127" s="70">
        <f t="array" ref="U127">IFERROR(INDEX(tblItems[ItemCode],SMALL(IF((tblItems[Zone]=U$4)*(tblItems[ItemCode]&lt;&gt;""),ROW(tblItems[ItemCode])-MIN(ROW(tblItems[ItemCode]))+1),ROWS(U$6:U127))),"")</f>
        <v/>
      </c>
      <c r="V127" s="70">
        <f t="array" ref="V127">IFERROR(INDEX(tblItems[ItemCode],SMALL(IF((tblItems[Zone]=V$4)*(tblItems[ItemCode]&lt;&gt;""),ROW(tblItems[ItemCode])-MIN(ROW(tblItems[ItemCode]))+1),ROWS(V$6:V127))),"")</f>
        <v/>
      </c>
      <c r="W127" s="70">
        <f t="array" ref="W127">IFERROR(INDEX(tblItems[ItemCode],SMALL(IF((tblItems[Zone]=W$4)*(tblItems[ItemCode]&lt;&gt;""),ROW(tblItems[ItemCode])-MIN(ROW(tblItems[ItemCode]))+1),ROWS(W$6:W127))),"")</f>
        <v/>
      </c>
      <c r="X127" s="70">
        <f t="array" ref="X127">IFERROR(INDEX(tblItems[ItemCode],SMALL(IF((tblItems[Zone]=X$4)*(tblItems[ItemCode]&lt;&gt;""),ROW(tblItems[ItemCode])-MIN(ROW(tblItems[ItemCode]))+1),ROWS(X$6:X127))),"")</f>
        <v/>
      </c>
      <c r="Y127" s="70">
        <f t="array" ref="Y127">IFERROR(INDEX(tblItems[ItemCode],SMALL(IF((tblItems[Zone]=Y$4)*(tblItems[ItemCode]&lt;&gt;""),ROW(tblItems[ItemCode])-MIN(ROW(tblItems[ItemCode]))+1),ROWS(Y$6:Y127))),"")</f>
        <v/>
      </c>
      <c r="Z127" s="70">
        <f t="array" ref="Z127">IFERROR(INDEX(tblItems[ItemCode],SMALL(IF((tblItems[Zone]=Z$4)*(tblItems[ItemCode]&lt;&gt;""),ROW(tblItems[ItemCode])-MIN(ROW(tblItems[ItemCode]))+1),ROWS(Z$6:Z127))),"")</f>
        <v/>
      </c>
      <c r="AA127" s="70">
        <f t="array" ref="AA127">IFERROR(INDEX(tblItems[ItemCode],SMALL(IF((tblItems[Zone]=AA$4)*(tblItems[ItemCode]&lt;&gt;""),ROW(tblItems[ItemCode])-MIN(ROW(tblItems[ItemCode]))+1),ROWS(AA$6:AA127))),"")</f>
        <v/>
      </c>
      <c r="AB127" s="70">
        <f t="array" ref="AB127">IFERROR(INDEX(tblItems[ItemCode],SMALL(IF((tblItems[Zone]=AB$4)*(tblItems[ItemCode]&lt;&gt;""),ROW(tblItems[ItemCode])-MIN(ROW(tblItems[ItemCode]))+1),ROWS(AB$6:AB127))),"")</f>
        <v/>
      </c>
      <c r="AC127" s="70">
        <f t="array" ref="AC127">IFERROR(INDEX(tblItems[ItemCode],SMALL(IF((tblItems[Zone]=AC$4)*(tblItems[ItemCode]&lt;&gt;""),ROW(tblItems[ItemCode])-MIN(ROW(tblItems[ItemCode]))+1),ROWS(AC$6:AC127))),"")</f>
        <v/>
      </c>
      <c r="AD127" s="70">
        <f t="array" ref="AD127">IFERROR(INDEX(tblItems[ItemCode],SMALL(IF((tblItems[Zone]=AD$4)*(tblItems[ItemCode]&lt;&gt;""),ROW(tblItems[ItemCode])-MIN(ROW(tblItems[ItemCode]))+1),ROWS(AD$6:AD127))),"")</f>
        <v/>
      </c>
      <c r="AE127" s="70">
        <f t="array" ref="AE127">IFERROR(INDEX(tblItems[ItemCode],SMALL(IF((tblItems[Zone]=AE$4)*(tblItems[ItemCode]&lt;&gt;""),ROW(tblItems[ItemCode])-MIN(ROW(tblItems[ItemCode]))+1),ROWS(AE$6:AE127))),"")</f>
        <v/>
      </c>
    </row>
    <row r="128">
      <c r="T128" s="70">
        <f t="array" ref="T128">IFERROR(INDEX(tblItems[ItemCode],SMALL(IF(tblItems[ItemCode]&lt;&gt;"",ROW(tblItems[ItemCode])-MIN(ROW(tblItems[ItemCode]))+1),ROWS(T$6:T128))),"")</f>
        <v/>
      </c>
      <c r="U128" s="70">
        <f t="array" ref="U128">IFERROR(INDEX(tblItems[ItemCode],SMALL(IF((tblItems[Zone]=U$4)*(tblItems[ItemCode]&lt;&gt;""),ROW(tblItems[ItemCode])-MIN(ROW(tblItems[ItemCode]))+1),ROWS(U$6:U128))),"")</f>
        <v/>
      </c>
      <c r="V128" s="70">
        <f t="array" ref="V128">IFERROR(INDEX(tblItems[ItemCode],SMALL(IF((tblItems[Zone]=V$4)*(tblItems[ItemCode]&lt;&gt;""),ROW(tblItems[ItemCode])-MIN(ROW(tblItems[ItemCode]))+1),ROWS(V$6:V128))),"")</f>
        <v/>
      </c>
      <c r="W128" s="70">
        <f t="array" ref="W128">IFERROR(INDEX(tblItems[ItemCode],SMALL(IF((tblItems[Zone]=W$4)*(tblItems[ItemCode]&lt;&gt;""),ROW(tblItems[ItemCode])-MIN(ROW(tblItems[ItemCode]))+1),ROWS(W$6:W128))),"")</f>
        <v/>
      </c>
      <c r="X128" s="70">
        <f t="array" ref="X128">IFERROR(INDEX(tblItems[ItemCode],SMALL(IF((tblItems[Zone]=X$4)*(tblItems[ItemCode]&lt;&gt;""),ROW(tblItems[ItemCode])-MIN(ROW(tblItems[ItemCode]))+1),ROWS(X$6:X128))),"")</f>
        <v/>
      </c>
      <c r="Y128" s="70">
        <f t="array" ref="Y128">IFERROR(INDEX(tblItems[ItemCode],SMALL(IF((tblItems[Zone]=Y$4)*(tblItems[ItemCode]&lt;&gt;""),ROW(tblItems[ItemCode])-MIN(ROW(tblItems[ItemCode]))+1),ROWS(Y$6:Y128))),"")</f>
        <v/>
      </c>
      <c r="Z128" s="70">
        <f t="array" ref="Z128">IFERROR(INDEX(tblItems[ItemCode],SMALL(IF((tblItems[Zone]=Z$4)*(tblItems[ItemCode]&lt;&gt;""),ROW(tblItems[ItemCode])-MIN(ROW(tblItems[ItemCode]))+1),ROWS(Z$6:Z128))),"")</f>
        <v/>
      </c>
      <c r="AA128" s="70">
        <f t="array" ref="AA128">IFERROR(INDEX(tblItems[ItemCode],SMALL(IF((tblItems[Zone]=AA$4)*(tblItems[ItemCode]&lt;&gt;""),ROW(tblItems[ItemCode])-MIN(ROW(tblItems[ItemCode]))+1),ROWS(AA$6:AA128))),"")</f>
        <v/>
      </c>
      <c r="AB128" s="70">
        <f t="array" ref="AB128">IFERROR(INDEX(tblItems[ItemCode],SMALL(IF((tblItems[Zone]=AB$4)*(tblItems[ItemCode]&lt;&gt;""),ROW(tblItems[ItemCode])-MIN(ROW(tblItems[ItemCode]))+1),ROWS(AB$6:AB128))),"")</f>
        <v/>
      </c>
      <c r="AC128" s="70">
        <f t="array" ref="AC128">IFERROR(INDEX(tblItems[ItemCode],SMALL(IF((tblItems[Zone]=AC$4)*(tblItems[ItemCode]&lt;&gt;""),ROW(tblItems[ItemCode])-MIN(ROW(tblItems[ItemCode]))+1),ROWS(AC$6:AC128))),"")</f>
        <v/>
      </c>
      <c r="AD128" s="70">
        <f t="array" ref="AD128">IFERROR(INDEX(tblItems[ItemCode],SMALL(IF((tblItems[Zone]=AD$4)*(tblItems[ItemCode]&lt;&gt;""),ROW(tblItems[ItemCode])-MIN(ROW(tblItems[ItemCode]))+1),ROWS(AD$6:AD128))),"")</f>
        <v/>
      </c>
      <c r="AE128" s="70">
        <f t="array" ref="AE128">IFERROR(INDEX(tblItems[ItemCode],SMALL(IF((tblItems[Zone]=AE$4)*(tblItems[ItemCode]&lt;&gt;""),ROW(tblItems[ItemCode])-MIN(ROW(tblItems[ItemCode]))+1),ROWS(AE$6:AE128))),"")</f>
        <v/>
      </c>
    </row>
    <row r="129">
      <c r="T129" s="70">
        <f t="array" ref="T129">IFERROR(INDEX(tblItems[ItemCode],SMALL(IF(tblItems[ItemCode]&lt;&gt;"",ROW(tblItems[ItemCode])-MIN(ROW(tblItems[ItemCode]))+1),ROWS(T$6:T129))),"")</f>
        <v/>
      </c>
      <c r="U129" s="70">
        <f t="array" ref="U129">IFERROR(INDEX(tblItems[ItemCode],SMALL(IF((tblItems[Zone]=U$4)*(tblItems[ItemCode]&lt;&gt;""),ROW(tblItems[ItemCode])-MIN(ROW(tblItems[ItemCode]))+1),ROWS(U$6:U129))),"")</f>
        <v/>
      </c>
      <c r="V129" s="70">
        <f t="array" ref="V129">IFERROR(INDEX(tblItems[ItemCode],SMALL(IF((tblItems[Zone]=V$4)*(tblItems[ItemCode]&lt;&gt;""),ROW(tblItems[ItemCode])-MIN(ROW(tblItems[ItemCode]))+1),ROWS(V$6:V129))),"")</f>
        <v/>
      </c>
      <c r="W129" s="70">
        <f t="array" ref="W129">IFERROR(INDEX(tblItems[ItemCode],SMALL(IF((tblItems[Zone]=W$4)*(tblItems[ItemCode]&lt;&gt;""),ROW(tblItems[ItemCode])-MIN(ROW(tblItems[ItemCode]))+1),ROWS(W$6:W129))),"")</f>
        <v/>
      </c>
      <c r="X129" s="70">
        <f t="array" ref="X129">IFERROR(INDEX(tblItems[ItemCode],SMALL(IF((tblItems[Zone]=X$4)*(tblItems[ItemCode]&lt;&gt;""),ROW(tblItems[ItemCode])-MIN(ROW(tblItems[ItemCode]))+1),ROWS(X$6:X129))),"")</f>
        <v/>
      </c>
      <c r="Y129" s="70">
        <f t="array" ref="Y129">IFERROR(INDEX(tblItems[ItemCode],SMALL(IF((tblItems[Zone]=Y$4)*(tblItems[ItemCode]&lt;&gt;""),ROW(tblItems[ItemCode])-MIN(ROW(tblItems[ItemCode]))+1),ROWS(Y$6:Y129))),"")</f>
        <v/>
      </c>
      <c r="Z129" s="70">
        <f t="array" ref="Z129">IFERROR(INDEX(tblItems[ItemCode],SMALL(IF((tblItems[Zone]=Z$4)*(tblItems[ItemCode]&lt;&gt;""),ROW(tblItems[ItemCode])-MIN(ROW(tblItems[ItemCode]))+1),ROWS(Z$6:Z129))),"")</f>
        <v/>
      </c>
      <c r="AA129" s="70">
        <f t="array" ref="AA129">IFERROR(INDEX(tblItems[ItemCode],SMALL(IF((tblItems[Zone]=AA$4)*(tblItems[ItemCode]&lt;&gt;""),ROW(tblItems[ItemCode])-MIN(ROW(tblItems[ItemCode]))+1),ROWS(AA$6:AA129))),"")</f>
        <v/>
      </c>
      <c r="AB129" s="70">
        <f t="array" ref="AB129">IFERROR(INDEX(tblItems[ItemCode],SMALL(IF((tblItems[Zone]=AB$4)*(tblItems[ItemCode]&lt;&gt;""),ROW(tblItems[ItemCode])-MIN(ROW(tblItems[ItemCode]))+1),ROWS(AB$6:AB129))),"")</f>
        <v/>
      </c>
      <c r="AC129" s="70">
        <f t="array" ref="AC129">IFERROR(INDEX(tblItems[ItemCode],SMALL(IF((tblItems[Zone]=AC$4)*(tblItems[ItemCode]&lt;&gt;""),ROW(tblItems[ItemCode])-MIN(ROW(tblItems[ItemCode]))+1),ROWS(AC$6:AC129))),"")</f>
        <v/>
      </c>
      <c r="AD129" s="70">
        <f t="array" ref="AD129">IFERROR(INDEX(tblItems[ItemCode],SMALL(IF((tblItems[Zone]=AD$4)*(tblItems[ItemCode]&lt;&gt;""),ROW(tblItems[ItemCode])-MIN(ROW(tblItems[ItemCode]))+1),ROWS(AD$6:AD129))),"")</f>
        <v/>
      </c>
      <c r="AE129" s="70">
        <f t="array" ref="AE129">IFERROR(INDEX(tblItems[ItemCode],SMALL(IF((tblItems[Zone]=AE$4)*(tblItems[ItemCode]&lt;&gt;""),ROW(tblItems[ItemCode])-MIN(ROW(tblItems[ItemCode]))+1),ROWS(AE$6:AE129))),"")</f>
        <v/>
      </c>
    </row>
    <row r="130">
      <c r="T130" s="70">
        <f t="array" ref="T130">IFERROR(INDEX(tblItems[ItemCode],SMALL(IF(tblItems[ItemCode]&lt;&gt;"",ROW(tblItems[ItemCode])-MIN(ROW(tblItems[ItemCode]))+1),ROWS(T$6:T130))),"")</f>
        <v/>
      </c>
      <c r="U130" s="70">
        <f t="array" ref="U130">IFERROR(INDEX(tblItems[ItemCode],SMALL(IF((tblItems[Zone]=U$4)*(tblItems[ItemCode]&lt;&gt;""),ROW(tblItems[ItemCode])-MIN(ROW(tblItems[ItemCode]))+1),ROWS(U$6:U130))),"")</f>
        <v/>
      </c>
      <c r="V130" s="70">
        <f t="array" ref="V130">IFERROR(INDEX(tblItems[ItemCode],SMALL(IF((tblItems[Zone]=V$4)*(tblItems[ItemCode]&lt;&gt;""),ROW(tblItems[ItemCode])-MIN(ROW(tblItems[ItemCode]))+1),ROWS(V$6:V130))),"")</f>
        <v/>
      </c>
      <c r="W130" s="70">
        <f t="array" ref="W130">IFERROR(INDEX(tblItems[ItemCode],SMALL(IF((tblItems[Zone]=W$4)*(tblItems[ItemCode]&lt;&gt;""),ROW(tblItems[ItemCode])-MIN(ROW(tblItems[ItemCode]))+1),ROWS(W$6:W130))),"")</f>
        <v/>
      </c>
      <c r="X130" s="70">
        <f t="array" ref="X130">IFERROR(INDEX(tblItems[ItemCode],SMALL(IF((tblItems[Zone]=X$4)*(tblItems[ItemCode]&lt;&gt;""),ROW(tblItems[ItemCode])-MIN(ROW(tblItems[ItemCode]))+1),ROWS(X$6:X130))),"")</f>
        <v/>
      </c>
      <c r="Y130" s="70">
        <f t="array" ref="Y130">IFERROR(INDEX(tblItems[ItemCode],SMALL(IF((tblItems[Zone]=Y$4)*(tblItems[ItemCode]&lt;&gt;""),ROW(tblItems[ItemCode])-MIN(ROW(tblItems[ItemCode]))+1),ROWS(Y$6:Y130))),"")</f>
        <v/>
      </c>
      <c r="Z130" s="70">
        <f t="array" ref="Z130">IFERROR(INDEX(tblItems[ItemCode],SMALL(IF((tblItems[Zone]=Z$4)*(tblItems[ItemCode]&lt;&gt;""),ROW(tblItems[ItemCode])-MIN(ROW(tblItems[ItemCode]))+1),ROWS(Z$6:Z130))),"")</f>
        <v/>
      </c>
      <c r="AA130" s="70">
        <f t="array" ref="AA130">IFERROR(INDEX(tblItems[ItemCode],SMALL(IF((tblItems[Zone]=AA$4)*(tblItems[ItemCode]&lt;&gt;""),ROW(tblItems[ItemCode])-MIN(ROW(tblItems[ItemCode]))+1),ROWS(AA$6:AA130))),"")</f>
        <v/>
      </c>
      <c r="AB130" s="70">
        <f t="array" ref="AB130">IFERROR(INDEX(tblItems[ItemCode],SMALL(IF((tblItems[Zone]=AB$4)*(tblItems[ItemCode]&lt;&gt;""),ROW(tblItems[ItemCode])-MIN(ROW(tblItems[ItemCode]))+1),ROWS(AB$6:AB130))),"")</f>
        <v/>
      </c>
      <c r="AC130" s="70">
        <f t="array" ref="AC130">IFERROR(INDEX(tblItems[ItemCode],SMALL(IF((tblItems[Zone]=AC$4)*(tblItems[ItemCode]&lt;&gt;""),ROW(tblItems[ItemCode])-MIN(ROW(tblItems[ItemCode]))+1),ROWS(AC$6:AC130))),"")</f>
        <v/>
      </c>
      <c r="AD130" s="70">
        <f t="array" ref="AD130">IFERROR(INDEX(tblItems[ItemCode],SMALL(IF((tblItems[Zone]=AD$4)*(tblItems[ItemCode]&lt;&gt;""),ROW(tblItems[ItemCode])-MIN(ROW(tblItems[ItemCode]))+1),ROWS(AD$6:AD130))),"")</f>
        <v/>
      </c>
      <c r="AE130" s="70">
        <f t="array" ref="AE130">IFERROR(INDEX(tblItems[ItemCode],SMALL(IF((tblItems[Zone]=AE$4)*(tblItems[ItemCode]&lt;&gt;""),ROW(tblItems[ItemCode])-MIN(ROW(tblItems[ItemCode]))+1),ROWS(AE$6:AE130))),"")</f>
        <v/>
      </c>
    </row>
    <row r="131">
      <c r="T131" s="70">
        <f t="array" ref="T131">IFERROR(INDEX(tblItems[ItemCode],SMALL(IF(tblItems[ItemCode]&lt;&gt;"",ROW(tblItems[ItemCode])-MIN(ROW(tblItems[ItemCode]))+1),ROWS(T$6:T131))),"")</f>
        <v/>
      </c>
      <c r="U131" s="70">
        <f t="array" ref="U131">IFERROR(INDEX(tblItems[ItemCode],SMALL(IF((tblItems[Zone]=U$4)*(tblItems[ItemCode]&lt;&gt;""),ROW(tblItems[ItemCode])-MIN(ROW(tblItems[ItemCode]))+1),ROWS(U$6:U131))),"")</f>
        <v/>
      </c>
      <c r="V131" s="70">
        <f t="array" ref="V131">IFERROR(INDEX(tblItems[ItemCode],SMALL(IF((tblItems[Zone]=V$4)*(tblItems[ItemCode]&lt;&gt;""),ROW(tblItems[ItemCode])-MIN(ROW(tblItems[ItemCode]))+1),ROWS(V$6:V131))),"")</f>
        <v/>
      </c>
      <c r="W131" s="70">
        <f t="array" ref="W131">IFERROR(INDEX(tblItems[ItemCode],SMALL(IF((tblItems[Zone]=W$4)*(tblItems[ItemCode]&lt;&gt;""),ROW(tblItems[ItemCode])-MIN(ROW(tblItems[ItemCode]))+1),ROWS(W$6:W131))),"")</f>
        <v/>
      </c>
      <c r="X131" s="70">
        <f t="array" ref="X131">IFERROR(INDEX(tblItems[ItemCode],SMALL(IF((tblItems[Zone]=X$4)*(tblItems[ItemCode]&lt;&gt;""),ROW(tblItems[ItemCode])-MIN(ROW(tblItems[ItemCode]))+1),ROWS(X$6:X131))),"")</f>
        <v/>
      </c>
      <c r="Y131" s="70">
        <f t="array" ref="Y131">IFERROR(INDEX(tblItems[ItemCode],SMALL(IF((tblItems[Zone]=Y$4)*(tblItems[ItemCode]&lt;&gt;""),ROW(tblItems[ItemCode])-MIN(ROW(tblItems[ItemCode]))+1),ROWS(Y$6:Y131))),"")</f>
        <v/>
      </c>
      <c r="Z131" s="70">
        <f t="array" ref="Z131">IFERROR(INDEX(tblItems[ItemCode],SMALL(IF((tblItems[Zone]=Z$4)*(tblItems[ItemCode]&lt;&gt;""),ROW(tblItems[ItemCode])-MIN(ROW(tblItems[ItemCode]))+1),ROWS(Z$6:Z131))),"")</f>
        <v/>
      </c>
      <c r="AA131" s="70">
        <f t="array" ref="AA131">IFERROR(INDEX(tblItems[ItemCode],SMALL(IF((tblItems[Zone]=AA$4)*(tblItems[ItemCode]&lt;&gt;""),ROW(tblItems[ItemCode])-MIN(ROW(tblItems[ItemCode]))+1),ROWS(AA$6:AA131))),"")</f>
        <v/>
      </c>
      <c r="AB131" s="70">
        <f t="array" ref="AB131">IFERROR(INDEX(tblItems[ItemCode],SMALL(IF((tblItems[Zone]=AB$4)*(tblItems[ItemCode]&lt;&gt;""),ROW(tblItems[ItemCode])-MIN(ROW(tblItems[ItemCode]))+1),ROWS(AB$6:AB131))),"")</f>
        <v/>
      </c>
      <c r="AC131" s="70">
        <f t="array" ref="AC131">IFERROR(INDEX(tblItems[ItemCode],SMALL(IF((tblItems[Zone]=AC$4)*(tblItems[ItemCode]&lt;&gt;""),ROW(tblItems[ItemCode])-MIN(ROW(tblItems[ItemCode]))+1),ROWS(AC$6:AC131))),"")</f>
        <v/>
      </c>
      <c r="AD131" s="70">
        <f t="array" ref="AD131">IFERROR(INDEX(tblItems[ItemCode],SMALL(IF((tblItems[Zone]=AD$4)*(tblItems[ItemCode]&lt;&gt;""),ROW(tblItems[ItemCode])-MIN(ROW(tblItems[ItemCode]))+1),ROWS(AD$6:AD131))),"")</f>
        <v/>
      </c>
      <c r="AE131" s="70">
        <f t="array" ref="AE131">IFERROR(INDEX(tblItems[ItemCode],SMALL(IF((tblItems[Zone]=AE$4)*(tblItems[ItemCode]&lt;&gt;""),ROW(tblItems[ItemCode])-MIN(ROW(tblItems[ItemCode]))+1),ROWS(AE$6:AE131))),"")</f>
        <v/>
      </c>
    </row>
    <row r="132">
      <c r="T132" s="70">
        <f t="array" ref="T132">IFERROR(INDEX(tblItems[ItemCode],SMALL(IF(tblItems[ItemCode]&lt;&gt;"",ROW(tblItems[ItemCode])-MIN(ROW(tblItems[ItemCode]))+1),ROWS(T$6:T132))),"")</f>
        <v/>
      </c>
      <c r="U132" s="70">
        <f t="array" ref="U132">IFERROR(INDEX(tblItems[ItemCode],SMALL(IF((tblItems[Zone]=U$4)*(tblItems[ItemCode]&lt;&gt;""),ROW(tblItems[ItemCode])-MIN(ROW(tblItems[ItemCode]))+1),ROWS(U$6:U132))),"")</f>
        <v/>
      </c>
      <c r="V132" s="70">
        <f t="array" ref="V132">IFERROR(INDEX(tblItems[ItemCode],SMALL(IF((tblItems[Zone]=V$4)*(tblItems[ItemCode]&lt;&gt;""),ROW(tblItems[ItemCode])-MIN(ROW(tblItems[ItemCode]))+1),ROWS(V$6:V132))),"")</f>
        <v/>
      </c>
      <c r="W132" s="70">
        <f t="array" ref="W132">IFERROR(INDEX(tblItems[ItemCode],SMALL(IF((tblItems[Zone]=W$4)*(tblItems[ItemCode]&lt;&gt;""),ROW(tblItems[ItemCode])-MIN(ROW(tblItems[ItemCode]))+1),ROWS(W$6:W132))),"")</f>
        <v/>
      </c>
      <c r="X132" s="70">
        <f t="array" ref="X132">IFERROR(INDEX(tblItems[ItemCode],SMALL(IF((tblItems[Zone]=X$4)*(tblItems[ItemCode]&lt;&gt;""),ROW(tblItems[ItemCode])-MIN(ROW(tblItems[ItemCode]))+1),ROWS(X$6:X132))),"")</f>
        <v/>
      </c>
      <c r="Y132" s="70">
        <f t="array" ref="Y132">IFERROR(INDEX(tblItems[ItemCode],SMALL(IF((tblItems[Zone]=Y$4)*(tblItems[ItemCode]&lt;&gt;""),ROW(tblItems[ItemCode])-MIN(ROW(tblItems[ItemCode]))+1),ROWS(Y$6:Y132))),"")</f>
        <v/>
      </c>
      <c r="Z132" s="70">
        <f t="array" ref="Z132">IFERROR(INDEX(tblItems[ItemCode],SMALL(IF((tblItems[Zone]=Z$4)*(tblItems[ItemCode]&lt;&gt;""),ROW(tblItems[ItemCode])-MIN(ROW(tblItems[ItemCode]))+1),ROWS(Z$6:Z132))),"")</f>
        <v/>
      </c>
      <c r="AA132" s="70">
        <f t="array" ref="AA132">IFERROR(INDEX(tblItems[ItemCode],SMALL(IF((tblItems[Zone]=AA$4)*(tblItems[ItemCode]&lt;&gt;""),ROW(tblItems[ItemCode])-MIN(ROW(tblItems[ItemCode]))+1),ROWS(AA$6:AA132))),"")</f>
        <v/>
      </c>
      <c r="AB132" s="70">
        <f t="array" ref="AB132">IFERROR(INDEX(tblItems[ItemCode],SMALL(IF((tblItems[Zone]=AB$4)*(tblItems[ItemCode]&lt;&gt;""),ROW(tblItems[ItemCode])-MIN(ROW(tblItems[ItemCode]))+1),ROWS(AB$6:AB132))),"")</f>
        <v/>
      </c>
      <c r="AC132" s="70">
        <f t="array" ref="AC132">IFERROR(INDEX(tblItems[ItemCode],SMALL(IF((tblItems[Zone]=AC$4)*(tblItems[ItemCode]&lt;&gt;""),ROW(tblItems[ItemCode])-MIN(ROW(tblItems[ItemCode]))+1),ROWS(AC$6:AC132))),"")</f>
        <v/>
      </c>
      <c r="AD132" s="70">
        <f t="array" ref="AD132">IFERROR(INDEX(tblItems[ItemCode],SMALL(IF((tblItems[Zone]=AD$4)*(tblItems[ItemCode]&lt;&gt;""),ROW(tblItems[ItemCode])-MIN(ROW(tblItems[ItemCode]))+1),ROWS(AD$6:AD132))),"")</f>
        <v/>
      </c>
      <c r="AE132" s="70">
        <f t="array" ref="AE132">IFERROR(INDEX(tblItems[ItemCode],SMALL(IF((tblItems[Zone]=AE$4)*(tblItems[ItemCode]&lt;&gt;""),ROW(tblItems[ItemCode])-MIN(ROW(tblItems[ItemCode]))+1),ROWS(AE$6:AE132))),"")</f>
        <v/>
      </c>
    </row>
    <row r="133">
      <c r="T133" s="70">
        <f t="array" ref="T133">IFERROR(INDEX(tblItems[ItemCode],SMALL(IF(tblItems[ItemCode]&lt;&gt;"",ROW(tblItems[ItemCode])-MIN(ROW(tblItems[ItemCode]))+1),ROWS(T$6:T133))),"")</f>
        <v/>
      </c>
      <c r="U133" s="70">
        <f t="array" ref="U133">IFERROR(INDEX(tblItems[ItemCode],SMALL(IF((tblItems[Zone]=U$4)*(tblItems[ItemCode]&lt;&gt;""),ROW(tblItems[ItemCode])-MIN(ROW(tblItems[ItemCode]))+1),ROWS(U$6:U133))),"")</f>
        <v/>
      </c>
      <c r="V133" s="70">
        <f t="array" ref="V133">IFERROR(INDEX(tblItems[ItemCode],SMALL(IF((tblItems[Zone]=V$4)*(tblItems[ItemCode]&lt;&gt;""),ROW(tblItems[ItemCode])-MIN(ROW(tblItems[ItemCode]))+1),ROWS(V$6:V133))),"")</f>
        <v/>
      </c>
      <c r="W133" s="70">
        <f t="array" ref="W133">IFERROR(INDEX(tblItems[ItemCode],SMALL(IF((tblItems[Zone]=W$4)*(tblItems[ItemCode]&lt;&gt;""),ROW(tblItems[ItemCode])-MIN(ROW(tblItems[ItemCode]))+1),ROWS(W$6:W133))),"")</f>
        <v/>
      </c>
      <c r="X133" s="70">
        <f t="array" ref="X133">IFERROR(INDEX(tblItems[ItemCode],SMALL(IF((tblItems[Zone]=X$4)*(tblItems[ItemCode]&lt;&gt;""),ROW(tblItems[ItemCode])-MIN(ROW(tblItems[ItemCode]))+1),ROWS(X$6:X133))),"")</f>
        <v/>
      </c>
      <c r="Y133" s="70">
        <f t="array" ref="Y133">IFERROR(INDEX(tblItems[ItemCode],SMALL(IF((tblItems[Zone]=Y$4)*(tblItems[ItemCode]&lt;&gt;""),ROW(tblItems[ItemCode])-MIN(ROW(tblItems[ItemCode]))+1),ROWS(Y$6:Y133))),"")</f>
        <v/>
      </c>
      <c r="Z133" s="70">
        <f t="array" ref="Z133">IFERROR(INDEX(tblItems[ItemCode],SMALL(IF((tblItems[Zone]=Z$4)*(tblItems[ItemCode]&lt;&gt;""),ROW(tblItems[ItemCode])-MIN(ROW(tblItems[ItemCode]))+1),ROWS(Z$6:Z133))),"")</f>
        <v/>
      </c>
      <c r="AA133" s="70">
        <f t="array" ref="AA133">IFERROR(INDEX(tblItems[ItemCode],SMALL(IF((tblItems[Zone]=AA$4)*(tblItems[ItemCode]&lt;&gt;""),ROW(tblItems[ItemCode])-MIN(ROW(tblItems[ItemCode]))+1),ROWS(AA$6:AA133))),"")</f>
        <v/>
      </c>
      <c r="AB133" s="70">
        <f t="array" ref="AB133">IFERROR(INDEX(tblItems[ItemCode],SMALL(IF((tblItems[Zone]=AB$4)*(tblItems[ItemCode]&lt;&gt;""),ROW(tblItems[ItemCode])-MIN(ROW(tblItems[ItemCode]))+1),ROWS(AB$6:AB133))),"")</f>
        <v/>
      </c>
      <c r="AC133" s="70">
        <f t="array" ref="AC133">IFERROR(INDEX(tblItems[ItemCode],SMALL(IF((tblItems[Zone]=AC$4)*(tblItems[ItemCode]&lt;&gt;""),ROW(tblItems[ItemCode])-MIN(ROW(tblItems[ItemCode]))+1),ROWS(AC$6:AC133))),"")</f>
        <v/>
      </c>
      <c r="AD133" s="70">
        <f t="array" ref="AD133">IFERROR(INDEX(tblItems[ItemCode],SMALL(IF((tblItems[Zone]=AD$4)*(tblItems[ItemCode]&lt;&gt;""),ROW(tblItems[ItemCode])-MIN(ROW(tblItems[ItemCode]))+1),ROWS(AD$6:AD133))),"")</f>
        <v/>
      </c>
      <c r="AE133" s="70">
        <f t="array" ref="AE133">IFERROR(INDEX(tblItems[ItemCode],SMALL(IF((tblItems[Zone]=AE$4)*(tblItems[ItemCode]&lt;&gt;""),ROW(tblItems[ItemCode])-MIN(ROW(tblItems[ItemCode]))+1),ROWS(AE$6:AE133))),"")</f>
        <v/>
      </c>
    </row>
    <row r="134">
      <c r="T134" s="70">
        <f t="array" ref="T134">IFERROR(INDEX(tblItems[ItemCode],SMALL(IF(tblItems[ItemCode]&lt;&gt;"",ROW(tblItems[ItemCode])-MIN(ROW(tblItems[ItemCode]))+1),ROWS(T$6:T134))),"")</f>
        <v/>
      </c>
      <c r="U134" s="70">
        <f t="array" ref="U134">IFERROR(INDEX(tblItems[ItemCode],SMALL(IF((tblItems[Zone]=U$4)*(tblItems[ItemCode]&lt;&gt;""),ROW(tblItems[ItemCode])-MIN(ROW(tblItems[ItemCode]))+1),ROWS(U$6:U134))),"")</f>
        <v/>
      </c>
      <c r="V134" s="70">
        <f t="array" ref="V134">IFERROR(INDEX(tblItems[ItemCode],SMALL(IF((tblItems[Zone]=V$4)*(tblItems[ItemCode]&lt;&gt;""),ROW(tblItems[ItemCode])-MIN(ROW(tblItems[ItemCode]))+1),ROWS(V$6:V134))),"")</f>
        <v/>
      </c>
      <c r="W134" s="70">
        <f t="array" ref="W134">IFERROR(INDEX(tblItems[ItemCode],SMALL(IF((tblItems[Zone]=W$4)*(tblItems[ItemCode]&lt;&gt;""),ROW(tblItems[ItemCode])-MIN(ROW(tblItems[ItemCode]))+1),ROWS(W$6:W134))),"")</f>
        <v/>
      </c>
      <c r="X134" s="70">
        <f t="array" ref="X134">IFERROR(INDEX(tblItems[ItemCode],SMALL(IF((tblItems[Zone]=X$4)*(tblItems[ItemCode]&lt;&gt;""),ROW(tblItems[ItemCode])-MIN(ROW(tblItems[ItemCode]))+1),ROWS(X$6:X134))),"")</f>
        <v/>
      </c>
      <c r="Y134" s="70">
        <f t="array" ref="Y134">IFERROR(INDEX(tblItems[ItemCode],SMALL(IF((tblItems[Zone]=Y$4)*(tblItems[ItemCode]&lt;&gt;""),ROW(tblItems[ItemCode])-MIN(ROW(tblItems[ItemCode]))+1),ROWS(Y$6:Y134))),"")</f>
        <v/>
      </c>
      <c r="Z134" s="70">
        <f t="array" ref="Z134">IFERROR(INDEX(tblItems[ItemCode],SMALL(IF((tblItems[Zone]=Z$4)*(tblItems[ItemCode]&lt;&gt;""),ROW(tblItems[ItemCode])-MIN(ROW(tblItems[ItemCode]))+1),ROWS(Z$6:Z134))),"")</f>
        <v/>
      </c>
      <c r="AA134" s="70">
        <f t="array" ref="AA134">IFERROR(INDEX(tblItems[ItemCode],SMALL(IF((tblItems[Zone]=AA$4)*(tblItems[ItemCode]&lt;&gt;""),ROW(tblItems[ItemCode])-MIN(ROW(tblItems[ItemCode]))+1),ROWS(AA$6:AA134))),"")</f>
        <v/>
      </c>
      <c r="AB134" s="70">
        <f t="array" ref="AB134">IFERROR(INDEX(tblItems[ItemCode],SMALL(IF((tblItems[Zone]=AB$4)*(tblItems[ItemCode]&lt;&gt;""),ROW(tblItems[ItemCode])-MIN(ROW(tblItems[ItemCode]))+1),ROWS(AB$6:AB134))),"")</f>
        <v/>
      </c>
      <c r="AC134" s="70">
        <f t="array" ref="AC134">IFERROR(INDEX(tblItems[ItemCode],SMALL(IF((tblItems[Zone]=AC$4)*(tblItems[ItemCode]&lt;&gt;""),ROW(tblItems[ItemCode])-MIN(ROW(tblItems[ItemCode]))+1),ROWS(AC$6:AC134))),"")</f>
        <v/>
      </c>
      <c r="AD134" s="70">
        <f t="array" ref="AD134">IFERROR(INDEX(tblItems[ItemCode],SMALL(IF((tblItems[Zone]=AD$4)*(tblItems[ItemCode]&lt;&gt;""),ROW(tblItems[ItemCode])-MIN(ROW(tblItems[ItemCode]))+1),ROWS(AD$6:AD134))),"")</f>
        <v/>
      </c>
      <c r="AE134" s="70">
        <f t="array" ref="AE134">IFERROR(INDEX(tblItems[ItemCode],SMALL(IF((tblItems[Zone]=AE$4)*(tblItems[ItemCode]&lt;&gt;""),ROW(tblItems[ItemCode])-MIN(ROW(tblItems[ItemCode]))+1),ROWS(AE$6:AE134))),"")</f>
        <v/>
      </c>
    </row>
    <row r="135">
      <c r="T135" s="70">
        <f t="array" ref="T135">IFERROR(INDEX(tblItems[ItemCode],SMALL(IF(tblItems[ItemCode]&lt;&gt;"",ROW(tblItems[ItemCode])-MIN(ROW(tblItems[ItemCode]))+1),ROWS(T$6:T135))),"")</f>
        <v/>
      </c>
      <c r="U135" s="70">
        <f t="array" ref="U135">IFERROR(INDEX(tblItems[ItemCode],SMALL(IF((tblItems[Zone]=U$4)*(tblItems[ItemCode]&lt;&gt;""),ROW(tblItems[ItemCode])-MIN(ROW(tblItems[ItemCode]))+1),ROWS(U$6:U135))),"")</f>
        <v/>
      </c>
      <c r="V135" s="70">
        <f t="array" ref="V135">IFERROR(INDEX(tblItems[ItemCode],SMALL(IF((tblItems[Zone]=V$4)*(tblItems[ItemCode]&lt;&gt;""),ROW(tblItems[ItemCode])-MIN(ROW(tblItems[ItemCode]))+1),ROWS(V$6:V135))),"")</f>
        <v/>
      </c>
      <c r="W135" s="70">
        <f t="array" ref="W135">IFERROR(INDEX(tblItems[ItemCode],SMALL(IF((tblItems[Zone]=W$4)*(tblItems[ItemCode]&lt;&gt;""),ROW(tblItems[ItemCode])-MIN(ROW(tblItems[ItemCode]))+1),ROWS(W$6:W135))),"")</f>
        <v/>
      </c>
      <c r="X135" s="70">
        <f t="array" ref="X135">IFERROR(INDEX(tblItems[ItemCode],SMALL(IF((tblItems[Zone]=X$4)*(tblItems[ItemCode]&lt;&gt;""),ROW(tblItems[ItemCode])-MIN(ROW(tblItems[ItemCode]))+1),ROWS(X$6:X135))),"")</f>
        <v/>
      </c>
      <c r="Y135" s="70">
        <f t="array" ref="Y135">IFERROR(INDEX(tblItems[ItemCode],SMALL(IF((tblItems[Zone]=Y$4)*(tblItems[ItemCode]&lt;&gt;""),ROW(tblItems[ItemCode])-MIN(ROW(tblItems[ItemCode]))+1),ROWS(Y$6:Y135))),"")</f>
        <v/>
      </c>
      <c r="Z135" s="70">
        <f t="array" ref="Z135">IFERROR(INDEX(tblItems[ItemCode],SMALL(IF((tblItems[Zone]=Z$4)*(tblItems[ItemCode]&lt;&gt;""),ROW(tblItems[ItemCode])-MIN(ROW(tblItems[ItemCode]))+1),ROWS(Z$6:Z135))),"")</f>
        <v/>
      </c>
      <c r="AA135" s="70">
        <f t="array" ref="AA135">IFERROR(INDEX(tblItems[ItemCode],SMALL(IF((tblItems[Zone]=AA$4)*(tblItems[ItemCode]&lt;&gt;""),ROW(tblItems[ItemCode])-MIN(ROW(tblItems[ItemCode]))+1),ROWS(AA$6:AA135))),"")</f>
        <v/>
      </c>
      <c r="AB135" s="70">
        <f t="array" ref="AB135">IFERROR(INDEX(tblItems[ItemCode],SMALL(IF((tblItems[Zone]=AB$4)*(tblItems[ItemCode]&lt;&gt;""),ROW(tblItems[ItemCode])-MIN(ROW(tblItems[ItemCode]))+1),ROWS(AB$6:AB135))),"")</f>
        <v/>
      </c>
      <c r="AC135" s="70">
        <f t="array" ref="AC135">IFERROR(INDEX(tblItems[ItemCode],SMALL(IF((tblItems[Zone]=AC$4)*(tblItems[ItemCode]&lt;&gt;""),ROW(tblItems[ItemCode])-MIN(ROW(tblItems[ItemCode]))+1),ROWS(AC$6:AC135))),"")</f>
        <v/>
      </c>
      <c r="AD135" s="70">
        <f t="array" ref="AD135">IFERROR(INDEX(tblItems[ItemCode],SMALL(IF((tblItems[Zone]=AD$4)*(tblItems[ItemCode]&lt;&gt;""),ROW(tblItems[ItemCode])-MIN(ROW(tblItems[ItemCode]))+1),ROWS(AD$6:AD135))),"")</f>
        <v/>
      </c>
      <c r="AE135" s="70">
        <f t="array" ref="AE135">IFERROR(INDEX(tblItems[ItemCode],SMALL(IF((tblItems[Zone]=AE$4)*(tblItems[ItemCode]&lt;&gt;""),ROW(tblItems[ItemCode])-MIN(ROW(tblItems[ItemCode]))+1),ROWS(AE$6:AE135))),"")</f>
        <v/>
      </c>
    </row>
    <row r="136">
      <c r="T136" s="70">
        <f t="array" ref="T136">IFERROR(INDEX(tblItems[ItemCode],SMALL(IF(tblItems[ItemCode]&lt;&gt;"",ROW(tblItems[ItemCode])-MIN(ROW(tblItems[ItemCode]))+1),ROWS(T$6:T136))),"")</f>
        <v/>
      </c>
      <c r="U136" s="70">
        <f t="array" ref="U136">IFERROR(INDEX(tblItems[ItemCode],SMALL(IF((tblItems[Zone]=U$4)*(tblItems[ItemCode]&lt;&gt;""),ROW(tblItems[ItemCode])-MIN(ROW(tblItems[ItemCode]))+1),ROWS(U$6:U136))),"")</f>
        <v/>
      </c>
      <c r="V136" s="70">
        <f t="array" ref="V136">IFERROR(INDEX(tblItems[ItemCode],SMALL(IF((tblItems[Zone]=V$4)*(tblItems[ItemCode]&lt;&gt;""),ROW(tblItems[ItemCode])-MIN(ROW(tblItems[ItemCode]))+1),ROWS(V$6:V136))),"")</f>
        <v/>
      </c>
      <c r="W136" s="70">
        <f t="array" ref="W136">IFERROR(INDEX(tblItems[ItemCode],SMALL(IF((tblItems[Zone]=W$4)*(tblItems[ItemCode]&lt;&gt;""),ROW(tblItems[ItemCode])-MIN(ROW(tblItems[ItemCode]))+1),ROWS(W$6:W136))),"")</f>
        <v/>
      </c>
      <c r="X136" s="70">
        <f t="array" ref="X136">IFERROR(INDEX(tblItems[ItemCode],SMALL(IF((tblItems[Zone]=X$4)*(tblItems[ItemCode]&lt;&gt;""),ROW(tblItems[ItemCode])-MIN(ROW(tblItems[ItemCode]))+1),ROWS(X$6:X136))),"")</f>
        <v/>
      </c>
      <c r="Y136" s="70">
        <f t="array" ref="Y136">IFERROR(INDEX(tblItems[ItemCode],SMALL(IF((tblItems[Zone]=Y$4)*(tblItems[ItemCode]&lt;&gt;""),ROW(tblItems[ItemCode])-MIN(ROW(tblItems[ItemCode]))+1),ROWS(Y$6:Y136))),"")</f>
        <v/>
      </c>
      <c r="Z136" s="70">
        <f t="array" ref="Z136">IFERROR(INDEX(tblItems[ItemCode],SMALL(IF((tblItems[Zone]=Z$4)*(tblItems[ItemCode]&lt;&gt;""),ROW(tblItems[ItemCode])-MIN(ROW(tblItems[ItemCode]))+1),ROWS(Z$6:Z136))),"")</f>
        <v/>
      </c>
      <c r="AA136" s="70">
        <f t="array" ref="AA136">IFERROR(INDEX(tblItems[ItemCode],SMALL(IF((tblItems[Zone]=AA$4)*(tblItems[ItemCode]&lt;&gt;""),ROW(tblItems[ItemCode])-MIN(ROW(tblItems[ItemCode]))+1),ROWS(AA$6:AA136))),"")</f>
        <v/>
      </c>
      <c r="AB136" s="70">
        <f t="array" ref="AB136">IFERROR(INDEX(tblItems[ItemCode],SMALL(IF((tblItems[Zone]=AB$4)*(tblItems[ItemCode]&lt;&gt;""),ROW(tblItems[ItemCode])-MIN(ROW(tblItems[ItemCode]))+1),ROWS(AB$6:AB136))),"")</f>
        <v/>
      </c>
      <c r="AC136" s="70">
        <f t="array" ref="AC136">IFERROR(INDEX(tblItems[ItemCode],SMALL(IF((tblItems[Zone]=AC$4)*(tblItems[ItemCode]&lt;&gt;""),ROW(tblItems[ItemCode])-MIN(ROW(tblItems[ItemCode]))+1),ROWS(AC$6:AC136))),"")</f>
        <v/>
      </c>
      <c r="AD136" s="70">
        <f t="array" ref="AD136">IFERROR(INDEX(tblItems[ItemCode],SMALL(IF((tblItems[Zone]=AD$4)*(tblItems[ItemCode]&lt;&gt;""),ROW(tblItems[ItemCode])-MIN(ROW(tblItems[ItemCode]))+1),ROWS(AD$6:AD136))),"")</f>
        <v/>
      </c>
      <c r="AE136" s="70">
        <f t="array" ref="AE136">IFERROR(INDEX(tblItems[ItemCode],SMALL(IF((tblItems[Zone]=AE$4)*(tblItems[ItemCode]&lt;&gt;""),ROW(tblItems[ItemCode])-MIN(ROW(tblItems[ItemCode]))+1),ROWS(AE$6:AE136))),"")</f>
        <v/>
      </c>
    </row>
    <row r="137">
      <c r="T137" s="70">
        <f t="array" ref="T137">IFERROR(INDEX(tblItems[ItemCode],SMALL(IF(tblItems[ItemCode]&lt;&gt;"",ROW(tblItems[ItemCode])-MIN(ROW(tblItems[ItemCode]))+1),ROWS(T$6:T137))),"")</f>
        <v/>
      </c>
      <c r="U137" s="70">
        <f t="array" ref="U137">IFERROR(INDEX(tblItems[ItemCode],SMALL(IF((tblItems[Zone]=U$4)*(tblItems[ItemCode]&lt;&gt;""),ROW(tblItems[ItemCode])-MIN(ROW(tblItems[ItemCode]))+1),ROWS(U$6:U137))),"")</f>
        <v/>
      </c>
      <c r="V137" s="70">
        <f t="array" ref="V137">IFERROR(INDEX(tblItems[ItemCode],SMALL(IF((tblItems[Zone]=V$4)*(tblItems[ItemCode]&lt;&gt;""),ROW(tblItems[ItemCode])-MIN(ROW(tblItems[ItemCode]))+1),ROWS(V$6:V137))),"")</f>
        <v/>
      </c>
      <c r="W137" s="70">
        <f t="array" ref="W137">IFERROR(INDEX(tblItems[ItemCode],SMALL(IF((tblItems[Zone]=W$4)*(tblItems[ItemCode]&lt;&gt;""),ROW(tblItems[ItemCode])-MIN(ROW(tblItems[ItemCode]))+1),ROWS(W$6:W137))),"")</f>
        <v/>
      </c>
      <c r="X137" s="70">
        <f t="array" ref="X137">IFERROR(INDEX(tblItems[ItemCode],SMALL(IF((tblItems[Zone]=X$4)*(tblItems[ItemCode]&lt;&gt;""),ROW(tblItems[ItemCode])-MIN(ROW(tblItems[ItemCode]))+1),ROWS(X$6:X137))),"")</f>
        <v/>
      </c>
      <c r="Y137" s="70">
        <f t="array" ref="Y137">IFERROR(INDEX(tblItems[ItemCode],SMALL(IF((tblItems[Zone]=Y$4)*(tblItems[ItemCode]&lt;&gt;""),ROW(tblItems[ItemCode])-MIN(ROW(tblItems[ItemCode]))+1),ROWS(Y$6:Y137))),"")</f>
        <v/>
      </c>
      <c r="Z137" s="70">
        <f t="array" ref="Z137">IFERROR(INDEX(tblItems[ItemCode],SMALL(IF((tblItems[Zone]=Z$4)*(tblItems[ItemCode]&lt;&gt;""),ROW(tblItems[ItemCode])-MIN(ROW(tblItems[ItemCode]))+1),ROWS(Z$6:Z137))),"")</f>
        <v/>
      </c>
      <c r="AA137" s="70">
        <f t="array" ref="AA137">IFERROR(INDEX(tblItems[ItemCode],SMALL(IF((tblItems[Zone]=AA$4)*(tblItems[ItemCode]&lt;&gt;""),ROW(tblItems[ItemCode])-MIN(ROW(tblItems[ItemCode]))+1),ROWS(AA$6:AA137))),"")</f>
        <v/>
      </c>
      <c r="AB137" s="70">
        <f t="array" ref="AB137">IFERROR(INDEX(tblItems[ItemCode],SMALL(IF((tblItems[Zone]=AB$4)*(tblItems[ItemCode]&lt;&gt;""),ROW(tblItems[ItemCode])-MIN(ROW(tblItems[ItemCode]))+1),ROWS(AB$6:AB137))),"")</f>
        <v/>
      </c>
      <c r="AC137" s="70">
        <f t="array" ref="AC137">IFERROR(INDEX(tblItems[ItemCode],SMALL(IF((tblItems[Zone]=AC$4)*(tblItems[ItemCode]&lt;&gt;""),ROW(tblItems[ItemCode])-MIN(ROW(tblItems[ItemCode]))+1),ROWS(AC$6:AC137))),"")</f>
        <v/>
      </c>
      <c r="AD137" s="70">
        <f t="array" ref="AD137">IFERROR(INDEX(tblItems[ItemCode],SMALL(IF((tblItems[Zone]=AD$4)*(tblItems[ItemCode]&lt;&gt;""),ROW(tblItems[ItemCode])-MIN(ROW(tblItems[ItemCode]))+1),ROWS(AD$6:AD137))),"")</f>
        <v/>
      </c>
      <c r="AE137" s="70">
        <f t="array" ref="AE137">IFERROR(INDEX(tblItems[ItemCode],SMALL(IF((tblItems[Zone]=AE$4)*(tblItems[ItemCode]&lt;&gt;""),ROW(tblItems[ItemCode])-MIN(ROW(tblItems[ItemCode]))+1),ROWS(AE$6:AE137))),"")</f>
        <v/>
      </c>
    </row>
    <row r="138">
      <c r="T138" s="70">
        <f t="array" ref="T138">IFERROR(INDEX(tblItems[ItemCode],SMALL(IF(tblItems[ItemCode]&lt;&gt;"",ROW(tblItems[ItemCode])-MIN(ROW(tblItems[ItemCode]))+1),ROWS(T$6:T138))),"")</f>
        <v/>
      </c>
      <c r="U138" s="70">
        <f t="array" ref="U138">IFERROR(INDEX(tblItems[ItemCode],SMALL(IF((tblItems[Zone]=U$4)*(tblItems[ItemCode]&lt;&gt;""),ROW(tblItems[ItemCode])-MIN(ROW(tblItems[ItemCode]))+1),ROWS(U$6:U138))),"")</f>
        <v/>
      </c>
      <c r="V138" s="70">
        <f t="array" ref="V138">IFERROR(INDEX(tblItems[ItemCode],SMALL(IF((tblItems[Zone]=V$4)*(tblItems[ItemCode]&lt;&gt;""),ROW(tblItems[ItemCode])-MIN(ROW(tblItems[ItemCode]))+1),ROWS(V$6:V138))),"")</f>
        <v/>
      </c>
      <c r="W138" s="70">
        <f t="array" ref="W138">IFERROR(INDEX(tblItems[ItemCode],SMALL(IF((tblItems[Zone]=W$4)*(tblItems[ItemCode]&lt;&gt;""),ROW(tblItems[ItemCode])-MIN(ROW(tblItems[ItemCode]))+1),ROWS(W$6:W138))),"")</f>
        <v/>
      </c>
      <c r="X138" s="70">
        <f t="array" ref="X138">IFERROR(INDEX(tblItems[ItemCode],SMALL(IF((tblItems[Zone]=X$4)*(tblItems[ItemCode]&lt;&gt;""),ROW(tblItems[ItemCode])-MIN(ROW(tblItems[ItemCode]))+1),ROWS(X$6:X138))),"")</f>
        <v/>
      </c>
      <c r="Y138" s="70">
        <f t="array" ref="Y138">IFERROR(INDEX(tblItems[ItemCode],SMALL(IF((tblItems[Zone]=Y$4)*(tblItems[ItemCode]&lt;&gt;""),ROW(tblItems[ItemCode])-MIN(ROW(tblItems[ItemCode]))+1),ROWS(Y$6:Y138))),"")</f>
        <v/>
      </c>
      <c r="Z138" s="70">
        <f t="array" ref="Z138">IFERROR(INDEX(tblItems[ItemCode],SMALL(IF((tblItems[Zone]=Z$4)*(tblItems[ItemCode]&lt;&gt;""),ROW(tblItems[ItemCode])-MIN(ROW(tblItems[ItemCode]))+1),ROWS(Z$6:Z138))),"")</f>
        <v/>
      </c>
      <c r="AA138" s="70">
        <f t="array" ref="AA138">IFERROR(INDEX(tblItems[ItemCode],SMALL(IF((tblItems[Zone]=AA$4)*(tblItems[ItemCode]&lt;&gt;""),ROW(tblItems[ItemCode])-MIN(ROW(tblItems[ItemCode]))+1),ROWS(AA$6:AA138))),"")</f>
        <v/>
      </c>
      <c r="AB138" s="70">
        <f t="array" ref="AB138">IFERROR(INDEX(tblItems[ItemCode],SMALL(IF((tblItems[Zone]=AB$4)*(tblItems[ItemCode]&lt;&gt;""),ROW(tblItems[ItemCode])-MIN(ROW(tblItems[ItemCode]))+1),ROWS(AB$6:AB138))),"")</f>
        <v/>
      </c>
      <c r="AC138" s="70">
        <f t="array" ref="AC138">IFERROR(INDEX(tblItems[ItemCode],SMALL(IF((tblItems[Zone]=AC$4)*(tblItems[ItemCode]&lt;&gt;""),ROW(tblItems[ItemCode])-MIN(ROW(tblItems[ItemCode]))+1),ROWS(AC$6:AC138))),"")</f>
        <v/>
      </c>
      <c r="AD138" s="70">
        <f t="array" ref="AD138">IFERROR(INDEX(tblItems[ItemCode],SMALL(IF((tblItems[Zone]=AD$4)*(tblItems[ItemCode]&lt;&gt;""),ROW(tblItems[ItemCode])-MIN(ROW(tblItems[ItemCode]))+1),ROWS(AD$6:AD138))),"")</f>
        <v/>
      </c>
      <c r="AE138" s="70">
        <f t="array" ref="AE138">IFERROR(INDEX(tblItems[ItemCode],SMALL(IF((tblItems[Zone]=AE$4)*(tblItems[ItemCode]&lt;&gt;""),ROW(tblItems[ItemCode])-MIN(ROW(tblItems[ItemCode]))+1),ROWS(AE$6:AE138))),"")</f>
        <v/>
      </c>
    </row>
    <row r="139">
      <c r="T139" s="70">
        <f t="array" ref="T139">IFERROR(INDEX(tblItems[ItemCode],SMALL(IF(tblItems[ItemCode]&lt;&gt;"",ROW(tblItems[ItemCode])-MIN(ROW(tblItems[ItemCode]))+1),ROWS(T$6:T139))),"")</f>
        <v/>
      </c>
      <c r="U139" s="70">
        <f t="array" ref="U139">IFERROR(INDEX(tblItems[ItemCode],SMALL(IF((tblItems[Zone]=U$4)*(tblItems[ItemCode]&lt;&gt;""),ROW(tblItems[ItemCode])-MIN(ROW(tblItems[ItemCode]))+1),ROWS(U$6:U139))),"")</f>
        <v/>
      </c>
      <c r="V139" s="70">
        <f t="array" ref="V139">IFERROR(INDEX(tblItems[ItemCode],SMALL(IF((tblItems[Zone]=V$4)*(tblItems[ItemCode]&lt;&gt;""),ROW(tblItems[ItemCode])-MIN(ROW(tblItems[ItemCode]))+1),ROWS(V$6:V139))),"")</f>
        <v/>
      </c>
      <c r="W139" s="70">
        <f t="array" ref="W139">IFERROR(INDEX(tblItems[ItemCode],SMALL(IF((tblItems[Zone]=W$4)*(tblItems[ItemCode]&lt;&gt;""),ROW(tblItems[ItemCode])-MIN(ROW(tblItems[ItemCode]))+1),ROWS(W$6:W139))),"")</f>
        <v/>
      </c>
      <c r="X139" s="70">
        <f t="array" ref="X139">IFERROR(INDEX(tblItems[ItemCode],SMALL(IF((tblItems[Zone]=X$4)*(tblItems[ItemCode]&lt;&gt;""),ROW(tblItems[ItemCode])-MIN(ROW(tblItems[ItemCode]))+1),ROWS(X$6:X139))),"")</f>
        <v/>
      </c>
      <c r="Y139" s="70">
        <f t="array" ref="Y139">IFERROR(INDEX(tblItems[ItemCode],SMALL(IF((tblItems[Zone]=Y$4)*(tblItems[ItemCode]&lt;&gt;""),ROW(tblItems[ItemCode])-MIN(ROW(tblItems[ItemCode]))+1),ROWS(Y$6:Y139))),"")</f>
        <v/>
      </c>
      <c r="Z139" s="70">
        <f t="array" ref="Z139">IFERROR(INDEX(tblItems[ItemCode],SMALL(IF((tblItems[Zone]=Z$4)*(tblItems[ItemCode]&lt;&gt;""),ROW(tblItems[ItemCode])-MIN(ROW(tblItems[ItemCode]))+1),ROWS(Z$6:Z139))),"")</f>
        <v/>
      </c>
      <c r="AA139" s="70">
        <f t="array" ref="AA139">IFERROR(INDEX(tblItems[ItemCode],SMALL(IF((tblItems[Zone]=AA$4)*(tblItems[ItemCode]&lt;&gt;""),ROW(tblItems[ItemCode])-MIN(ROW(tblItems[ItemCode]))+1),ROWS(AA$6:AA139))),"")</f>
        <v/>
      </c>
      <c r="AB139" s="70">
        <f t="array" ref="AB139">IFERROR(INDEX(tblItems[ItemCode],SMALL(IF((tblItems[Zone]=AB$4)*(tblItems[ItemCode]&lt;&gt;""),ROW(tblItems[ItemCode])-MIN(ROW(tblItems[ItemCode]))+1),ROWS(AB$6:AB139))),"")</f>
        <v/>
      </c>
      <c r="AC139" s="70">
        <f t="array" ref="AC139">IFERROR(INDEX(tblItems[ItemCode],SMALL(IF((tblItems[Zone]=AC$4)*(tblItems[ItemCode]&lt;&gt;""),ROW(tblItems[ItemCode])-MIN(ROW(tblItems[ItemCode]))+1),ROWS(AC$6:AC139))),"")</f>
        <v/>
      </c>
      <c r="AD139" s="70">
        <f t="array" ref="AD139">IFERROR(INDEX(tblItems[ItemCode],SMALL(IF((tblItems[Zone]=AD$4)*(tblItems[ItemCode]&lt;&gt;""),ROW(tblItems[ItemCode])-MIN(ROW(tblItems[ItemCode]))+1),ROWS(AD$6:AD139))),"")</f>
        <v/>
      </c>
      <c r="AE139" s="70">
        <f t="array" ref="AE139">IFERROR(INDEX(tblItems[ItemCode],SMALL(IF((tblItems[Zone]=AE$4)*(tblItems[ItemCode]&lt;&gt;""),ROW(tblItems[ItemCode])-MIN(ROW(tblItems[ItemCode]))+1),ROWS(AE$6:AE139))),"")</f>
        <v/>
      </c>
    </row>
    <row r="140">
      <c r="T140" s="70">
        <f t="array" ref="T140">IFERROR(INDEX(tblItems[ItemCode],SMALL(IF(tblItems[ItemCode]&lt;&gt;"",ROW(tblItems[ItemCode])-MIN(ROW(tblItems[ItemCode]))+1),ROWS(T$6:T140))),"")</f>
        <v/>
      </c>
      <c r="U140" s="70">
        <f t="array" ref="U140">IFERROR(INDEX(tblItems[ItemCode],SMALL(IF((tblItems[Zone]=U$4)*(tblItems[ItemCode]&lt;&gt;""),ROW(tblItems[ItemCode])-MIN(ROW(tblItems[ItemCode]))+1),ROWS(U$6:U140))),"")</f>
        <v/>
      </c>
      <c r="V140" s="70">
        <f t="array" ref="V140">IFERROR(INDEX(tblItems[ItemCode],SMALL(IF((tblItems[Zone]=V$4)*(tblItems[ItemCode]&lt;&gt;""),ROW(tblItems[ItemCode])-MIN(ROW(tblItems[ItemCode]))+1),ROWS(V$6:V140))),"")</f>
        <v/>
      </c>
      <c r="W140" s="70">
        <f t="array" ref="W140">IFERROR(INDEX(tblItems[ItemCode],SMALL(IF((tblItems[Zone]=W$4)*(tblItems[ItemCode]&lt;&gt;""),ROW(tblItems[ItemCode])-MIN(ROW(tblItems[ItemCode]))+1),ROWS(W$6:W140))),"")</f>
        <v/>
      </c>
      <c r="X140" s="70">
        <f t="array" ref="X140">IFERROR(INDEX(tblItems[ItemCode],SMALL(IF((tblItems[Zone]=X$4)*(tblItems[ItemCode]&lt;&gt;""),ROW(tblItems[ItemCode])-MIN(ROW(tblItems[ItemCode]))+1),ROWS(X$6:X140))),"")</f>
        <v/>
      </c>
      <c r="Y140" s="70">
        <f t="array" ref="Y140">IFERROR(INDEX(tblItems[ItemCode],SMALL(IF((tblItems[Zone]=Y$4)*(tblItems[ItemCode]&lt;&gt;""),ROW(tblItems[ItemCode])-MIN(ROW(tblItems[ItemCode]))+1),ROWS(Y$6:Y140))),"")</f>
        <v/>
      </c>
      <c r="Z140" s="70">
        <f t="array" ref="Z140">IFERROR(INDEX(tblItems[ItemCode],SMALL(IF((tblItems[Zone]=Z$4)*(tblItems[ItemCode]&lt;&gt;""),ROW(tblItems[ItemCode])-MIN(ROW(tblItems[ItemCode]))+1),ROWS(Z$6:Z140))),"")</f>
        <v/>
      </c>
      <c r="AA140" s="70">
        <f t="array" ref="AA140">IFERROR(INDEX(tblItems[ItemCode],SMALL(IF((tblItems[Zone]=AA$4)*(tblItems[ItemCode]&lt;&gt;""),ROW(tblItems[ItemCode])-MIN(ROW(tblItems[ItemCode]))+1),ROWS(AA$6:AA140))),"")</f>
        <v/>
      </c>
      <c r="AB140" s="70">
        <f t="array" ref="AB140">IFERROR(INDEX(tblItems[ItemCode],SMALL(IF((tblItems[Zone]=AB$4)*(tblItems[ItemCode]&lt;&gt;""),ROW(tblItems[ItemCode])-MIN(ROW(tblItems[ItemCode]))+1),ROWS(AB$6:AB140))),"")</f>
        <v/>
      </c>
      <c r="AC140" s="70">
        <f t="array" ref="AC140">IFERROR(INDEX(tblItems[ItemCode],SMALL(IF((tblItems[Zone]=AC$4)*(tblItems[ItemCode]&lt;&gt;""),ROW(tblItems[ItemCode])-MIN(ROW(tblItems[ItemCode]))+1),ROWS(AC$6:AC140))),"")</f>
        <v/>
      </c>
      <c r="AD140" s="70">
        <f t="array" ref="AD140">IFERROR(INDEX(tblItems[ItemCode],SMALL(IF((tblItems[Zone]=AD$4)*(tblItems[ItemCode]&lt;&gt;""),ROW(tblItems[ItemCode])-MIN(ROW(tblItems[ItemCode]))+1),ROWS(AD$6:AD140))),"")</f>
        <v/>
      </c>
      <c r="AE140" s="70">
        <f t="array" ref="AE140">IFERROR(INDEX(tblItems[ItemCode],SMALL(IF((tblItems[Zone]=AE$4)*(tblItems[ItemCode]&lt;&gt;""),ROW(tblItems[ItemCode])-MIN(ROW(tblItems[ItemCode]))+1),ROWS(AE$6:AE140))),"")</f>
        <v/>
      </c>
    </row>
    <row r="141">
      <c r="T141" s="70">
        <f t="array" ref="T141">IFERROR(INDEX(tblItems[ItemCode],SMALL(IF(tblItems[ItemCode]&lt;&gt;"",ROW(tblItems[ItemCode])-MIN(ROW(tblItems[ItemCode]))+1),ROWS(T$6:T141))),"")</f>
        <v/>
      </c>
      <c r="U141" s="70">
        <f t="array" ref="U141">IFERROR(INDEX(tblItems[ItemCode],SMALL(IF((tblItems[Zone]=U$4)*(tblItems[ItemCode]&lt;&gt;""),ROW(tblItems[ItemCode])-MIN(ROW(tblItems[ItemCode]))+1),ROWS(U$6:U141))),"")</f>
        <v/>
      </c>
      <c r="V141" s="70">
        <f t="array" ref="V141">IFERROR(INDEX(tblItems[ItemCode],SMALL(IF((tblItems[Zone]=V$4)*(tblItems[ItemCode]&lt;&gt;""),ROW(tblItems[ItemCode])-MIN(ROW(tblItems[ItemCode]))+1),ROWS(V$6:V141))),"")</f>
        <v/>
      </c>
      <c r="W141" s="70">
        <f t="array" ref="W141">IFERROR(INDEX(tblItems[ItemCode],SMALL(IF((tblItems[Zone]=W$4)*(tblItems[ItemCode]&lt;&gt;""),ROW(tblItems[ItemCode])-MIN(ROW(tblItems[ItemCode]))+1),ROWS(W$6:W141))),"")</f>
        <v/>
      </c>
      <c r="X141" s="70">
        <f t="array" ref="X141">IFERROR(INDEX(tblItems[ItemCode],SMALL(IF((tblItems[Zone]=X$4)*(tblItems[ItemCode]&lt;&gt;""),ROW(tblItems[ItemCode])-MIN(ROW(tblItems[ItemCode]))+1),ROWS(X$6:X141))),"")</f>
        <v/>
      </c>
      <c r="Y141" s="70">
        <f t="array" ref="Y141">IFERROR(INDEX(tblItems[ItemCode],SMALL(IF((tblItems[Zone]=Y$4)*(tblItems[ItemCode]&lt;&gt;""),ROW(tblItems[ItemCode])-MIN(ROW(tblItems[ItemCode]))+1),ROWS(Y$6:Y141))),"")</f>
        <v/>
      </c>
      <c r="Z141" s="70">
        <f t="array" ref="Z141">IFERROR(INDEX(tblItems[ItemCode],SMALL(IF((tblItems[Zone]=Z$4)*(tblItems[ItemCode]&lt;&gt;""),ROW(tblItems[ItemCode])-MIN(ROW(tblItems[ItemCode]))+1),ROWS(Z$6:Z141))),"")</f>
        <v/>
      </c>
      <c r="AA141" s="70">
        <f t="array" ref="AA141">IFERROR(INDEX(tblItems[ItemCode],SMALL(IF((tblItems[Zone]=AA$4)*(tblItems[ItemCode]&lt;&gt;""),ROW(tblItems[ItemCode])-MIN(ROW(tblItems[ItemCode]))+1),ROWS(AA$6:AA141))),"")</f>
        <v/>
      </c>
      <c r="AB141" s="70">
        <f t="array" ref="AB141">IFERROR(INDEX(tblItems[ItemCode],SMALL(IF((tblItems[Zone]=AB$4)*(tblItems[ItemCode]&lt;&gt;""),ROW(tblItems[ItemCode])-MIN(ROW(tblItems[ItemCode]))+1),ROWS(AB$6:AB141))),"")</f>
        <v/>
      </c>
      <c r="AC141" s="70">
        <f t="array" ref="AC141">IFERROR(INDEX(tblItems[ItemCode],SMALL(IF((tblItems[Zone]=AC$4)*(tblItems[ItemCode]&lt;&gt;""),ROW(tblItems[ItemCode])-MIN(ROW(tblItems[ItemCode]))+1),ROWS(AC$6:AC141))),"")</f>
        <v/>
      </c>
      <c r="AD141" s="70">
        <f t="array" ref="AD141">IFERROR(INDEX(tblItems[ItemCode],SMALL(IF((tblItems[Zone]=AD$4)*(tblItems[ItemCode]&lt;&gt;""),ROW(tblItems[ItemCode])-MIN(ROW(tblItems[ItemCode]))+1),ROWS(AD$6:AD141))),"")</f>
        <v/>
      </c>
      <c r="AE141" s="70">
        <f t="array" ref="AE141">IFERROR(INDEX(tblItems[ItemCode],SMALL(IF((tblItems[Zone]=AE$4)*(tblItems[ItemCode]&lt;&gt;""),ROW(tblItems[ItemCode])-MIN(ROW(tblItems[ItemCode]))+1),ROWS(AE$6:AE141))),"")</f>
        <v/>
      </c>
    </row>
    <row r="142">
      <c r="T142" s="70">
        <f t="array" ref="T142">IFERROR(INDEX(tblItems[ItemCode],SMALL(IF(tblItems[ItemCode]&lt;&gt;"",ROW(tblItems[ItemCode])-MIN(ROW(tblItems[ItemCode]))+1),ROWS(T$6:T142))),"")</f>
        <v/>
      </c>
      <c r="U142" s="70">
        <f t="array" ref="U142">IFERROR(INDEX(tblItems[ItemCode],SMALL(IF((tblItems[Zone]=U$4)*(tblItems[ItemCode]&lt;&gt;""),ROW(tblItems[ItemCode])-MIN(ROW(tblItems[ItemCode]))+1),ROWS(U$6:U142))),"")</f>
        <v/>
      </c>
      <c r="V142" s="70">
        <f t="array" ref="V142">IFERROR(INDEX(tblItems[ItemCode],SMALL(IF((tblItems[Zone]=V$4)*(tblItems[ItemCode]&lt;&gt;""),ROW(tblItems[ItemCode])-MIN(ROW(tblItems[ItemCode]))+1),ROWS(V$6:V142))),"")</f>
        <v/>
      </c>
      <c r="W142" s="70">
        <f t="array" ref="W142">IFERROR(INDEX(tblItems[ItemCode],SMALL(IF((tblItems[Zone]=W$4)*(tblItems[ItemCode]&lt;&gt;""),ROW(tblItems[ItemCode])-MIN(ROW(tblItems[ItemCode]))+1),ROWS(W$6:W142))),"")</f>
        <v/>
      </c>
      <c r="X142" s="70">
        <f t="array" ref="X142">IFERROR(INDEX(tblItems[ItemCode],SMALL(IF((tblItems[Zone]=X$4)*(tblItems[ItemCode]&lt;&gt;""),ROW(tblItems[ItemCode])-MIN(ROW(tblItems[ItemCode]))+1),ROWS(X$6:X142))),"")</f>
        <v/>
      </c>
      <c r="Y142" s="70">
        <f t="array" ref="Y142">IFERROR(INDEX(tblItems[ItemCode],SMALL(IF((tblItems[Zone]=Y$4)*(tblItems[ItemCode]&lt;&gt;""),ROW(tblItems[ItemCode])-MIN(ROW(tblItems[ItemCode]))+1),ROWS(Y$6:Y142))),"")</f>
        <v/>
      </c>
      <c r="Z142" s="70">
        <f t="array" ref="Z142">IFERROR(INDEX(tblItems[ItemCode],SMALL(IF((tblItems[Zone]=Z$4)*(tblItems[ItemCode]&lt;&gt;""),ROW(tblItems[ItemCode])-MIN(ROW(tblItems[ItemCode]))+1),ROWS(Z$6:Z142))),"")</f>
        <v/>
      </c>
      <c r="AA142" s="70">
        <f t="array" ref="AA142">IFERROR(INDEX(tblItems[ItemCode],SMALL(IF((tblItems[Zone]=AA$4)*(tblItems[ItemCode]&lt;&gt;""),ROW(tblItems[ItemCode])-MIN(ROW(tblItems[ItemCode]))+1),ROWS(AA$6:AA142))),"")</f>
        <v/>
      </c>
      <c r="AB142" s="70">
        <f t="array" ref="AB142">IFERROR(INDEX(tblItems[ItemCode],SMALL(IF((tblItems[Zone]=AB$4)*(tblItems[ItemCode]&lt;&gt;""),ROW(tblItems[ItemCode])-MIN(ROW(tblItems[ItemCode]))+1),ROWS(AB$6:AB142))),"")</f>
        <v/>
      </c>
      <c r="AC142" s="70">
        <f t="array" ref="AC142">IFERROR(INDEX(tblItems[ItemCode],SMALL(IF((tblItems[Zone]=AC$4)*(tblItems[ItemCode]&lt;&gt;""),ROW(tblItems[ItemCode])-MIN(ROW(tblItems[ItemCode]))+1),ROWS(AC$6:AC142))),"")</f>
        <v/>
      </c>
      <c r="AD142" s="70">
        <f t="array" ref="AD142">IFERROR(INDEX(tblItems[ItemCode],SMALL(IF((tblItems[Zone]=AD$4)*(tblItems[ItemCode]&lt;&gt;""),ROW(tblItems[ItemCode])-MIN(ROW(tblItems[ItemCode]))+1),ROWS(AD$6:AD142))),"")</f>
        <v/>
      </c>
      <c r="AE142" s="70">
        <f t="array" ref="AE142">IFERROR(INDEX(tblItems[ItemCode],SMALL(IF((tblItems[Zone]=AE$4)*(tblItems[ItemCode]&lt;&gt;""),ROW(tblItems[ItemCode])-MIN(ROW(tblItems[ItemCode]))+1),ROWS(AE$6:AE142))),"")</f>
        <v/>
      </c>
    </row>
    <row r="143">
      <c r="T143" s="70">
        <f t="array" ref="T143">IFERROR(INDEX(tblItems[ItemCode],SMALL(IF(tblItems[ItemCode]&lt;&gt;"",ROW(tblItems[ItemCode])-MIN(ROW(tblItems[ItemCode]))+1),ROWS(T$6:T143))),"")</f>
        <v/>
      </c>
      <c r="U143" s="70">
        <f t="array" ref="U143">IFERROR(INDEX(tblItems[ItemCode],SMALL(IF((tblItems[Zone]=U$4)*(tblItems[ItemCode]&lt;&gt;""),ROW(tblItems[ItemCode])-MIN(ROW(tblItems[ItemCode]))+1),ROWS(U$6:U143))),"")</f>
        <v/>
      </c>
      <c r="V143" s="70">
        <f t="array" ref="V143">IFERROR(INDEX(tblItems[ItemCode],SMALL(IF((tblItems[Zone]=V$4)*(tblItems[ItemCode]&lt;&gt;""),ROW(tblItems[ItemCode])-MIN(ROW(tblItems[ItemCode]))+1),ROWS(V$6:V143))),"")</f>
        <v/>
      </c>
      <c r="W143" s="70">
        <f t="array" ref="W143">IFERROR(INDEX(tblItems[ItemCode],SMALL(IF((tblItems[Zone]=W$4)*(tblItems[ItemCode]&lt;&gt;""),ROW(tblItems[ItemCode])-MIN(ROW(tblItems[ItemCode]))+1),ROWS(W$6:W143))),"")</f>
        <v/>
      </c>
      <c r="X143" s="70">
        <f t="array" ref="X143">IFERROR(INDEX(tblItems[ItemCode],SMALL(IF((tblItems[Zone]=X$4)*(tblItems[ItemCode]&lt;&gt;""),ROW(tblItems[ItemCode])-MIN(ROW(tblItems[ItemCode]))+1),ROWS(X$6:X143))),"")</f>
        <v/>
      </c>
      <c r="Y143" s="70">
        <f t="array" ref="Y143">IFERROR(INDEX(tblItems[ItemCode],SMALL(IF((tblItems[Zone]=Y$4)*(tblItems[ItemCode]&lt;&gt;""),ROW(tblItems[ItemCode])-MIN(ROW(tblItems[ItemCode]))+1),ROWS(Y$6:Y143))),"")</f>
        <v/>
      </c>
      <c r="Z143" s="70">
        <f t="array" ref="Z143">IFERROR(INDEX(tblItems[ItemCode],SMALL(IF((tblItems[Zone]=Z$4)*(tblItems[ItemCode]&lt;&gt;""),ROW(tblItems[ItemCode])-MIN(ROW(tblItems[ItemCode]))+1),ROWS(Z$6:Z143))),"")</f>
        <v/>
      </c>
      <c r="AA143" s="70">
        <f t="array" ref="AA143">IFERROR(INDEX(tblItems[ItemCode],SMALL(IF((tblItems[Zone]=AA$4)*(tblItems[ItemCode]&lt;&gt;""),ROW(tblItems[ItemCode])-MIN(ROW(tblItems[ItemCode]))+1),ROWS(AA$6:AA143))),"")</f>
        <v/>
      </c>
      <c r="AB143" s="70">
        <f t="array" ref="AB143">IFERROR(INDEX(tblItems[ItemCode],SMALL(IF((tblItems[Zone]=AB$4)*(tblItems[ItemCode]&lt;&gt;""),ROW(tblItems[ItemCode])-MIN(ROW(tblItems[ItemCode]))+1),ROWS(AB$6:AB143))),"")</f>
        <v/>
      </c>
      <c r="AC143" s="70">
        <f t="array" ref="AC143">IFERROR(INDEX(tblItems[ItemCode],SMALL(IF((tblItems[Zone]=AC$4)*(tblItems[ItemCode]&lt;&gt;""),ROW(tblItems[ItemCode])-MIN(ROW(tblItems[ItemCode]))+1),ROWS(AC$6:AC143))),"")</f>
        <v/>
      </c>
      <c r="AD143" s="70">
        <f t="array" ref="AD143">IFERROR(INDEX(tblItems[ItemCode],SMALL(IF((tblItems[Zone]=AD$4)*(tblItems[ItemCode]&lt;&gt;""),ROW(tblItems[ItemCode])-MIN(ROW(tblItems[ItemCode]))+1),ROWS(AD$6:AD143))),"")</f>
        <v/>
      </c>
      <c r="AE143" s="70">
        <f t="array" ref="AE143">IFERROR(INDEX(tblItems[ItemCode],SMALL(IF((tblItems[Zone]=AE$4)*(tblItems[ItemCode]&lt;&gt;""),ROW(tblItems[ItemCode])-MIN(ROW(tblItems[ItemCode]))+1),ROWS(AE$6:AE143))),"")</f>
        <v/>
      </c>
    </row>
    <row r="144">
      <c r="T144" s="70">
        <f t="array" ref="T144">IFERROR(INDEX(tblItems[ItemCode],SMALL(IF(tblItems[ItemCode]&lt;&gt;"",ROW(tblItems[ItemCode])-MIN(ROW(tblItems[ItemCode]))+1),ROWS(T$6:T144))),"")</f>
        <v/>
      </c>
      <c r="U144" s="70">
        <f t="array" ref="U144">IFERROR(INDEX(tblItems[ItemCode],SMALL(IF((tblItems[Zone]=U$4)*(tblItems[ItemCode]&lt;&gt;""),ROW(tblItems[ItemCode])-MIN(ROW(tblItems[ItemCode]))+1),ROWS(U$6:U144))),"")</f>
        <v/>
      </c>
      <c r="V144" s="70">
        <f t="array" ref="V144">IFERROR(INDEX(tblItems[ItemCode],SMALL(IF((tblItems[Zone]=V$4)*(tblItems[ItemCode]&lt;&gt;""),ROW(tblItems[ItemCode])-MIN(ROW(tblItems[ItemCode]))+1),ROWS(V$6:V144))),"")</f>
        <v/>
      </c>
      <c r="W144" s="70">
        <f t="array" ref="W144">IFERROR(INDEX(tblItems[ItemCode],SMALL(IF((tblItems[Zone]=W$4)*(tblItems[ItemCode]&lt;&gt;""),ROW(tblItems[ItemCode])-MIN(ROW(tblItems[ItemCode]))+1),ROWS(W$6:W144))),"")</f>
        <v/>
      </c>
      <c r="X144" s="70">
        <f t="array" ref="X144">IFERROR(INDEX(tblItems[ItemCode],SMALL(IF((tblItems[Zone]=X$4)*(tblItems[ItemCode]&lt;&gt;""),ROW(tblItems[ItemCode])-MIN(ROW(tblItems[ItemCode]))+1),ROWS(X$6:X144))),"")</f>
        <v/>
      </c>
      <c r="Y144" s="70">
        <f t="array" ref="Y144">IFERROR(INDEX(tblItems[ItemCode],SMALL(IF((tblItems[Zone]=Y$4)*(tblItems[ItemCode]&lt;&gt;""),ROW(tblItems[ItemCode])-MIN(ROW(tblItems[ItemCode]))+1),ROWS(Y$6:Y144))),"")</f>
        <v/>
      </c>
      <c r="Z144" s="70">
        <f t="array" ref="Z144">IFERROR(INDEX(tblItems[ItemCode],SMALL(IF((tblItems[Zone]=Z$4)*(tblItems[ItemCode]&lt;&gt;""),ROW(tblItems[ItemCode])-MIN(ROW(tblItems[ItemCode]))+1),ROWS(Z$6:Z144))),"")</f>
        <v/>
      </c>
      <c r="AA144" s="70">
        <f t="array" ref="AA144">IFERROR(INDEX(tblItems[ItemCode],SMALL(IF((tblItems[Zone]=AA$4)*(tblItems[ItemCode]&lt;&gt;""),ROW(tblItems[ItemCode])-MIN(ROW(tblItems[ItemCode]))+1),ROWS(AA$6:AA144))),"")</f>
        <v/>
      </c>
      <c r="AB144" s="70">
        <f t="array" ref="AB144">IFERROR(INDEX(tblItems[ItemCode],SMALL(IF((tblItems[Zone]=AB$4)*(tblItems[ItemCode]&lt;&gt;""),ROW(tblItems[ItemCode])-MIN(ROW(tblItems[ItemCode]))+1),ROWS(AB$6:AB144))),"")</f>
        <v/>
      </c>
      <c r="AC144" s="70">
        <f t="array" ref="AC144">IFERROR(INDEX(tblItems[ItemCode],SMALL(IF((tblItems[Zone]=AC$4)*(tblItems[ItemCode]&lt;&gt;""),ROW(tblItems[ItemCode])-MIN(ROW(tblItems[ItemCode]))+1),ROWS(AC$6:AC144))),"")</f>
        <v/>
      </c>
      <c r="AD144" s="70">
        <f t="array" ref="AD144">IFERROR(INDEX(tblItems[ItemCode],SMALL(IF((tblItems[Zone]=AD$4)*(tblItems[ItemCode]&lt;&gt;""),ROW(tblItems[ItemCode])-MIN(ROW(tblItems[ItemCode]))+1),ROWS(AD$6:AD144))),"")</f>
        <v/>
      </c>
      <c r="AE144" s="70">
        <f t="array" ref="AE144">IFERROR(INDEX(tblItems[ItemCode],SMALL(IF((tblItems[Zone]=AE$4)*(tblItems[ItemCode]&lt;&gt;""),ROW(tblItems[ItemCode])-MIN(ROW(tblItems[ItemCode]))+1),ROWS(AE$6:AE144))),"")</f>
        <v/>
      </c>
    </row>
    <row r="145">
      <c r="T145" s="70">
        <f t="array" ref="T145">IFERROR(INDEX(tblItems[ItemCode],SMALL(IF(tblItems[ItemCode]&lt;&gt;"",ROW(tblItems[ItemCode])-MIN(ROW(tblItems[ItemCode]))+1),ROWS(T$6:T145))),"")</f>
        <v/>
      </c>
      <c r="U145" s="70">
        <f t="array" ref="U145">IFERROR(INDEX(tblItems[ItemCode],SMALL(IF((tblItems[Zone]=U$4)*(tblItems[ItemCode]&lt;&gt;""),ROW(tblItems[ItemCode])-MIN(ROW(tblItems[ItemCode]))+1),ROWS(U$6:U145))),"")</f>
        <v/>
      </c>
      <c r="V145" s="70">
        <f t="array" ref="V145">IFERROR(INDEX(tblItems[ItemCode],SMALL(IF((tblItems[Zone]=V$4)*(tblItems[ItemCode]&lt;&gt;""),ROW(tblItems[ItemCode])-MIN(ROW(tblItems[ItemCode]))+1),ROWS(V$6:V145))),"")</f>
        <v/>
      </c>
      <c r="W145" s="70">
        <f t="array" ref="W145">IFERROR(INDEX(tblItems[ItemCode],SMALL(IF((tblItems[Zone]=W$4)*(tblItems[ItemCode]&lt;&gt;""),ROW(tblItems[ItemCode])-MIN(ROW(tblItems[ItemCode]))+1),ROWS(W$6:W145))),"")</f>
        <v/>
      </c>
      <c r="X145" s="70">
        <f t="array" ref="X145">IFERROR(INDEX(tblItems[ItemCode],SMALL(IF((tblItems[Zone]=X$4)*(tblItems[ItemCode]&lt;&gt;""),ROW(tblItems[ItemCode])-MIN(ROW(tblItems[ItemCode]))+1),ROWS(X$6:X145))),"")</f>
        <v/>
      </c>
      <c r="Y145" s="70">
        <f t="array" ref="Y145">IFERROR(INDEX(tblItems[ItemCode],SMALL(IF((tblItems[Zone]=Y$4)*(tblItems[ItemCode]&lt;&gt;""),ROW(tblItems[ItemCode])-MIN(ROW(tblItems[ItemCode]))+1),ROWS(Y$6:Y145))),"")</f>
        <v/>
      </c>
      <c r="Z145" s="70">
        <f t="array" ref="Z145">IFERROR(INDEX(tblItems[ItemCode],SMALL(IF((tblItems[Zone]=Z$4)*(tblItems[ItemCode]&lt;&gt;""),ROW(tblItems[ItemCode])-MIN(ROW(tblItems[ItemCode]))+1),ROWS(Z$6:Z145))),"")</f>
        <v/>
      </c>
      <c r="AA145" s="70">
        <f t="array" ref="AA145">IFERROR(INDEX(tblItems[ItemCode],SMALL(IF((tblItems[Zone]=AA$4)*(tblItems[ItemCode]&lt;&gt;""),ROW(tblItems[ItemCode])-MIN(ROW(tblItems[ItemCode]))+1),ROWS(AA$6:AA145))),"")</f>
        <v/>
      </c>
      <c r="AB145" s="70">
        <f t="array" ref="AB145">IFERROR(INDEX(tblItems[ItemCode],SMALL(IF((tblItems[Zone]=AB$4)*(tblItems[ItemCode]&lt;&gt;""),ROW(tblItems[ItemCode])-MIN(ROW(tblItems[ItemCode]))+1),ROWS(AB$6:AB145))),"")</f>
        <v/>
      </c>
      <c r="AC145" s="70">
        <f t="array" ref="AC145">IFERROR(INDEX(tblItems[ItemCode],SMALL(IF((tblItems[Zone]=AC$4)*(tblItems[ItemCode]&lt;&gt;""),ROW(tblItems[ItemCode])-MIN(ROW(tblItems[ItemCode]))+1),ROWS(AC$6:AC145))),"")</f>
        <v/>
      </c>
      <c r="AD145" s="70">
        <f t="array" ref="AD145">IFERROR(INDEX(tblItems[ItemCode],SMALL(IF((tblItems[Zone]=AD$4)*(tblItems[ItemCode]&lt;&gt;""),ROW(tblItems[ItemCode])-MIN(ROW(tblItems[ItemCode]))+1),ROWS(AD$6:AD145))),"")</f>
        <v/>
      </c>
      <c r="AE145" s="70">
        <f t="array" ref="AE145">IFERROR(INDEX(tblItems[ItemCode],SMALL(IF((tblItems[Zone]=AE$4)*(tblItems[ItemCode]&lt;&gt;""),ROW(tblItems[ItemCode])-MIN(ROW(tblItems[ItemCode]))+1),ROWS(AE$6:AE145))),"")</f>
        <v/>
      </c>
    </row>
    <row r="146">
      <c r="T146" s="70">
        <f t="array" ref="T146">IFERROR(INDEX(tblItems[ItemCode],SMALL(IF(tblItems[ItemCode]&lt;&gt;"",ROW(tblItems[ItemCode])-MIN(ROW(tblItems[ItemCode]))+1),ROWS(T$6:T146))),"")</f>
        <v/>
      </c>
      <c r="U146" s="70">
        <f t="array" ref="U146">IFERROR(INDEX(tblItems[ItemCode],SMALL(IF((tblItems[Zone]=U$4)*(tblItems[ItemCode]&lt;&gt;""),ROW(tblItems[ItemCode])-MIN(ROW(tblItems[ItemCode]))+1),ROWS(U$6:U146))),"")</f>
        <v/>
      </c>
      <c r="V146" s="70">
        <f t="array" ref="V146">IFERROR(INDEX(tblItems[ItemCode],SMALL(IF((tblItems[Zone]=V$4)*(tblItems[ItemCode]&lt;&gt;""),ROW(tblItems[ItemCode])-MIN(ROW(tblItems[ItemCode]))+1),ROWS(V$6:V146))),"")</f>
        <v/>
      </c>
      <c r="W146" s="70">
        <f t="array" ref="W146">IFERROR(INDEX(tblItems[ItemCode],SMALL(IF((tblItems[Zone]=W$4)*(tblItems[ItemCode]&lt;&gt;""),ROW(tblItems[ItemCode])-MIN(ROW(tblItems[ItemCode]))+1),ROWS(W$6:W146))),"")</f>
        <v/>
      </c>
      <c r="X146" s="70">
        <f t="array" ref="X146">IFERROR(INDEX(tblItems[ItemCode],SMALL(IF((tblItems[Zone]=X$4)*(tblItems[ItemCode]&lt;&gt;""),ROW(tblItems[ItemCode])-MIN(ROW(tblItems[ItemCode]))+1),ROWS(X$6:X146))),"")</f>
        <v/>
      </c>
      <c r="Y146" s="70">
        <f t="array" ref="Y146">IFERROR(INDEX(tblItems[ItemCode],SMALL(IF((tblItems[Zone]=Y$4)*(tblItems[ItemCode]&lt;&gt;""),ROW(tblItems[ItemCode])-MIN(ROW(tblItems[ItemCode]))+1),ROWS(Y$6:Y146))),"")</f>
        <v/>
      </c>
      <c r="Z146" s="70">
        <f t="array" ref="Z146">IFERROR(INDEX(tblItems[ItemCode],SMALL(IF((tblItems[Zone]=Z$4)*(tblItems[ItemCode]&lt;&gt;""),ROW(tblItems[ItemCode])-MIN(ROW(tblItems[ItemCode]))+1),ROWS(Z$6:Z146))),"")</f>
        <v/>
      </c>
      <c r="AA146" s="70">
        <f t="array" ref="AA146">IFERROR(INDEX(tblItems[ItemCode],SMALL(IF((tblItems[Zone]=AA$4)*(tblItems[ItemCode]&lt;&gt;""),ROW(tblItems[ItemCode])-MIN(ROW(tblItems[ItemCode]))+1),ROWS(AA$6:AA146))),"")</f>
        <v/>
      </c>
      <c r="AB146" s="70">
        <f t="array" ref="AB146">IFERROR(INDEX(tblItems[ItemCode],SMALL(IF((tblItems[Zone]=AB$4)*(tblItems[ItemCode]&lt;&gt;""),ROW(tblItems[ItemCode])-MIN(ROW(tblItems[ItemCode]))+1),ROWS(AB$6:AB146))),"")</f>
        <v/>
      </c>
      <c r="AC146" s="70">
        <f t="array" ref="AC146">IFERROR(INDEX(tblItems[ItemCode],SMALL(IF((tblItems[Zone]=AC$4)*(tblItems[ItemCode]&lt;&gt;""),ROW(tblItems[ItemCode])-MIN(ROW(tblItems[ItemCode]))+1),ROWS(AC$6:AC146))),"")</f>
        <v/>
      </c>
      <c r="AD146" s="70">
        <f t="array" ref="AD146">IFERROR(INDEX(tblItems[ItemCode],SMALL(IF((tblItems[Zone]=AD$4)*(tblItems[ItemCode]&lt;&gt;""),ROW(tblItems[ItemCode])-MIN(ROW(tblItems[ItemCode]))+1),ROWS(AD$6:AD146))),"")</f>
        <v/>
      </c>
      <c r="AE146" s="70">
        <f t="array" ref="AE146">IFERROR(INDEX(tblItems[ItemCode],SMALL(IF((tblItems[Zone]=AE$4)*(tblItems[ItemCode]&lt;&gt;""),ROW(tblItems[ItemCode])-MIN(ROW(tblItems[ItemCode]))+1),ROWS(AE$6:AE146))),"")</f>
        <v/>
      </c>
    </row>
    <row r="147">
      <c r="T147" s="70">
        <f t="array" ref="T147">IFERROR(INDEX(tblItems[ItemCode],SMALL(IF(tblItems[ItemCode]&lt;&gt;"",ROW(tblItems[ItemCode])-MIN(ROW(tblItems[ItemCode]))+1),ROWS(T$6:T147))),"")</f>
        <v/>
      </c>
      <c r="U147" s="70">
        <f t="array" ref="U147">IFERROR(INDEX(tblItems[ItemCode],SMALL(IF((tblItems[Zone]=U$4)*(tblItems[ItemCode]&lt;&gt;""),ROW(tblItems[ItemCode])-MIN(ROW(tblItems[ItemCode]))+1),ROWS(U$6:U147))),"")</f>
        <v/>
      </c>
      <c r="V147" s="70">
        <f t="array" ref="V147">IFERROR(INDEX(tblItems[ItemCode],SMALL(IF((tblItems[Zone]=V$4)*(tblItems[ItemCode]&lt;&gt;""),ROW(tblItems[ItemCode])-MIN(ROW(tblItems[ItemCode]))+1),ROWS(V$6:V147))),"")</f>
        <v/>
      </c>
      <c r="W147" s="70">
        <f t="array" ref="W147">IFERROR(INDEX(tblItems[ItemCode],SMALL(IF((tblItems[Zone]=W$4)*(tblItems[ItemCode]&lt;&gt;""),ROW(tblItems[ItemCode])-MIN(ROW(tblItems[ItemCode]))+1),ROWS(W$6:W147))),"")</f>
        <v/>
      </c>
      <c r="X147" s="70">
        <f t="array" ref="X147">IFERROR(INDEX(tblItems[ItemCode],SMALL(IF((tblItems[Zone]=X$4)*(tblItems[ItemCode]&lt;&gt;""),ROW(tblItems[ItemCode])-MIN(ROW(tblItems[ItemCode]))+1),ROWS(X$6:X147))),"")</f>
        <v/>
      </c>
      <c r="Y147" s="70">
        <f t="array" ref="Y147">IFERROR(INDEX(tblItems[ItemCode],SMALL(IF((tblItems[Zone]=Y$4)*(tblItems[ItemCode]&lt;&gt;""),ROW(tblItems[ItemCode])-MIN(ROW(tblItems[ItemCode]))+1),ROWS(Y$6:Y147))),"")</f>
        <v/>
      </c>
      <c r="Z147" s="70">
        <f t="array" ref="Z147">IFERROR(INDEX(tblItems[ItemCode],SMALL(IF((tblItems[Zone]=Z$4)*(tblItems[ItemCode]&lt;&gt;""),ROW(tblItems[ItemCode])-MIN(ROW(tblItems[ItemCode]))+1),ROWS(Z$6:Z147))),"")</f>
        <v/>
      </c>
      <c r="AA147" s="70">
        <f t="array" ref="AA147">IFERROR(INDEX(tblItems[ItemCode],SMALL(IF((tblItems[Zone]=AA$4)*(tblItems[ItemCode]&lt;&gt;""),ROW(tblItems[ItemCode])-MIN(ROW(tblItems[ItemCode]))+1),ROWS(AA$6:AA147))),"")</f>
        <v/>
      </c>
      <c r="AB147" s="70">
        <f t="array" ref="AB147">IFERROR(INDEX(tblItems[ItemCode],SMALL(IF((tblItems[Zone]=AB$4)*(tblItems[ItemCode]&lt;&gt;""),ROW(tblItems[ItemCode])-MIN(ROW(tblItems[ItemCode]))+1),ROWS(AB$6:AB147))),"")</f>
        <v/>
      </c>
      <c r="AC147" s="70">
        <f t="array" ref="AC147">IFERROR(INDEX(tblItems[ItemCode],SMALL(IF((tblItems[Zone]=AC$4)*(tblItems[ItemCode]&lt;&gt;""),ROW(tblItems[ItemCode])-MIN(ROW(tblItems[ItemCode]))+1),ROWS(AC$6:AC147))),"")</f>
        <v/>
      </c>
      <c r="AD147" s="70">
        <f t="array" ref="AD147">IFERROR(INDEX(tblItems[ItemCode],SMALL(IF((tblItems[Zone]=AD$4)*(tblItems[ItemCode]&lt;&gt;""),ROW(tblItems[ItemCode])-MIN(ROW(tblItems[ItemCode]))+1),ROWS(AD$6:AD147))),"")</f>
        <v/>
      </c>
      <c r="AE147" s="70">
        <f t="array" ref="AE147">IFERROR(INDEX(tblItems[ItemCode],SMALL(IF((tblItems[Zone]=AE$4)*(tblItems[ItemCode]&lt;&gt;""),ROW(tblItems[ItemCode])-MIN(ROW(tblItems[ItemCode]))+1),ROWS(AE$6:AE147))),"")</f>
        <v/>
      </c>
    </row>
    <row r="148">
      <c r="T148" s="70">
        <f t="array" ref="T148">IFERROR(INDEX(tblItems[ItemCode],SMALL(IF(tblItems[ItemCode]&lt;&gt;"",ROW(tblItems[ItemCode])-MIN(ROW(tblItems[ItemCode]))+1),ROWS(T$6:T148))),"")</f>
        <v/>
      </c>
      <c r="U148" s="70">
        <f t="array" ref="U148">IFERROR(INDEX(tblItems[ItemCode],SMALL(IF((tblItems[Zone]=U$4)*(tblItems[ItemCode]&lt;&gt;""),ROW(tblItems[ItemCode])-MIN(ROW(tblItems[ItemCode]))+1),ROWS(U$6:U148))),"")</f>
        <v/>
      </c>
      <c r="V148" s="70">
        <f t="array" ref="V148">IFERROR(INDEX(tblItems[ItemCode],SMALL(IF((tblItems[Zone]=V$4)*(tblItems[ItemCode]&lt;&gt;""),ROW(tblItems[ItemCode])-MIN(ROW(tblItems[ItemCode]))+1),ROWS(V$6:V148))),"")</f>
        <v/>
      </c>
      <c r="W148" s="70">
        <f t="array" ref="W148">IFERROR(INDEX(tblItems[ItemCode],SMALL(IF((tblItems[Zone]=W$4)*(tblItems[ItemCode]&lt;&gt;""),ROW(tblItems[ItemCode])-MIN(ROW(tblItems[ItemCode]))+1),ROWS(W$6:W148))),"")</f>
        <v/>
      </c>
      <c r="X148" s="70">
        <f t="array" ref="X148">IFERROR(INDEX(tblItems[ItemCode],SMALL(IF((tblItems[Zone]=X$4)*(tblItems[ItemCode]&lt;&gt;""),ROW(tblItems[ItemCode])-MIN(ROW(tblItems[ItemCode]))+1),ROWS(X$6:X148))),"")</f>
        <v/>
      </c>
      <c r="Y148" s="70">
        <f t="array" ref="Y148">IFERROR(INDEX(tblItems[ItemCode],SMALL(IF((tblItems[Zone]=Y$4)*(tblItems[ItemCode]&lt;&gt;""),ROW(tblItems[ItemCode])-MIN(ROW(tblItems[ItemCode]))+1),ROWS(Y$6:Y148))),"")</f>
        <v/>
      </c>
      <c r="Z148" s="70">
        <f t="array" ref="Z148">IFERROR(INDEX(tblItems[ItemCode],SMALL(IF((tblItems[Zone]=Z$4)*(tblItems[ItemCode]&lt;&gt;""),ROW(tblItems[ItemCode])-MIN(ROW(tblItems[ItemCode]))+1),ROWS(Z$6:Z148))),"")</f>
        <v/>
      </c>
      <c r="AA148" s="70">
        <f t="array" ref="AA148">IFERROR(INDEX(tblItems[ItemCode],SMALL(IF((tblItems[Zone]=AA$4)*(tblItems[ItemCode]&lt;&gt;""),ROW(tblItems[ItemCode])-MIN(ROW(tblItems[ItemCode]))+1),ROWS(AA$6:AA148))),"")</f>
        <v/>
      </c>
      <c r="AB148" s="70">
        <f t="array" ref="AB148">IFERROR(INDEX(tblItems[ItemCode],SMALL(IF((tblItems[Zone]=AB$4)*(tblItems[ItemCode]&lt;&gt;""),ROW(tblItems[ItemCode])-MIN(ROW(tblItems[ItemCode]))+1),ROWS(AB$6:AB148))),"")</f>
        <v/>
      </c>
      <c r="AC148" s="70">
        <f t="array" ref="AC148">IFERROR(INDEX(tblItems[ItemCode],SMALL(IF((tblItems[Zone]=AC$4)*(tblItems[ItemCode]&lt;&gt;""),ROW(tblItems[ItemCode])-MIN(ROW(tblItems[ItemCode]))+1),ROWS(AC$6:AC148))),"")</f>
        <v/>
      </c>
      <c r="AD148" s="70">
        <f t="array" ref="AD148">IFERROR(INDEX(tblItems[ItemCode],SMALL(IF((tblItems[Zone]=AD$4)*(tblItems[ItemCode]&lt;&gt;""),ROW(tblItems[ItemCode])-MIN(ROW(tblItems[ItemCode]))+1),ROWS(AD$6:AD148))),"")</f>
        <v/>
      </c>
      <c r="AE148" s="70">
        <f t="array" ref="AE148">IFERROR(INDEX(tblItems[ItemCode],SMALL(IF((tblItems[Zone]=AE$4)*(tblItems[ItemCode]&lt;&gt;""),ROW(tblItems[ItemCode])-MIN(ROW(tblItems[ItemCode]))+1),ROWS(AE$6:AE148))),"")</f>
        <v/>
      </c>
    </row>
    <row r="149">
      <c r="T149" s="70">
        <f t="array" ref="T149">IFERROR(INDEX(tblItems[ItemCode],SMALL(IF(tblItems[ItemCode]&lt;&gt;"",ROW(tblItems[ItemCode])-MIN(ROW(tblItems[ItemCode]))+1),ROWS(T$6:T149))),"")</f>
        <v/>
      </c>
      <c r="U149" s="70">
        <f t="array" ref="U149">IFERROR(INDEX(tblItems[ItemCode],SMALL(IF((tblItems[Zone]=U$4)*(tblItems[ItemCode]&lt;&gt;""),ROW(tblItems[ItemCode])-MIN(ROW(tblItems[ItemCode]))+1),ROWS(U$6:U149))),"")</f>
        <v/>
      </c>
      <c r="V149" s="70">
        <f t="array" ref="V149">IFERROR(INDEX(tblItems[ItemCode],SMALL(IF((tblItems[Zone]=V$4)*(tblItems[ItemCode]&lt;&gt;""),ROW(tblItems[ItemCode])-MIN(ROW(tblItems[ItemCode]))+1),ROWS(V$6:V149))),"")</f>
        <v/>
      </c>
      <c r="W149" s="70">
        <f t="array" ref="W149">IFERROR(INDEX(tblItems[ItemCode],SMALL(IF((tblItems[Zone]=W$4)*(tblItems[ItemCode]&lt;&gt;""),ROW(tblItems[ItemCode])-MIN(ROW(tblItems[ItemCode]))+1),ROWS(W$6:W149))),"")</f>
        <v/>
      </c>
      <c r="X149" s="70">
        <f t="array" ref="X149">IFERROR(INDEX(tblItems[ItemCode],SMALL(IF((tblItems[Zone]=X$4)*(tblItems[ItemCode]&lt;&gt;""),ROW(tblItems[ItemCode])-MIN(ROW(tblItems[ItemCode]))+1),ROWS(X$6:X149))),"")</f>
        <v/>
      </c>
      <c r="Y149" s="70">
        <f t="array" ref="Y149">IFERROR(INDEX(tblItems[ItemCode],SMALL(IF((tblItems[Zone]=Y$4)*(tblItems[ItemCode]&lt;&gt;""),ROW(tblItems[ItemCode])-MIN(ROW(tblItems[ItemCode]))+1),ROWS(Y$6:Y149))),"")</f>
        <v/>
      </c>
      <c r="Z149" s="70">
        <f t="array" ref="Z149">IFERROR(INDEX(tblItems[ItemCode],SMALL(IF((tblItems[Zone]=Z$4)*(tblItems[ItemCode]&lt;&gt;""),ROW(tblItems[ItemCode])-MIN(ROW(tblItems[ItemCode]))+1),ROWS(Z$6:Z149))),"")</f>
        <v/>
      </c>
      <c r="AA149" s="70">
        <f t="array" ref="AA149">IFERROR(INDEX(tblItems[ItemCode],SMALL(IF((tblItems[Zone]=AA$4)*(tblItems[ItemCode]&lt;&gt;""),ROW(tblItems[ItemCode])-MIN(ROW(tblItems[ItemCode]))+1),ROWS(AA$6:AA149))),"")</f>
        <v/>
      </c>
      <c r="AB149" s="70">
        <f t="array" ref="AB149">IFERROR(INDEX(tblItems[ItemCode],SMALL(IF((tblItems[Zone]=AB$4)*(tblItems[ItemCode]&lt;&gt;""),ROW(tblItems[ItemCode])-MIN(ROW(tblItems[ItemCode]))+1),ROWS(AB$6:AB149))),"")</f>
        <v/>
      </c>
      <c r="AC149" s="70">
        <f t="array" ref="AC149">IFERROR(INDEX(tblItems[ItemCode],SMALL(IF((tblItems[Zone]=AC$4)*(tblItems[ItemCode]&lt;&gt;""),ROW(tblItems[ItemCode])-MIN(ROW(tblItems[ItemCode]))+1),ROWS(AC$6:AC149))),"")</f>
        <v/>
      </c>
      <c r="AD149" s="70">
        <f t="array" ref="AD149">IFERROR(INDEX(tblItems[ItemCode],SMALL(IF((tblItems[Zone]=AD$4)*(tblItems[ItemCode]&lt;&gt;""),ROW(tblItems[ItemCode])-MIN(ROW(tblItems[ItemCode]))+1),ROWS(AD$6:AD149))),"")</f>
        <v/>
      </c>
      <c r="AE149" s="70">
        <f t="array" ref="AE149">IFERROR(INDEX(tblItems[ItemCode],SMALL(IF((tblItems[Zone]=AE$4)*(tblItems[ItemCode]&lt;&gt;""),ROW(tblItems[ItemCode])-MIN(ROW(tblItems[ItemCode]))+1),ROWS(AE$6:AE149))),"")</f>
        <v/>
      </c>
    </row>
    <row r="150">
      <c r="T150" s="70">
        <f t="array" ref="T150">IFERROR(INDEX(tblItems[ItemCode],SMALL(IF(tblItems[ItemCode]&lt;&gt;"",ROW(tblItems[ItemCode])-MIN(ROW(tblItems[ItemCode]))+1),ROWS(T$6:T150))),"")</f>
        <v/>
      </c>
      <c r="U150" s="70">
        <f t="array" ref="U150">IFERROR(INDEX(tblItems[ItemCode],SMALL(IF((tblItems[Zone]=U$4)*(tblItems[ItemCode]&lt;&gt;""),ROW(tblItems[ItemCode])-MIN(ROW(tblItems[ItemCode]))+1),ROWS(U$6:U150))),"")</f>
        <v/>
      </c>
      <c r="V150" s="70">
        <f t="array" ref="V150">IFERROR(INDEX(tblItems[ItemCode],SMALL(IF((tblItems[Zone]=V$4)*(tblItems[ItemCode]&lt;&gt;""),ROW(tblItems[ItemCode])-MIN(ROW(tblItems[ItemCode]))+1),ROWS(V$6:V150))),"")</f>
        <v/>
      </c>
      <c r="W150" s="70">
        <f t="array" ref="W150">IFERROR(INDEX(tblItems[ItemCode],SMALL(IF((tblItems[Zone]=W$4)*(tblItems[ItemCode]&lt;&gt;""),ROW(tblItems[ItemCode])-MIN(ROW(tblItems[ItemCode]))+1),ROWS(W$6:W150))),"")</f>
        <v/>
      </c>
      <c r="X150" s="70">
        <f t="array" ref="X150">IFERROR(INDEX(tblItems[ItemCode],SMALL(IF((tblItems[Zone]=X$4)*(tblItems[ItemCode]&lt;&gt;""),ROW(tblItems[ItemCode])-MIN(ROW(tblItems[ItemCode]))+1),ROWS(X$6:X150))),"")</f>
        <v/>
      </c>
      <c r="Y150" s="70">
        <f t="array" ref="Y150">IFERROR(INDEX(tblItems[ItemCode],SMALL(IF((tblItems[Zone]=Y$4)*(tblItems[ItemCode]&lt;&gt;""),ROW(tblItems[ItemCode])-MIN(ROW(tblItems[ItemCode]))+1),ROWS(Y$6:Y150))),"")</f>
        <v/>
      </c>
      <c r="Z150" s="70">
        <f t="array" ref="Z150">IFERROR(INDEX(tblItems[ItemCode],SMALL(IF((tblItems[Zone]=Z$4)*(tblItems[ItemCode]&lt;&gt;""),ROW(tblItems[ItemCode])-MIN(ROW(tblItems[ItemCode]))+1),ROWS(Z$6:Z150))),"")</f>
        <v/>
      </c>
      <c r="AA150" s="70">
        <f t="array" ref="AA150">IFERROR(INDEX(tblItems[ItemCode],SMALL(IF((tblItems[Zone]=AA$4)*(tblItems[ItemCode]&lt;&gt;""),ROW(tblItems[ItemCode])-MIN(ROW(tblItems[ItemCode]))+1),ROWS(AA$6:AA150))),"")</f>
        <v/>
      </c>
      <c r="AB150" s="70">
        <f t="array" ref="AB150">IFERROR(INDEX(tblItems[ItemCode],SMALL(IF((tblItems[Zone]=AB$4)*(tblItems[ItemCode]&lt;&gt;""),ROW(tblItems[ItemCode])-MIN(ROW(tblItems[ItemCode]))+1),ROWS(AB$6:AB150))),"")</f>
        <v/>
      </c>
      <c r="AC150" s="70">
        <f t="array" ref="AC150">IFERROR(INDEX(tblItems[ItemCode],SMALL(IF((tblItems[Zone]=AC$4)*(tblItems[ItemCode]&lt;&gt;""),ROW(tblItems[ItemCode])-MIN(ROW(tblItems[ItemCode]))+1),ROWS(AC$6:AC150))),"")</f>
        <v/>
      </c>
      <c r="AD150" s="70">
        <f t="array" ref="AD150">IFERROR(INDEX(tblItems[ItemCode],SMALL(IF((tblItems[Zone]=AD$4)*(tblItems[ItemCode]&lt;&gt;""),ROW(tblItems[ItemCode])-MIN(ROW(tblItems[ItemCode]))+1),ROWS(AD$6:AD150))),"")</f>
        <v/>
      </c>
      <c r="AE150" s="70">
        <f t="array" ref="AE150">IFERROR(INDEX(tblItems[ItemCode],SMALL(IF((tblItems[Zone]=AE$4)*(tblItems[ItemCode]&lt;&gt;""),ROW(tblItems[ItemCode])-MIN(ROW(tblItems[ItemCode]))+1),ROWS(AE$6:AE150))),"")</f>
        <v/>
      </c>
    </row>
    <row r="151">
      <c r="T151" s="70">
        <f t="array" ref="T151">IFERROR(INDEX(tblItems[ItemCode],SMALL(IF(tblItems[ItemCode]&lt;&gt;"",ROW(tblItems[ItemCode])-MIN(ROW(tblItems[ItemCode]))+1),ROWS(T$6:T151))),"")</f>
        <v/>
      </c>
      <c r="U151" s="70">
        <f t="array" ref="U151">IFERROR(INDEX(tblItems[ItemCode],SMALL(IF((tblItems[Zone]=U$4)*(tblItems[ItemCode]&lt;&gt;""),ROW(tblItems[ItemCode])-MIN(ROW(tblItems[ItemCode]))+1),ROWS(U$6:U151))),"")</f>
        <v/>
      </c>
      <c r="V151" s="70">
        <f t="array" ref="V151">IFERROR(INDEX(tblItems[ItemCode],SMALL(IF((tblItems[Zone]=V$4)*(tblItems[ItemCode]&lt;&gt;""),ROW(tblItems[ItemCode])-MIN(ROW(tblItems[ItemCode]))+1),ROWS(V$6:V151))),"")</f>
        <v/>
      </c>
      <c r="W151" s="70">
        <f t="array" ref="W151">IFERROR(INDEX(tblItems[ItemCode],SMALL(IF((tblItems[Zone]=W$4)*(tblItems[ItemCode]&lt;&gt;""),ROW(tblItems[ItemCode])-MIN(ROW(tblItems[ItemCode]))+1),ROWS(W$6:W151))),"")</f>
        <v/>
      </c>
      <c r="X151" s="70">
        <f t="array" ref="X151">IFERROR(INDEX(tblItems[ItemCode],SMALL(IF((tblItems[Zone]=X$4)*(tblItems[ItemCode]&lt;&gt;""),ROW(tblItems[ItemCode])-MIN(ROW(tblItems[ItemCode]))+1),ROWS(X$6:X151))),"")</f>
        <v/>
      </c>
      <c r="Y151" s="70">
        <f t="array" ref="Y151">IFERROR(INDEX(tblItems[ItemCode],SMALL(IF((tblItems[Zone]=Y$4)*(tblItems[ItemCode]&lt;&gt;""),ROW(tblItems[ItemCode])-MIN(ROW(tblItems[ItemCode]))+1),ROWS(Y$6:Y151))),"")</f>
        <v/>
      </c>
      <c r="Z151" s="70">
        <f t="array" ref="Z151">IFERROR(INDEX(tblItems[ItemCode],SMALL(IF((tblItems[Zone]=Z$4)*(tblItems[ItemCode]&lt;&gt;""),ROW(tblItems[ItemCode])-MIN(ROW(tblItems[ItemCode]))+1),ROWS(Z$6:Z151))),"")</f>
        <v/>
      </c>
      <c r="AA151" s="70">
        <f t="array" ref="AA151">IFERROR(INDEX(tblItems[ItemCode],SMALL(IF((tblItems[Zone]=AA$4)*(tblItems[ItemCode]&lt;&gt;""),ROW(tblItems[ItemCode])-MIN(ROW(tblItems[ItemCode]))+1),ROWS(AA$6:AA151))),"")</f>
        <v/>
      </c>
      <c r="AB151" s="70">
        <f t="array" ref="AB151">IFERROR(INDEX(tblItems[ItemCode],SMALL(IF((tblItems[Zone]=AB$4)*(tblItems[ItemCode]&lt;&gt;""),ROW(tblItems[ItemCode])-MIN(ROW(tblItems[ItemCode]))+1),ROWS(AB$6:AB151))),"")</f>
        <v/>
      </c>
      <c r="AC151" s="70">
        <f t="array" ref="AC151">IFERROR(INDEX(tblItems[ItemCode],SMALL(IF((tblItems[Zone]=AC$4)*(tblItems[ItemCode]&lt;&gt;""),ROW(tblItems[ItemCode])-MIN(ROW(tblItems[ItemCode]))+1),ROWS(AC$6:AC151))),"")</f>
        <v/>
      </c>
      <c r="AD151" s="70">
        <f t="array" ref="AD151">IFERROR(INDEX(tblItems[ItemCode],SMALL(IF((tblItems[Zone]=AD$4)*(tblItems[ItemCode]&lt;&gt;""),ROW(tblItems[ItemCode])-MIN(ROW(tblItems[ItemCode]))+1),ROWS(AD$6:AD151))),"")</f>
        <v/>
      </c>
      <c r="AE151" s="70">
        <f t="array" ref="AE151">IFERROR(INDEX(tblItems[ItemCode],SMALL(IF((tblItems[Zone]=AE$4)*(tblItems[ItemCode]&lt;&gt;""),ROW(tblItems[ItemCode])-MIN(ROW(tblItems[ItemCode]))+1),ROWS(AE$6:AE151))),"")</f>
        <v/>
      </c>
    </row>
    <row r="152">
      <c r="T152" s="70">
        <f t="array" ref="T152">IFERROR(INDEX(tblItems[ItemCode],SMALL(IF(tblItems[ItemCode]&lt;&gt;"",ROW(tblItems[ItemCode])-MIN(ROW(tblItems[ItemCode]))+1),ROWS(T$6:T152))),"")</f>
        <v/>
      </c>
      <c r="U152" s="70">
        <f t="array" ref="U152">IFERROR(INDEX(tblItems[ItemCode],SMALL(IF((tblItems[Zone]=U$4)*(tblItems[ItemCode]&lt;&gt;""),ROW(tblItems[ItemCode])-MIN(ROW(tblItems[ItemCode]))+1),ROWS(U$6:U152))),"")</f>
        <v/>
      </c>
      <c r="V152" s="70">
        <f t="array" ref="V152">IFERROR(INDEX(tblItems[ItemCode],SMALL(IF((tblItems[Zone]=V$4)*(tblItems[ItemCode]&lt;&gt;""),ROW(tblItems[ItemCode])-MIN(ROW(tblItems[ItemCode]))+1),ROWS(V$6:V152))),"")</f>
        <v/>
      </c>
      <c r="W152" s="70">
        <f t="array" ref="W152">IFERROR(INDEX(tblItems[ItemCode],SMALL(IF((tblItems[Zone]=W$4)*(tblItems[ItemCode]&lt;&gt;""),ROW(tblItems[ItemCode])-MIN(ROW(tblItems[ItemCode]))+1),ROWS(W$6:W152))),"")</f>
        <v/>
      </c>
      <c r="X152" s="70">
        <f t="array" ref="X152">IFERROR(INDEX(tblItems[ItemCode],SMALL(IF((tblItems[Zone]=X$4)*(tblItems[ItemCode]&lt;&gt;""),ROW(tblItems[ItemCode])-MIN(ROW(tblItems[ItemCode]))+1),ROWS(X$6:X152))),"")</f>
        <v/>
      </c>
      <c r="Y152" s="70">
        <f t="array" ref="Y152">IFERROR(INDEX(tblItems[ItemCode],SMALL(IF((tblItems[Zone]=Y$4)*(tblItems[ItemCode]&lt;&gt;""),ROW(tblItems[ItemCode])-MIN(ROW(tblItems[ItemCode]))+1),ROWS(Y$6:Y152))),"")</f>
        <v/>
      </c>
      <c r="Z152" s="70">
        <f t="array" ref="Z152">IFERROR(INDEX(tblItems[ItemCode],SMALL(IF((tblItems[Zone]=Z$4)*(tblItems[ItemCode]&lt;&gt;""),ROW(tblItems[ItemCode])-MIN(ROW(tblItems[ItemCode]))+1),ROWS(Z$6:Z152))),"")</f>
        <v/>
      </c>
      <c r="AA152" s="70">
        <f t="array" ref="AA152">IFERROR(INDEX(tblItems[ItemCode],SMALL(IF((tblItems[Zone]=AA$4)*(tblItems[ItemCode]&lt;&gt;""),ROW(tblItems[ItemCode])-MIN(ROW(tblItems[ItemCode]))+1),ROWS(AA$6:AA152))),"")</f>
        <v/>
      </c>
      <c r="AB152" s="70">
        <f t="array" ref="AB152">IFERROR(INDEX(tblItems[ItemCode],SMALL(IF((tblItems[Zone]=AB$4)*(tblItems[ItemCode]&lt;&gt;""),ROW(tblItems[ItemCode])-MIN(ROW(tblItems[ItemCode]))+1),ROWS(AB$6:AB152))),"")</f>
        <v/>
      </c>
      <c r="AC152" s="70">
        <f t="array" ref="AC152">IFERROR(INDEX(tblItems[ItemCode],SMALL(IF((tblItems[Zone]=AC$4)*(tblItems[ItemCode]&lt;&gt;""),ROW(tblItems[ItemCode])-MIN(ROW(tblItems[ItemCode]))+1),ROWS(AC$6:AC152))),"")</f>
        <v/>
      </c>
      <c r="AD152" s="70">
        <f t="array" ref="AD152">IFERROR(INDEX(tblItems[ItemCode],SMALL(IF((tblItems[Zone]=AD$4)*(tblItems[ItemCode]&lt;&gt;""),ROW(tblItems[ItemCode])-MIN(ROW(tblItems[ItemCode]))+1),ROWS(AD$6:AD152))),"")</f>
        <v/>
      </c>
      <c r="AE152" s="70">
        <f t="array" ref="AE152">IFERROR(INDEX(tblItems[ItemCode],SMALL(IF((tblItems[Zone]=AE$4)*(tblItems[ItemCode]&lt;&gt;""),ROW(tblItems[ItemCode])-MIN(ROW(tblItems[ItemCode]))+1),ROWS(AE$6:AE152))),"")</f>
        <v/>
      </c>
    </row>
    <row r="153">
      <c r="T153" s="70">
        <f t="array" ref="T153">IFERROR(INDEX(tblItems[ItemCode],SMALL(IF(tblItems[ItemCode]&lt;&gt;"",ROW(tblItems[ItemCode])-MIN(ROW(tblItems[ItemCode]))+1),ROWS(T$6:T153))),"")</f>
        <v/>
      </c>
      <c r="U153" s="70">
        <f t="array" ref="U153">IFERROR(INDEX(tblItems[ItemCode],SMALL(IF((tblItems[Zone]=U$4)*(tblItems[ItemCode]&lt;&gt;""),ROW(tblItems[ItemCode])-MIN(ROW(tblItems[ItemCode]))+1),ROWS(U$6:U153))),"")</f>
        <v/>
      </c>
      <c r="V153" s="70">
        <f t="array" ref="V153">IFERROR(INDEX(tblItems[ItemCode],SMALL(IF((tblItems[Zone]=V$4)*(tblItems[ItemCode]&lt;&gt;""),ROW(tblItems[ItemCode])-MIN(ROW(tblItems[ItemCode]))+1),ROWS(V$6:V153))),"")</f>
        <v/>
      </c>
      <c r="W153" s="70">
        <f t="array" ref="W153">IFERROR(INDEX(tblItems[ItemCode],SMALL(IF((tblItems[Zone]=W$4)*(tblItems[ItemCode]&lt;&gt;""),ROW(tblItems[ItemCode])-MIN(ROW(tblItems[ItemCode]))+1),ROWS(W$6:W153))),"")</f>
        <v/>
      </c>
      <c r="X153" s="70">
        <f t="array" ref="X153">IFERROR(INDEX(tblItems[ItemCode],SMALL(IF((tblItems[Zone]=X$4)*(tblItems[ItemCode]&lt;&gt;""),ROW(tblItems[ItemCode])-MIN(ROW(tblItems[ItemCode]))+1),ROWS(X$6:X153))),"")</f>
        <v/>
      </c>
      <c r="Y153" s="70">
        <f t="array" ref="Y153">IFERROR(INDEX(tblItems[ItemCode],SMALL(IF((tblItems[Zone]=Y$4)*(tblItems[ItemCode]&lt;&gt;""),ROW(tblItems[ItemCode])-MIN(ROW(tblItems[ItemCode]))+1),ROWS(Y$6:Y153))),"")</f>
        <v/>
      </c>
      <c r="Z153" s="70">
        <f t="array" ref="Z153">IFERROR(INDEX(tblItems[ItemCode],SMALL(IF((tblItems[Zone]=Z$4)*(tblItems[ItemCode]&lt;&gt;""),ROW(tblItems[ItemCode])-MIN(ROW(tblItems[ItemCode]))+1),ROWS(Z$6:Z153))),"")</f>
        <v/>
      </c>
      <c r="AA153" s="70">
        <f t="array" ref="AA153">IFERROR(INDEX(tblItems[ItemCode],SMALL(IF((tblItems[Zone]=AA$4)*(tblItems[ItemCode]&lt;&gt;""),ROW(tblItems[ItemCode])-MIN(ROW(tblItems[ItemCode]))+1),ROWS(AA$6:AA153))),"")</f>
        <v/>
      </c>
      <c r="AB153" s="70">
        <f t="array" ref="AB153">IFERROR(INDEX(tblItems[ItemCode],SMALL(IF((tblItems[Zone]=AB$4)*(tblItems[ItemCode]&lt;&gt;""),ROW(tblItems[ItemCode])-MIN(ROW(tblItems[ItemCode]))+1),ROWS(AB$6:AB153))),"")</f>
        <v/>
      </c>
      <c r="AC153" s="70">
        <f t="array" ref="AC153">IFERROR(INDEX(tblItems[ItemCode],SMALL(IF((tblItems[Zone]=AC$4)*(tblItems[ItemCode]&lt;&gt;""),ROW(tblItems[ItemCode])-MIN(ROW(tblItems[ItemCode]))+1),ROWS(AC$6:AC153))),"")</f>
        <v/>
      </c>
      <c r="AD153" s="70">
        <f t="array" ref="AD153">IFERROR(INDEX(tblItems[ItemCode],SMALL(IF((tblItems[Zone]=AD$4)*(tblItems[ItemCode]&lt;&gt;""),ROW(tblItems[ItemCode])-MIN(ROW(tblItems[ItemCode]))+1),ROWS(AD$6:AD153))),"")</f>
        <v/>
      </c>
      <c r="AE153" s="70">
        <f t="array" ref="AE153">IFERROR(INDEX(tblItems[ItemCode],SMALL(IF((tblItems[Zone]=AE$4)*(tblItems[ItemCode]&lt;&gt;""),ROW(tblItems[ItemCode])-MIN(ROW(tblItems[ItemCode]))+1),ROWS(AE$6:AE153))),"")</f>
        <v/>
      </c>
    </row>
    <row r="154">
      <c r="T154" s="70">
        <f t="array" ref="T154">IFERROR(INDEX(tblItems[ItemCode],SMALL(IF(tblItems[ItemCode]&lt;&gt;"",ROW(tblItems[ItemCode])-MIN(ROW(tblItems[ItemCode]))+1),ROWS(T$6:T154))),"")</f>
        <v/>
      </c>
      <c r="U154" s="70">
        <f t="array" ref="U154">IFERROR(INDEX(tblItems[ItemCode],SMALL(IF((tblItems[Zone]=U$4)*(tblItems[ItemCode]&lt;&gt;""),ROW(tblItems[ItemCode])-MIN(ROW(tblItems[ItemCode]))+1),ROWS(U$6:U154))),"")</f>
        <v/>
      </c>
      <c r="V154" s="70">
        <f t="array" ref="V154">IFERROR(INDEX(tblItems[ItemCode],SMALL(IF((tblItems[Zone]=V$4)*(tblItems[ItemCode]&lt;&gt;""),ROW(tblItems[ItemCode])-MIN(ROW(tblItems[ItemCode]))+1),ROWS(V$6:V154))),"")</f>
        <v/>
      </c>
      <c r="W154" s="70">
        <f t="array" ref="W154">IFERROR(INDEX(tblItems[ItemCode],SMALL(IF((tblItems[Zone]=W$4)*(tblItems[ItemCode]&lt;&gt;""),ROW(tblItems[ItemCode])-MIN(ROW(tblItems[ItemCode]))+1),ROWS(W$6:W154))),"")</f>
        <v/>
      </c>
      <c r="X154" s="70">
        <f t="array" ref="X154">IFERROR(INDEX(tblItems[ItemCode],SMALL(IF((tblItems[Zone]=X$4)*(tblItems[ItemCode]&lt;&gt;""),ROW(tblItems[ItemCode])-MIN(ROW(tblItems[ItemCode]))+1),ROWS(X$6:X154))),"")</f>
        <v/>
      </c>
      <c r="Y154" s="70">
        <f t="array" ref="Y154">IFERROR(INDEX(tblItems[ItemCode],SMALL(IF((tblItems[Zone]=Y$4)*(tblItems[ItemCode]&lt;&gt;""),ROW(tblItems[ItemCode])-MIN(ROW(tblItems[ItemCode]))+1),ROWS(Y$6:Y154))),"")</f>
        <v/>
      </c>
      <c r="Z154" s="70">
        <f t="array" ref="Z154">IFERROR(INDEX(tblItems[ItemCode],SMALL(IF((tblItems[Zone]=Z$4)*(tblItems[ItemCode]&lt;&gt;""),ROW(tblItems[ItemCode])-MIN(ROW(tblItems[ItemCode]))+1),ROWS(Z$6:Z154))),"")</f>
        <v/>
      </c>
      <c r="AA154" s="70">
        <f t="array" ref="AA154">IFERROR(INDEX(tblItems[ItemCode],SMALL(IF((tblItems[Zone]=AA$4)*(tblItems[ItemCode]&lt;&gt;""),ROW(tblItems[ItemCode])-MIN(ROW(tblItems[ItemCode]))+1),ROWS(AA$6:AA154))),"")</f>
        <v/>
      </c>
      <c r="AB154" s="70">
        <f t="array" ref="AB154">IFERROR(INDEX(tblItems[ItemCode],SMALL(IF((tblItems[Zone]=AB$4)*(tblItems[ItemCode]&lt;&gt;""),ROW(tblItems[ItemCode])-MIN(ROW(tblItems[ItemCode]))+1),ROWS(AB$6:AB154))),"")</f>
        <v/>
      </c>
      <c r="AC154" s="70">
        <f t="array" ref="AC154">IFERROR(INDEX(tblItems[ItemCode],SMALL(IF((tblItems[Zone]=AC$4)*(tblItems[ItemCode]&lt;&gt;""),ROW(tblItems[ItemCode])-MIN(ROW(tblItems[ItemCode]))+1),ROWS(AC$6:AC154))),"")</f>
        <v/>
      </c>
      <c r="AD154" s="70">
        <f t="array" ref="AD154">IFERROR(INDEX(tblItems[ItemCode],SMALL(IF((tblItems[Zone]=AD$4)*(tblItems[ItemCode]&lt;&gt;""),ROW(tblItems[ItemCode])-MIN(ROW(tblItems[ItemCode]))+1),ROWS(AD$6:AD154))),"")</f>
        <v/>
      </c>
      <c r="AE154" s="70">
        <f t="array" ref="AE154">IFERROR(INDEX(tblItems[ItemCode],SMALL(IF((tblItems[Zone]=AE$4)*(tblItems[ItemCode]&lt;&gt;""),ROW(tblItems[ItemCode])-MIN(ROW(tblItems[ItemCode]))+1),ROWS(AE$6:AE154))),"")</f>
        <v/>
      </c>
    </row>
    <row r="155">
      <c r="T155" s="70">
        <f t="array" ref="T155">IFERROR(INDEX(tblItems[ItemCode],SMALL(IF(tblItems[ItemCode]&lt;&gt;"",ROW(tblItems[ItemCode])-MIN(ROW(tblItems[ItemCode]))+1),ROWS(T$6:T155))),"")</f>
        <v/>
      </c>
      <c r="U155" s="70">
        <f t="array" ref="U155">IFERROR(INDEX(tblItems[ItemCode],SMALL(IF((tblItems[Zone]=U$4)*(tblItems[ItemCode]&lt;&gt;""),ROW(tblItems[ItemCode])-MIN(ROW(tblItems[ItemCode]))+1),ROWS(U$6:U155))),"")</f>
        <v/>
      </c>
      <c r="V155" s="70">
        <f t="array" ref="V155">IFERROR(INDEX(tblItems[ItemCode],SMALL(IF((tblItems[Zone]=V$4)*(tblItems[ItemCode]&lt;&gt;""),ROW(tblItems[ItemCode])-MIN(ROW(tblItems[ItemCode]))+1),ROWS(V$6:V155))),"")</f>
        <v/>
      </c>
      <c r="W155" s="70">
        <f t="array" ref="W155">IFERROR(INDEX(tblItems[ItemCode],SMALL(IF((tblItems[Zone]=W$4)*(tblItems[ItemCode]&lt;&gt;""),ROW(tblItems[ItemCode])-MIN(ROW(tblItems[ItemCode]))+1),ROWS(W$6:W155))),"")</f>
        <v/>
      </c>
      <c r="X155" s="70">
        <f t="array" ref="X155">IFERROR(INDEX(tblItems[ItemCode],SMALL(IF((tblItems[Zone]=X$4)*(tblItems[ItemCode]&lt;&gt;""),ROW(tblItems[ItemCode])-MIN(ROW(tblItems[ItemCode]))+1),ROWS(X$6:X155))),"")</f>
        <v/>
      </c>
      <c r="Y155" s="70">
        <f t="array" ref="Y155">IFERROR(INDEX(tblItems[ItemCode],SMALL(IF((tblItems[Zone]=Y$4)*(tblItems[ItemCode]&lt;&gt;""),ROW(tblItems[ItemCode])-MIN(ROW(tblItems[ItemCode]))+1),ROWS(Y$6:Y155))),"")</f>
        <v/>
      </c>
      <c r="Z155" s="70">
        <f t="array" ref="Z155">IFERROR(INDEX(tblItems[ItemCode],SMALL(IF((tblItems[Zone]=Z$4)*(tblItems[ItemCode]&lt;&gt;""),ROW(tblItems[ItemCode])-MIN(ROW(tblItems[ItemCode]))+1),ROWS(Z$6:Z155))),"")</f>
        <v/>
      </c>
      <c r="AA155" s="70">
        <f t="array" ref="AA155">IFERROR(INDEX(tblItems[ItemCode],SMALL(IF((tblItems[Zone]=AA$4)*(tblItems[ItemCode]&lt;&gt;""),ROW(tblItems[ItemCode])-MIN(ROW(tblItems[ItemCode]))+1),ROWS(AA$6:AA155))),"")</f>
        <v/>
      </c>
      <c r="AB155" s="70">
        <f t="array" ref="AB155">IFERROR(INDEX(tblItems[ItemCode],SMALL(IF((tblItems[Zone]=AB$4)*(tblItems[ItemCode]&lt;&gt;""),ROW(tblItems[ItemCode])-MIN(ROW(tblItems[ItemCode]))+1),ROWS(AB$6:AB155))),"")</f>
        <v/>
      </c>
      <c r="AC155" s="70">
        <f t="array" ref="AC155">IFERROR(INDEX(tblItems[ItemCode],SMALL(IF((tblItems[Zone]=AC$4)*(tblItems[ItemCode]&lt;&gt;""),ROW(tblItems[ItemCode])-MIN(ROW(tblItems[ItemCode]))+1),ROWS(AC$6:AC155))),"")</f>
        <v/>
      </c>
      <c r="AD155" s="70">
        <f t="array" ref="AD155">IFERROR(INDEX(tblItems[ItemCode],SMALL(IF((tblItems[Zone]=AD$4)*(tblItems[ItemCode]&lt;&gt;""),ROW(tblItems[ItemCode])-MIN(ROW(tblItems[ItemCode]))+1),ROWS(AD$6:AD155))),"")</f>
        <v/>
      </c>
      <c r="AE155" s="70">
        <f t="array" ref="AE155">IFERROR(INDEX(tblItems[ItemCode],SMALL(IF((tblItems[Zone]=AE$4)*(tblItems[ItemCode]&lt;&gt;""),ROW(tblItems[ItemCode])-MIN(ROW(tblItems[ItemCode]))+1),ROWS(AE$6:AE155))),"")</f>
        <v/>
      </c>
    </row>
  </sheetData>
  <mergeCells count="2">
    <mergeCell ref="A2:X2"/>
    <mergeCell ref="A1:X1"/>
  </mergeCells>
  <dataValidations count="4">
    <dataValidation sqref="B5:B53" showDropDown="0" showInputMessage="0" showErrorMessage="0" allowBlank="0" type="list">
      <formula1>"Left,Right"</formula1>
    </dataValidation>
    <dataValidation sqref="H5:H53" showDropDown="0" showInputMessage="0" showErrorMessage="0" allowBlank="0" type="list">
      <formula1>"Yes,No,Blocked"</formula1>
    </dataValidation>
    <dataValidation sqref="F5:F53" showDropDown="0" showInputMessage="0" showErrorMessage="0" allowBlank="1" type="list">
      <formula1>ZoneCodes</formula1>
    </dataValidation>
    <dataValidation sqref="C5:E53 G5:G53" showDropDown="0" showInputMessage="0" showErrorMessage="0" allowBlank="0" type="whole" operator="between">
      <formula1>0</formula1>
      <formula2>99</formula2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6" customWidth="1" min="4" max="4"/>
    <col width="22" customWidth="1" min="5" max="5"/>
  </cols>
  <sheetData>
    <row r="1" ht="30" customHeight="1">
      <c r="A1" s="33" t="inlineStr">
        <is>
          <t>MoveLog</t>
        </is>
      </c>
      <c r="B1" s="2" t="n"/>
      <c r="C1" s="2" t="n"/>
      <c r="D1" s="2" t="n"/>
      <c r="E1" s="2" t="n"/>
    </row>
    <row r="2" ht="30" customHeight="1">
      <c r="A2" s="34" t="inlineStr">
        <is>
          <t>Written automatically by the macros: every move, swap, Find Space placement and anything dropped by Rebuild Layout.</t>
        </is>
      </c>
    </row>
    <row r="4" ht="30" customHeight="1">
      <c r="A4" s="56" t="inlineStr">
        <is>
          <t>Timestamp</t>
        </is>
      </c>
      <c r="B4" s="56" t="inlineStr">
        <is>
          <t>User</t>
        </is>
      </c>
      <c r="C4" s="56" t="inlineStr">
        <is>
          <t>ItemCode</t>
        </is>
      </c>
      <c r="D4" s="56" t="inlineStr">
        <is>
          <t>FromLocation</t>
        </is>
      </c>
      <c r="E4" s="56" t="inlineStr">
        <is>
          <t>ToLocation</t>
        </is>
      </c>
    </row>
    <row r="5">
      <c r="A5" s="82" t="n"/>
      <c r="B5" s="58" t="n"/>
      <c r="C5" s="58" t="n"/>
      <c r="D5" s="58" t="n"/>
      <c r="E5" s="58" t="n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2026-09-30T15:11:35Z</dcterms:created>
  <dcterms:modified xsi:type="dcterms:W3CDTF">2026-09-30T15:11:36Z</dcterms:modified>
</cp:coreProperties>
</file>