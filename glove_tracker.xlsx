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lleagues" sheetId="2" state="visible" r:id="rId4"/>
    <sheet name="Issue Log" sheetId="3" state="visible" r:id="rId5"/>
    <sheet name="Sto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Helper number used by the Dashboard's flagged list.</t>
        </r>
      </text>
    </comment>
  </commentList>
</comments>
</file>

<file path=xl/sharedStrings.xml><?xml version="1.0" encoding="utf-8"?>
<sst xmlns="http://schemas.openxmlformats.org/spreadsheetml/2006/main" count="71" uniqueCount="57">
  <si>
    <t xml:space="preserve">GLOVE TRACKER — DASHBOARD</t>
  </si>
  <si>
    <t xml:space="preserve">Live summary. Add names on Colleagues, deliveries on Stock, and hand-outs on Issue Log — this page updates by itself. Anyone on their 3rd pair or more is FLAGGED.</t>
  </si>
  <si>
    <t xml:space="preserve">SMALL ON HAND</t>
  </si>
  <si>
    <t xml:space="preserve">MEDIUM ON HAND</t>
  </si>
  <si>
    <t xml:space="preserve">LARGE ON HAND</t>
  </si>
  <si>
    <t xml:space="preserve">TOTAL PAIRS ISSUED</t>
  </si>
  <si>
    <t xml:space="preserve">FLAGGED PEOPLE</t>
  </si>
  <si>
    <t xml:space="preserve">COLLEAGUES LISTED</t>
  </si>
  <si>
    <t xml:space="preserve">GIVEN 1 PAIR</t>
  </si>
  <si>
    <t xml:space="preserve">GIVEN 2 PAIRS</t>
  </si>
  <si>
    <t xml:space="preserve">NOT YET ISSUED</t>
  </si>
  <si>
    <t xml:space="preserve">FLAGGED HAND-OUTS</t>
  </si>
  <si>
    <t xml:space="preserve">Size</t>
  </si>
  <si>
    <t xml:space="preserve">Received</t>
  </si>
  <si>
    <t xml:space="preserve">Issued</t>
  </si>
  <si>
    <t xml:space="preserve">On Hand</t>
  </si>
  <si>
    <t xml:space="preserve">Status</t>
  </si>
  <si>
    <t xml:space="preserve">Total</t>
  </si>
  <si>
    <t xml:space="preserve">HOW TO USE</t>
  </si>
  <si>
    <t xml:space="preserve">1. Colleagues — type each name and pick their glove size (pink cells).</t>
  </si>
  <si>
    <t xml:space="preserve">2. Stock — log every delivery: date, size, pairs received.</t>
  </si>
  <si>
    <t xml:space="preserve">3. Issue Log — each hand-out: date, name (dropdown), size, pairs, reason.</t>
  </si>
  <si>
    <t xml:space="preserve">4. Counts never reset. 1st &amp; 2nd pair = OK; 3rd pair or more = FLAG (red).</t>
  </si>
  <si>
    <t xml:space="preserve">   Pink cells = type here. White cells = automatic, don't overwrite.</t>
  </si>
  <si>
    <t xml:space="preserve">⚑ FLAGGED — 3rd PAIR OR MORE</t>
  </si>
  <si>
    <t xml:space="preserve">#</t>
  </si>
  <si>
    <t xml:space="preserve">Name</t>
  </si>
  <si>
    <t xml:space="preserve">Total Pairs</t>
  </si>
  <si>
    <t xml:space="preserve">1st Pair</t>
  </si>
  <si>
    <t xml:space="preserve">2nd Pair</t>
  </si>
  <si>
    <t xml:space="preserve">3rd Pair</t>
  </si>
  <si>
    <t xml:space="preserve">Last Issued</t>
  </si>
  <si>
    <t xml:space="preserve">COLLEAGUES</t>
  </si>
  <si>
    <t xml:space="preserve">Type names in column B and pick each person's glove size in column C (pink cells). Everything else fills in automatically from the Issue Log. 3rd pair or more = FLAG.</t>
  </si>
  <si>
    <t xml:space="preserve">Glove Size</t>
  </si>
  <si>
    <t xml:space="preserve">Total Pairs Given</t>
  </si>
  <si>
    <t xml:space="preserve">1st Pair Date</t>
  </si>
  <si>
    <t xml:space="preserve">2nd Pair Date</t>
  </si>
  <si>
    <t xml:space="preserve">3rd Pair Date</t>
  </si>
  <si>
    <t xml:space="preserve">Flag #</t>
  </si>
  <si>
    <t xml:space="preserve">ISSUE LOG</t>
  </si>
  <si>
    <t xml:space="preserve">One row each time gloves are handed out, entered in date order. Fill the pink cells: Date, Name (dropdown from Colleagues), Size, Pairs, Reason. Pair # and Flag are automatic.</t>
  </si>
  <si>
    <t xml:space="preserve">Date Given</t>
  </si>
  <si>
    <t xml:space="preserve">Pairs Given</t>
  </si>
  <si>
    <t xml:space="preserve">Reason / Notes</t>
  </si>
  <si>
    <t xml:space="preserve">Pair # (running total)</t>
  </si>
  <si>
    <t xml:space="preserve">Flag</t>
  </si>
  <si>
    <t xml:space="preserve">STOCK</t>
  </si>
  <si>
    <t xml:space="preserve">Record every delivery of gloves in the Deliveries table (pink cells). On Hand = Received − Issued, worked out automatically.</t>
  </si>
  <si>
    <t xml:space="preserve">Small</t>
  </si>
  <si>
    <t xml:space="preserve">Medium</t>
  </si>
  <si>
    <t xml:space="preserve">Large</t>
  </si>
  <si>
    <t xml:space="preserve">Low-stock alert below</t>
  </si>
  <si>
    <t xml:space="preserve">pairs per size (agreed default — change as needed)</t>
  </si>
  <si>
    <t xml:space="preserve">Date Received</t>
  </si>
  <si>
    <t xml:space="preserve">Pairs Received</t>
  </si>
  <si>
    <t xml:space="preserve">Supplier / 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</si>
</sst>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4"/>
      <color rgb="FFC00000"/>
      <name val="Arial"/>
      <family val="0"/>
      <charset val="1"/>
    </font>
    <font>
      <b val="true"/>
      <sz val="24"/>
      <color rgb="FF7F0000"/>
      <name val="Arial"/>
      <family val="0"/>
      <charset val="1"/>
    </font>
    <font>
      <b val="true"/>
      <sz val="24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7F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F0000"/>
        <bgColor rgb="FF800000"/>
      </patternFill>
    </fill>
    <fill>
      <patternFill patternType="solid">
        <fgColor rgb="FFC00000"/>
        <bgColor rgb="FF800000"/>
      </patternFill>
    </fill>
    <fill>
      <patternFill patternType="solid">
        <fgColor rgb="FFFFF5F5"/>
        <bgColor rgb="FFFFFFFF"/>
      </patternFill>
    </fill>
    <fill>
      <patternFill patternType="solid">
        <fgColor rgb="FFF4CCCC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7F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6666"/>
        </patternFill>
      </fill>
    </dxf>
    <dxf>
      <font>
        <name val="Arial"/>
        <charset val="1"/>
        <family val="0"/>
        <b val="1"/>
        <color rgb="FF7F000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5F5"/>
      <rgbColor rgb="FFCCFFFF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by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Stock!C4</c:f>
              <c:strCache>
                <c:ptCount val="1"/>
                <c:pt idx="0">
                  <c:v>Issued</c:v>
                </c:pt>
              </c:strCache>
            </c:strRef>
          </c:tx>
          <c:spPr>
            <a:solidFill>
              <a:srgbClr val="e0666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Stock!$A$5:$A$7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Stock!$C$5:$C$7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Stock!D4</c:f>
              <c:strCache>
                <c:ptCount val="1"/>
                <c:pt idx="0">
                  <c:v>On Hand</c:v>
                </c:pt>
              </c:strCache>
            </c:strRef>
          </c:tx>
          <c:spPr>
            <a:solidFill>
              <a:srgbClr val="7f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Stock!$A$5:$A$7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Stock!$D$5:$D$7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8389262"/>
        <c:axId val="50225220"/>
      </c:barChart>
      <c:catAx>
        <c:axId val="58389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25220"/>
        <c:crosses val="autoZero"/>
        <c:auto val="1"/>
        <c:lblAlgn val="ctr"/>
        <c:lblOffset val="100"/>
        <c:noMultiLvlLbl val="0"/>
      </c:catAx>
      <c:valAx>
        <c:axId val="50225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Pairs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892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11</xdr:col>
      <xdr:colOff>412560</xdr:colOff>
      <xdr:row>24</xdr:row>
      <xdr:rowOff>32400</xdr:rowOff>
    </xdr:to>
    <xdr:graphicFrame>
      <xdr:nvGraphicFramePr>
        <xdr:cNvPr id="0" name="Chart 1"/>
        <xdr:cNvGraphicFramePr/>
      </xdr:nvGraphicFramePr>
      <xdr:xfrm>
        <a:off x="6934320" y="29811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2"/>
    <col collapsed="false" customWidth="true" hidden="false" outlineLevel="0" max="6" min="6" style="0" width="15"/>
    <col collapsed="false" customWidth="true" hidden="false" outlineLevel="0" max="12" min="7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21.75" hidden="false" customHeight="true" outlineLevel="0" collapsed="false">
      <c r="B5" s="4" t="n">
        <f aca="false">Stock!D5</f>
        <v>0</v>
      </c>
      <c r="C5" s="4"/>
      <c r="D5" s="4" t="n">
        <f aca="false">Stock!D6</f>
        <v>0</v>
      </c>
      <c r="E5" s="4"/>
      <c r="F5" s="4" t="n">
        <f aca="false">Stock!D7</f>
        <v>0</v>
      </c>
      <c r="G5" s="4"/>
      <c r="H5" s="5" t="n">
        <f aca="false">Stock!C8</f>
        <v>0</v>
      </c>
      <c r="I5" s="5"/>
      <c r="J5" s="5" t="n">
        <f aca="false">COUNTIF(Colleagues!I5:I204,"FLAG")</f>
        <v>0</v>
      </c>
      <c r="K5" s="5"/>
    </row>
    <row r="6" customFormat="false" ht="21.75" hidden="false" customHeight="true" outlineLevel="0" collapsed="false">
      <c r="B6" s="4"/>
      <c r="C6" s="4"/>
      <c r="D6" s="4"/>
      <c r="E6" s="4"/>
      <c r="F6" s="4"/>
      <c r="G6" s="4"/>
      <c r="H6" s="5"/>
      <c r="I6" s="5"/>
      <c r="J6" s="5"/>
      <c r="K6" s="5"/>
    </row>
    <row r="8" customFormat="false" ht="15" hidden="false" customHeight="false" outlineLevel="0" collapsed="false">
      <c r="B8" s="3" t="s">
        <v>7</v>
      </c>
      <c r="C8" s="3"/>
      <c r="D8" s="3" t="s">
        <v>8</v>
      </c>
      <c r="E8" s="3"/>
      <c r="F8" s="3" t="s">
        <v>9</v>
      </c>
      <c r="G8" s="3"/>
      <c r="H8" s="3" t="s">
        <v>10</v>
      </c>
      <c r="I8" s="3"/>
      <c r="J8" s="3" t="s">
        <v>11</v>
      </c>
      <c r="K8" s="3"/>
    </row>
    <row r="9" customFormat="false" ht="21.75" hidden="false" customHeight="true" outlineLevel="0" collapsed="false">
      <c r="B9" s="6" t="n">
        <f aca="false">COUNTA(Colleagues!B5:B204)</f>
        <v>0</v>
      </c>
      <c r="C9" s="6"/>
      <c r="D9" s="6" t="n">
        <f aca="false">COUNTIF(Colleagues!D5:D204,1)</f>
        <v>0</v>
      </c>
      <c r="E9" s="6"/>
      <c r="F9" s="6" t="n">
        <f aca="false">COUNTIF(Colleagues!D5:D204,2)</f>
        <v>0</v>
      </c>
      <c r="G9" s="6"/>
      <c r="H9" s="6" t="n">
        <f aca="false">COUNTIF(Colleagues!I5:I204,"Not issued")</f>
        <v>0</v>
      </c>
      <c r="I9" s="6"/>
      <c r="J9" s="5" t="n">
        <f aca="false">COUNTIF('Issue Log'!G5:G1004,"FLAG")</f>
        <v>0</v>
      </c>
      <c r="K9" s="5"/>
    </row>
    <row r="10" customFormat="false" ht="21.75" hidden="false" customHeight="true" outlineLevel="0" collapsed="false">
      <c r="B10" s="6"/>
      <c r="C10" s="6"/>
      <c r="D10" s="6"/>
      <c r="E10" s="6"/>
      <c r="F10" s="6"/>
      <c r="G10" s="6"/>
      <c r="H10" s="6"/>
      <c r="I10" s="6"/>
      <c r="J10" s="5"/>
      <c r="K10" s="5"/>
    </row>
    <row r="12" customFormat="false" ht="30" hidden="false" customHeight="true" outlineLevel="0" collapsed="false"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</row>
    <row r="13" customFormat="false" ht="15" hidden="false" customHeight="false" outlineLevel="0" collapsed="false">
      <c r="B13" s="8" t="str">
        <f aca="false">Stock!A5</f>
        <v>Small</v>
      </c>
      <c r="C13" s="9" t="n">
        <f aca="false">Stock!B5</f>
        <v>0</v>
      </c>
      <c r="D13" s="9" t="n">
        <f aca="false">Stock!C5</f>
        <v>0</v>
      </c>
      <c r="E13" s="9" t="n">
        <f aca="false">Stock!D5</f>
        <v>0</v>
      </c>
      <c r="F13" s="10" t="str">
        <f aca="false">Stock!E5</f>
        <v>OUT OF STOCK</v>
      </c>
    </row>
    <row r="14" customFormat="false" ht="15" hidden="false" customHeight="false" outlineLevel="0" collapsed="false">
      <c r="B14" s="8" t="str">
        <f aca="false">Stock!A6</f>
        <v>Medium</v>
      </c>
      <c r="C14" s="9" t="n">
        <f aca="false">Stock!B6</f>
        <v>0</v>
      </c>
      <c r="D14" s="9" t="n">
        <f aca="false">Stock!C6</f>
        <v>0</v>
      </c>
      <c r="E14" s="9" t="n">
        <f aca="false">Stock!D6</f>
        <v>0</v>
      </c>
      <c r="F14" s="10" t="str">
        <f aca="false">Stock!E6</f>
        <v>OUT OF STOCK</v>
      </c>
    </row>
    <row r="15" customFormat="false" ht="15" hidden="false" customHeight="false" outlineLevel="0" collapsed="false">
      <c r="B15" s="8" t="str">
        <f aca="false">Stock!A7</f>
        <v>Large</v>
      </c>
      <c r="C15" s="9" t="n">
        <f aca="false">Stock!B7</f>
        <v>0</v>
      </c>
      <c r="D15" s="9" t="n">
        <f aca="false">Stock!C7</f>
        <v>0</v>
      </c>
      <c r="E15" s="9" t="n">
        <f aca="false">Stock!D7</f>
        <v>0</v>
      </c>
      <c r="F15" s="10" t="str">
        <f aca="false">Stock!E7</f>
        <v>OUT OF STOCK</v>
      </c>
    </row>
    <row r="16" customFormat="false" ht="15" hidden="false" customHeight="false" outlineLevel="0" collapsed="false">
      <c r="B16" s="11" t="s">
        <v>17</v>
      </c>
      <c r="C16" s="12" t="n">
        <f aca="false">Stock!B8</f>
        <v>0</v>
      </c>
      <c r="D16" s="12" t="n">
        <f aca="false">Stock!C8</f>
        <v>0</v>
      </c>
      <c r="E16" s="12" t="n">
        <f aca="false">Stock!D8</f>
        <v>0</v>
      </c>
      <c r="F16" s="12"/>
    </row>
    <row r="17" customFormat="false" ht="15" hidden="false" customHeight="false" outlineLevel="0" collapsed="false">
      <c r="B17" s="13" t="str">
        <f aca="false">"Low-stock alert below "&amp;Stock!B10&amp;" pairs per size"</f>
        <v>Low-stock alert below 10 pairs per size</v>
      </c>
    </row>
    <row r="19" customFormat="false" ht="15" hidden="false" customHeight="false" outlineLevel="0" collapsed="false">
      <c r="B19" s="14" t="s">
        <v>18</v>
      </c>
    </row>
    <row r="20" customFormat="false" ht="15" hidden="false" customHeight="false" outlineLevel="0" collapsed="false">
      <c r="B20" s="15" t="s">
        <v>19</v>
      </c>
    </row>
    <row r="21" customFormat="false" ht="15" hidden="false" customHeight="false" outlineLevel="0" collapsed="false">
      <c r="B21" s="15" t="s">
        <v>20</v>
      </c>
    </row>
    <row r="22" customFormat="false" ht="15" hidden="false" customHeight="false" outlineLevel="0" collapsed="false">
      <c r="B22" s="15" t="s">
        <v>21</v>
      </c>
    </row>
    <row r="23" customFormat="false" ht="15" hidden="false" customHeight="false" outlineLevel="0" collapsed="false">
      <c r="B23" s="15" t="s">
        <v>22</v>
      </c>
    </row>
    <row r="24" customFormat="false" ht="15" hidden="false" customHeight="false" outlineLevel="0" collapsed="false">
      <c r="B24" s="15" t="s">
        <v>23</v>
      </c>
    </row>
    <row r="28" customFormat="false" ht="15" hidden="false" customHeight="false" outlineLevel="0" collapsed="false">
      <c r="B28" s="16" t="s">
        <v>24</v>
      </c>
      <c r="C28" s="16"/>
      <c r="D28" s="16"/>
      <c r="E28" s="16"/>
      <c r="F28" s="16"/>
      <c r="G28" s="16"/>
      <c r="H28" s="16"/>
      <c r="I28" s="16"/>
      <c r="J28" s="16"/>
      <c r="K28" s="16"/>
    </row>
    <row r="29" customFormat="false" ht="30" hidden="false" customHeight="true" outlineLevel="0" collapsed="false">
      <c r="B29" s="17" t="s">
        <v>25</v>
      </c>
      <c r="C29" s="18" t="s">
        <v>26</v>
      </c>
      <c r="D29" s="18"/>
      <c r="E29" s="17" t="s">
        <v>12</v>
      </c>
      <c r="F29" s="17" t="s">
        <v>27</v>
      </c>
      <c r="G29" s="17" t="s">
        <v>28</v>
      </c>
      <c r="H29" s="17" t="s">
        <v>29</v>
      </c>
      <c r="I29" s="17" t="s">
        <v>30</v>
      </c>
      <c r="J29" s="17" t="s">
        <v>31</v>
      </c>
    </row>
    <row r="30" customFormat="false" ht="15" hidden="false" customHeight="false" outlineLevel="0" collapsed="false">
      <c r="B30" s="9" t="str">
        <f aca="false">IF(1&gt;$J$5,"",1)</f>
        <v/>
      </c>
      <c r="C30" s="19" t="str">
        <f aca="false">IF(1&gt;$J$5,"",INDEX(Colleagues!$B$5:$B$204,MATCH(1,Colleagues!$J$5:$J$204,0)))</f>
        <v/>
      </c>
      <c r="D30" s="19"/>
      <c r="E30" s="9" t="str">
        <f aca="false">IF(1&gt;$J$5,"",INDEX(Colleagues!$C$5:$C$204,MATCH(1,Colleagues!$J$5:$J$204,0)))</f>
        <v/>
      </c>
      <c r="F30" s="9" t="str">
        <f aca="false">IF(1&gt;$J$5,"",INDEX(Colleagues!$D$5:$D$204,MATCH(1,Colleagues!$J$5:$J$204,0)))</f>
        <v/>
      </c>
      <c r="G30" s="20" t="str">
        <f aca="false">IF(1&gt;$J$5,"",INDEX(Colleagues!$E$5:$E$204,MATCH(1,Colleagues!$J$5:$J$204,0)))</f>
        <v/>
      </c>
      <c r="H30" s="20" t="str">
        <f aca="false">IF(1&gt;$J$5,"",INDEX(Colleagues!$F$5:$F$204,MATCH(1,Colleagues!$J$5:$J$204,0)))</f>
        <v/>
      </c>
      <c r="I30" s="21" t="str">
        <f aca="false">IF(1&gt;$J$5,"",INDEX(Colleagues!$G$5:$G$204,MATCH(1,Colleagues!$J$5:$J$204,0)))</f>
        <v/>
      </c>
      <c r="J30" s="20" t="str">
        <f aca="false">IF(1&gt;$J$5,"",INDEX(Colleagues!$H$5:$H$204,MATCH(1,Colleagues!$J$5:$J$204,0)))</f>
        <v/>
      </c>
    </row>
    <row r="31" customFormat="false" ht="15" hidden="false" customHeight="false" outlineLevel="0" collapsed="false">
      <c r="B31" s="22" t="str">
        <f aca="false">IF(2&gt;$J$5,"",2)</f>
        <v/>
      </c>
      <c r="C31" s="23" t="str">
        <f aca="false">IF(2&gt;$J$5,"",INDEX(Colleagues!$B$5:$B$204,MATCH(2,Colleagues!$J$5:$J$204,0)))</f>
        <v/>
      </c>
      <c r="D31" s="23"/>
      <c r="E31" s="22" t="str">
        <f aca="false">IF(2&gt;$J$5,"",INDEX(Colleagues!$C$5:$C$204,MATCH(2,Colleagues!$J$5:$J$204,0)))</f>
        <v/>
      </c>
      <c r="F31" s="22" t="str">
        <f aca="false">IF(2&gt;$J$5,"",INDEX(Colleagues!$D$5:$D$204,MATCH(2,Colleagues!$J$5:$J$204,0)))</f>
        <v/>
      </c>
      <c r="G31" s="24" t="str">
        <f aca="false">IF(2&gt;$J$5,"",INDEX(Colleagues!$E$5:$E$204,MATCH(2,Colleagues!$J$5:$J$204,0)))</f>
        <v/>
      </c>
      <c r="H31" s="24" t="str">
        <f aca="false">IF(2&gt;$J$5,"",INDEX(Colleagues!$F$5:$F$204,MATCH(2,Colleagues!$J$5:$J$204,0)))</f>
        <v/>
      </c>
      <c r="I31" s="25" t="str">
        <f aca="false">IF(2&gt;$J$5,"",INDEX(Colleagues!$G$5:$G$204,MATCH(2,Colleagues!$J$5:$J$204,0)))</f>
        <v/>
      </c>
      <c r="J31" s="24" t="str">
        <f aca="false">IF(2&gt;$J$5,"",INDEX(Colleagues!$H$5:$H$204,MATCH(2,Colleagues!$J$5:$J$204,0)))</f>
        <v/>
      </c>
    </row>
    <row r="32" customFormat="false" ht="15" hidden="false" customHeight="false" outlineLevel="0" collapsed="false">
      <c r="B32" s="9" t="str">
        <f aca="false">IF(3&gt;$J$5,"",3)</f>
        <v/>
      </c>
      <c r="C32" s="19" t="str">
        <f aca="false">IF(3&gt;$J$5,"",INDEX(Colleagues!$B$5:$B$204,MATCH(3,Colleagues!$J$5:$J$204,0)))</f>
        <v/>
      </c>
      <c r="D32" s="19"/>
      <c r="E32" s="9" t="str">
        <f aca="false">IF(3&gt;$J$5,"",INDEX(Colleagues!$C$5:$C$204,MATCH(3,Colleagues!$J$5:$J$204,0)))</f>
        <v/>
      </c>
      <c r="F32" s="9" t="str">
        <f aca="false">IF(3&gt;$J$5,"",INDEX(Colleagues!$D$5:$D$204,MATCH(3,Colleagues!$J$5:$J$204,0)))</f>
        <v/>
      </c>
      <c r="G32" s="20" t="str">
        <f aca="false">IF(3&gt;$J$5,"",INDEX(Colleagues!$E$5:$E$204,MATCH(3,Colleagues!$J$5:$J$204,0)))</f>
        <v/>
      </c>
      <c r="H32" s="20" t="str">
        <f aca="false">IF(3&gt;$J$5,"",INDEX(Colleagues!$F$5:$F$204,MATCH(3,Colleagues!$J$5:$J$204,0)))</f>
        <v/>
      </c>
      <c r="I32" s="21" t="str">
        <f aca="false">IF(3&gt;$J$5,"",INDEX(Colleagues!$G$5:$G$204,MATCH(3,Colleagues!$J$5:$J$204,0)))</f>
        <v/>
      </c>
      <c r="J32" s="20" t="str">
        <f aca="false">IF(3&gt;$J$5,"",INDEX(Colleagues!$H$5:$H$204,MATCH(3,Colleagues!$J$5:$J$204,0)))</f>
        <v/>
      </c>
    </row>
    <row r="33" customFormat="false" ht="15" hidden="false" customHeight="false" outlineLevel="0" collapsed="false">
      <c r="B33" s="22" t="str">
        <f aca="false">IF(4&gt;$J$5,"",4)</f>
        <v/>
      </c>
      <c r="C33" s="23" t="str">
        <f aca="false">IF(4&gt;$J$5,"",INDEX(Colleagues!$B$5:$B$204,MATCH(4,Colleagues!$J$5:$J$204,0)))</f>
        <v/>
      </c>
      <c r="D33" s="23"/>
      <c r="E33" s="22" t="str">
        <f aca="false">IF(4&gt;$J$5,"",INDEX(Colleagues!$C$5:$C$204,MATCH(4,Colleagues!$J$5:$J$204,0)))</f>
        <v/>
      </c>
      <c r="F33" s="22" t="str">
        <f aca="false">IF(4&gt;$J$5,"",INDEX(Colleagues!$D$5:$D$204,MATCH(4,Colleagues!$J$5:$J$204,0)))</f>
        <v/>
      </c>
      <c r="G33" s="24" t="str">
        <f aca="false">IF(4&gt;$J$5,"",INDEX(Colleagues!$E$5:$E$204,MATCH(4,Colleagues!$J$5:$J$204,0)))</f>
        <v/>
      </c>
      <c r="H33" s="24" t="str">
        <f aca="false">IF(4&gt;$J$5,"",INDEX(Colleagues!$F$5:$F$204,MATCH(4,Colleagues!$J$5:$J$204,0)))</f>
        <v/>
      </c>
      <c r="I33" s="25" t="str">
        <f aca="false">IF(4&gt;$J$5,"",INDEX(Colleagues!$G$5:$G$204,MATCH(4,Colleagues!$J$5:$J$204,0)))</f>
        <v/>
      </c>
      <c r="J33" s="24" t="str">
        <f aca="false">IF(4&gt;$J$5,"",INDEX(Colleagues!$H$5:$H$204,MATCH(4,Colleagues!$J$5:$J$204,0)))</f>
        <v/>
      </c>
    </row>
    <row r="34" customFormat="false" ht="15" hidden="false" customHeight="false" outlineLevel="0" collapsed="false">
      <c r="B34" s="9" t="str">
        <f aca="false">IF(5&gt;$J$5,"",5)</f>
        <v/>
      </c>
      <c r="C34" s="19" t="str">
        <f aca="false">IF(5&gt;$J$5,"",INDEX(Colleagues!$B$5:$B$204,MATCH(5,Colleagues!$J$5:$J$204,0)))</f>
        <v/>
      </c>
      <c r="D34" s="19"/>
      <c r="E34" s="9" t="str">
        <f aca="false">IF(5&gt;$J$5,"",INDEX(Colleagues!$C$5:$C$204,MATCH(5,Colleagues!$J$5:$J$204,0)))</f>
        <v/>
      </c>
      <c r="F34" s="9" t="str">
        <f aca="false">IF(5&gt;$J$5,"",INDEX(Colleagues!$D$5:$D$204,MATCH(5,Colleagues!$J$5:$J$204,0)))</f>
        <v/>
      </c>
      <c r="G34" s="20" t="str">
        <f aca="false">IF(5&gt;$J$5,"",INDEX(Colleagues!$E$5:$E$204,MATCH(5,Colleagues!$J$5:$J$204,0)))</f>
        <v/>
      </c>
      <c r="H34" s="20" t="str">
        <f aca="false">IF(5&gt;$J$5,"",INDEX(Colleagues!$F$5:$F$204,MATCH(5,Colleagues!$J$5:$J$204,0)))</f>
        <v/>
      </c>
      <c r="I34" s="21" t="str">
        <f aca="false">IF(5&gt;$J$5,"",INDEX(Colleagues!$G$5:$G$204,MATCH(5,Colleagues!$J$5:$J$204,0)))</f>
        <v/>
      </c>
      <c r="J34" s="20" t="str">
        <f aca="false">IF(5&gt;$J$5,"",INDEX(Colleagues!$H$5:$H$204,MATCH(5,Colleagues!$J$5:$J$204,0)))</f>
        <v/>
      </c>
    </row>
    <row r="35" customFormat="false" ht="15" hidden="false" customHeight="false" outlineLevel="0" collapsed="false">
      <c r="B35" s="22" t="str">
        <f aca="false">IF(6&gt;$J$5,"",6)</f>
        <v/>
      </c>
      <c r="C35" s="23" t="str">
        <f aca="false">IF(6&gt;$J$5,"",INDEX(Colleagues!$B$5:$B$204,MATCH(6,Colleagues!$J$5:$J$204,0)))</f>
        <v/>
      </c>
      <c r="D35" s="23"/>
      <c r="E35" s="22" t="str">
        <f aca="false">IF(6&gt;$J$5,"",INDEX(Colleagues!$C$5:$C$204,MATCH(6,Colleagues!$J$5:$J$204,0)))</f>
        <v/>
      </c>
      <c r="F35" s="22" t="str">
        <f aca="false">IF(6&gt;$J$5,"",INDEX(Colleagues!$D$5:$D$204,MATCH(6,Colleagues!$J$5:$J$204,0)))</f>
        <v/>
      </c>
      <c r="G35" s="24" t="str">
        <f aca="false">IF(6&gt;$J$5,"",INDEX(Colleagues!$E$5:$E$204,MATCH(6,Colleagues!$J$5:$J$204,0)))</f>
        <v/>
      </c>
      <c r="H35" s="24" t="str">
        <f aca="false">IF(6&gt;$J$5,"",INDEX(Colleagues!$F$5:$F$204,MATCH(6,Colleagues!$J$5:$J$204,0)))</f>
        <v/>
      </c>
      <c r="I35" s="25" t="str">
        <f aca="false">IF(6&gt;$J$5,"",INDEX(Colleagues!$G$5:$G$204,MATCH(6,Colleagues!$J$5:$J$204,0)))</f>
        <v/>
      </c>
      <c r="J35" s="24" t="str">
        <f aca="false">IF(6&gt;$J$5,"",INDEX(Colleagues!$H$5:$H$204,MATCH(6,Colleagues!$J$5:$J$204,0)))</f>
        <v/>
      </c>
    </row>
    <row r="36" customFormat="false" ht="15" hidden="false" customHeight="false" outlineLevel="0" collapsed="false">
      <c r="B36" s="9" t="str">
        <f aca="false">IF(7&gt;$J$5,"",7)</f>
        <v/>
      </c>
      <c r="C36" s="19" t="str">
        <f aca="false">IF(7&gt;$J$5,"",INDEX(Colleagues!$B$5:$B$204,MATCH(7,Colleagues!$J$5:$J$204,0)))</f>
        <v/>
      </c>
      <c r="D36" s="19"/>
      <c r="E36" s="9" t="str">
        <f aca="false">IF(7&gt;$J$5,"",INDEX(Colleagues!$C$5:$C$204,MATCH(7,Colleagues!$J$5:$J$204,0)))</f>
        <v/>
      </c>
      <c r="F36" s="9" t="str">
        <f aca="false">IF(7&gt;$J$5,"",INDEX(Colleagues!$D$5:$D$204,MATCH(7,Colleagues!$J$5:$J$204,0)))</f>
        <v/>
      </c>
      <c r="G36" s="20" t="str">
        <f aca="false">IF(7&gt;$J$5,"",INDEX(Colleagues!$E$5:$E$204,MATCH(7,Colleagues!$J$5:$J$204,0)))</f>
        <v/>
      </c>
      <c r="H36" s="20" t="str">
        <f aca="false">IF(7&gt;$J$5,"",INDEX(Colleagues!$F$5:$F$204,MATCH(7,Colleagues!$J$5:$J$204,0)))</f>
        <v/>
      </c>
      <c r="I36" s="21" t="str">
        <f aca="false">IF(7&gt;$J$5,"",INDEX(Colleagues!$G$5:$G$204,MATCH(7,Colleagues!$J$5:$J$204,0)))</f>
        <v/>
      </c>
      <c r="J36" s="20" t="str">
        <f aca="false">IF(7&gt;$J$5,"",INDEX(Colleagues!$H$5:$H$204,MATCH(7,Colleagues!$J$5:$J$204,0)))</f>
        <v/>
      </c>
    </row>
    <row r="37" customFormat="false" ht="15" hidden="false" customHeight="false" outlineLevel="0" collapsed="false">
      <c r="B37" s="22" t="str">
        <f aca="false">IF(8&gt;$J$5,"",8)</f>
        <v/>
      </c>
      <c r="C37" s="23" t="str">
        <f aca="false">IF(8&gt;$J$5,"",INDEX(Colleagues!$B$5:$B$204,MATCH(8,Colleagues!$J$5:$J$204,0)))</f>
        <v/>
      </c>
      <c r="D37" s="23"/>
      <c r="E37" s="22" t="str">
        <f aca="false">IF(8&gt;$J$5,"",INDEX(Colleagues!$C$5:$C$204,MATCH(8,Colleagues!$J$5:$J$204,0)))</f>
        <v/>
      </c>
      <c r="F37" s="22" t="str">
        <f aca="false">IF(8&gt;$J$5,"",INDEX(Colleagues!$D$5:$D$204,MATCH(8,Colleagues!$J$5:$J$204,0)))</f>
        <v/>
      </c>
      <c r="G37" s="24" t="str">
        <f aca="false">IF(8&gt;$J$5,"",INDEX(Colleagues!$E$5:$E$204,MATCH(8,Colleagues!$J$5:$J$204,0)))</f>
        <v/>
      </c>
      <c r="H37" s="24" t="str">
        <f aca="false">IF(8&gt;$J$5,"",INDEX(Colleagues!$F$5:$F$204,MATCH(8,Colleagues!$J$5:$J$204,0)))</f>
        <v/>
      </c>
      <c r="I37" s="25" t="str">
        <f aca="false">IF(8&gt;$J$5,"",INDEX(Colleagues!$G$5:$G$204,MATCH(8,Colleagues!$J$5:$J$204,0)))</f>
        <v/>
      </c>
      <c r="J37" s="24" t="str">
        <f aca="false">IF(8&gt;$J$5,"",INDEX(Colleagues!$H$5:$H$204,MATCH(8,Colleagues!$J$5:$J$204,0)))</f>
        <v/>
      </c>
    </row>
    <row r="38" customFormat="false" ht="15" hidden="false" customHeight="false" outlineLevel="0" collapsed="false">
      <c r="B38" s="9" t="str">
        <f aca="false">IF(9&gt;$J$5,"",9)</f>
        <v/>
      </c>
      <c r="C38" s="19" t="str">
        <f aca="false">IF(9&gt;$J$5,"",INDEX(Colleagues!$B$5:$B$204,MATCH(9,Colleagues!$J$5:$J$204,0)))</f>
        <v/>
      </c>
      <c r="D38" s="19"/>
      <c r="E38" s="9" t="str">
        <f aca="false">IF(9&gt;$J$5,"",INDEX(Colleagues!$C$5:$C$204,MATCH(9,Colleagues!$J$5:$J$204,0)))</f>
        <v/>
      </c>
      <c r="F38" s="9" t="str">
        <f aca="false">IF(9&gt;$J$5,"",INDEX(Colleagues!$D$5:$D$204,MATCH(9,Colleagues!$J$5:$J$204,0)))</f>
        <v/>
      </c>
      <c r="G38" s="20" t="str">
        <f aca="false">IF(9&gt;$J$5,"",INDEX(Colleagues!$E$5:$E$204,MATCH(9,Colleagues!$J$5:$J$204,0)))</f>
        <v/>
      </c>
      <c r="H38" s="20" t="str">
        <f aca="false">IF(9&gt;$J$5,"",INDEX(Colleagues!$F$5:$F$204,MATCH(9,Colleagues!$J$5:$J$204,0)))</f>
        <v/>
      </c>
      <c r="I38" s="21" t="str">
        <f aca="false">IF(9&gt;$J$5,"",INDEX(Colleagues!$G$5:$G$204,MATCH(9,Colleagues!$J$5:$J$204,0)))</f>
        <v/>
      </c>
      <c r="J38" s="20" t="str">
        <f aca="false">IF(9&gt;$J$5,"",INDEX(Colleagues!$H$5:$H$204,MATCH(9,Colleagues!$J$5:$J$204,0)))</f>
        <v/>
      </c>
    </row>
    <row r="39" customFormat="false" ht="15" hidden="false" customHeight="false" outlineLevel="0" collapsed="false">
      <c r="B39" s="22" t="str">
        <f aca="false">IF(10&gt;$J$5,"",10)</f>
        <v/>
      </c>
      <c r="C39" s="23" t="str">
        <f aca="false">IF(10&gt;$J$5,"",INDEX(Colleagues!$B$5:$B$204,MATCH(10,Colleagues!$J$5:$J$204,0)))</f>
        <v/>
      </c>
      <c r="D39" s="23"/>
      <c r="E39" s="22" t="str">
        <f aca="false">IF(10&gt;$J$5,"",INDEX(Colleagues!$C$5:$C$204,MATCH(10,Colleagues!$J$5:$J$204,0)))</f>
        <v/>
      </c>
      <c r="F39" s="22" t="str">
        <f aca="false">IF(10&gt;$J$5,"",INDEX(Colleagues!$D$5:$D$204,MATCH(10,Colleagues!$J$5:$J$204,0)))</f>
        <v/>
      </c>
      <c r="G39" s="24" t="str">
        <f aca="false">IF(10&gt;$J$5,"",INDEX(Colleagues!$E$5:$E$204,MATCH(10,Colleagues!$J$5:$J$204,0)))</f>
        <v/>
      </c>
      <c r="H39" s="24" t="str">
        <f aca="false">IF(10&gt;$J$5,"",INDEX(Colleagues!$F$5:$F$204,MATCH(10,Colleagues!$J$5:$J$204,0)))</f>
        <v/>
      </c>
      <c r="I39" s="25" t="str">
        <f aca="false">IF(10&gt;$J$5,"",INDEX(Colleagues!$G$5:$G$204,MATCH(10,Colleagues!$J$5:$J$204,0)))</f>
        <v/>
      </c>
      <c r="J39" s="24" t="str">
        <f aca="false">IF(10&gt;$J$5,"",INDEX(Colleagues!$H$5:$H$204,MATCH(10,Colleagues!$J$5:$J$204,0)))</f>
        <v/>
      </c>
    </row>
    <row r="40" customFormat="false" ht="15" hidden="false" customHeight="false" outlineLevel="0" collapsed="false">
      <c r="B40" s="9" t="str">
        <f aca="false">IF(11&gt;$J$5,"",11)</f>
        <v/>
      </c>
      <c r="C40" s="19" t="str">
        <f aca="false">IF(11&gt;$J$5,"",INDEX(Colleagues!$B$5:$B$204,MATCH(11,Colleagues!$J$5:$J$204,0)))</f>
        <v/>
      </c>
      <c r="D40" s="19"/>
      <c r="E40" s="9" t="str">
        <f aca="false">IF(11&gt;$J$5,"",INDEX(Colleagues!$C$5:$C$204,MATCH(11,Colleagues!$J$5:$J$204,0)))</f>
        <v/>
      </c>
      <c r="F40" s="9" t="str">
        <f aca="false">IF(11&gt;$J$5,"",INDEX(Colleagues!$D$5:$D$204,MATCH(11,Colleagues!$J$5:$J$204,0)))</f>
        <v/>
      </c>
      <c r="G40" s="20" t="str">
        <f aca="false">IF(11&gt;$J$5,"",INDEX(Colleagues!$E$5:$E$204,MATCH(11,Colleagues!$J$5:$J$204,0)))</f>
        <v/>
      </c>
      <c r="H40" s="20" t="str">
        <f aca="false">IF(11&gt;$J$5,"",INDEX(Colleagues!$F$5:$F$204,MATCH(11,Colleagues!$J$5:$J$204,0)))</f>
        <v/>
      </c>
      <c r="I40" s="21" t="str">
        <f aca="false">IF(11&gt;$J$5,"",INDEX(Colleagues!$G$5:$G$204,MATCH(11,Colleagues!$J$5:$J$204,0)))</f>
        <v/>
      </c>
      <c r="J40" s="20" t="str">
        <f aca="false">IF(11&gt;$J$5,"",INDEX(Colleagues!$H$5:$H$204,MATCH(11,Colleagues!$J$5:$J$204,0)))</f>
        <v/>
      </c>
    </row>
    <row r="41" customFormat="false" ht="15" hidden="false" customHeight="false" outlineLevel="0" collapsed="false">
      <c r="B41" s="22" t="str">
        <f aca="false">IF(12&gt;$J$5,"",12)</f>
        <v/>
      </c>
      <c r="C41" s="23" t="str">
        <f aca="false">IF(12&gt;$J$5,"",INDEX(Colleagues!$B$5:$B$204,MATCH(12,Colleagues!$J$5:$J$204,0)))</f>
        <v/>
      </c>
      <c r="D41" s="23"/>
      <c r="E41" s="22" t="str">
        <f aca="false">IF(12&gt;$J$5,"",INDEX(Colleagues!$C$5:$C$204,MATCH(12,Colleagues!$J$5:$J$204,0)))</f>
        <v/>
      </c>
      <c r="F41" s="22" t="str">
        <f aca="false">IF(12&gt;$J$5,"",INDEX(Colleagues!$D$5:$D$204,MATCH(12,Colleagues!$J$5:$J$204,0)))</f>
        <v/>
      </c>
      <c r="G41" s="24" t="str">
        <f aca="false">IF(12&gt;$J$5,"",INDEX(Colleagues!$E$5:$E$204,MATCH(12,Colleagues!$J$5:$J$204,0)))</f>
        <v/>
      </c>
      <c r="H41" s="24" t="str">
        <f aca="false">IF(12&gt;$J$5,"",INDEX(Colleagues!$F$5:$F$204,MATCH(12,Colleagues!$J$5:$J$204,0)))</f>
        <v/>
      </c>
      <c r="I41" s="25" t="str">
        <f aca="false">IF(12&gt;$J$5,"",INDEX(Colleagues!$G$5:$G$204,MATCH(12,Colleagues!$J$5:$J$204,0)))</f>
        <v/>
      </c>
      <c r="J41" s="24" t="str">
        <f aca="false">IF(12&gt;$J$5,"",INDEX(Colleagues!$H$5:$H$204,MATCH(12,Colleagues!$J$5:$J$204,0)))</f>
        <v/>
      </c>
    </row>
    <row r="42" customFormat="false" ht="15" hidden="false" customHeight="false" outlineLevel="0" collapsed="false">
      <c r="B42" s="9" t="str">
        <f aca="false">IF(13&gt;$J$5,"",13)</f>
        <v/>
      </c>
      <c r="C42" s="19" t="str">
        <f aca="false">IF(13&gt;$J$5,"",INDEX(Colleagues!$B$5:$B$204,MATCH(13,Colleagues!$J$5:$J$204,0)))</f>
        <v/>
      </c>
      <c r="D42" s="19"/>
      <c r="E42" s="9" t="str">
        <f aca="false">IF(13&gt;$J$5,"",INDEX(Colleagues!$C$5:$C$204,MATCH(13,Colleagues!$J$5:$J$204,0)))</f>
        <v/>
      </c>
      <c r="F42" s="9" t="str">
        <f aca="false">IF(13&gt;$J$5,"",INDEX(Colleagues!$D$5:$D$204,MATCH(13,Colleagues!$J$5:$J$204,0)))</f>
        <v/>
      </c>
      <c r="G42" s="20" t="str">
        <f aca="false">IF(13&gt;$J$5,"",INDEX(Colleagues!$E$5:$E$204,MATCH(13,Colleagues!$J$5:$J$204,0)))</f>
        <v/>
      </c>
      <c r="H42" s="20" t="str">
        <f aca="false">IF(13&gt;$J$5,"",INDEX(Colleagues!$F$5:$F$204,MATCH(13,Colleagues!$J$5:$J$204,0)))</f>
        <v/>
      </c>
      <c r="I42" s="21" t="str">
        <f aca="false">IF(13&gt;$J$5,"",INDEX(Colleagues!$G$5:$G$204,MATCH(13,Colleagues!$J$5:$J$204,0)))</f>
        <v/>
      </c>
      <c r="J42" s="20" t="str">
        <f aca="false">IF(13&gt;$J$5,"",INDEX(Colleagues!$H$5:$H$204,MATCH(13,Colleagues!$J$5:$J$204,0)))</f>
        <v/>
      </c>
    </row>
    <row r="43" customFormat="false" ht="15" hidden="false" customHeight="false" outlineLevel="0" collapsed="false">
      <c r="B43" s="22" t="str">
        <f aca="false">IF(14&gt;$J$5,"",14)</f>
        <v/>
      </c>
      <c r="C43" s="23" t="str">
        <f aca="false">IF(14&gt;$J$5,"",INDEX(Colleagues!$B$5:$B$204,MATCH(14,Colleagues!$J$5:$J$204,0)))</f>
        <v/>
      </c>
      <c r="D43" s="23"/>
      <c r="E43" s="22" t="str">
        <f aca="false">IF(14&gt;$J$5,"",INDEX(Colleagues!$C$5:$C$204,MATCH(14,Colleagues!$J$5:$J$204,0)))</f>
        <v/>
      </c>
      <c r="F43" s="22" t="str">
        <f aca="false">IF(14&gt;$J$5,"",INDEX(Colleagues!$D$5:$D$204,MATCH(14,Colleagues!$J$5:$J$204,0)))</f>
        <v/>
      </c>
      <c r="G43" s="24" t="str">
        <f aca="false">IF(14&gt;$J$5,"",INDEX(Colleagues!$E$5:$E$204,MATCH(14,Colleagues!$J$5:$J$204,0)))</f>
        <v/>
      </c>
      <c r="H43" s="24" t="str">
        <f aca="false">IF(14&gt;$J$5,"",INDEX(Colleagues!$F$5:$F$204,MATCH(14,Colleagues!$J$5:$J$204,0)))</f>
        <v/>
      </c>
      <c r="I43" s="25" t="str">
        <f aca="false">IF(14&gt;$J$5,"",INDEX(Colleagues!$G$5:$G$204,MATCH(14,Colleagues!$J$5:$J$204,0)))</f>
        <v/>
      </c>
      <c r="J43" s="24" t="str">
        <f aca="false">IF(14&gt;$J$5,"",INDEX(Colleagues!$H$5:$H$204,MATCH(14,Colleagues!$J$5:$J$204,0)))</f>
        <v/>
      </c>
    </row>
    <row r="44" customFormat="false" ht="15" hidden="false" customHeight="false" outlineLevel="0" collapsed="false">
      <c r="B44" s="9" t="str">
        <f aca="false">IF(15&gt;$J$5,"",15)</f>
        <v/>
      </c>
      <c r="C44" s="19" t="str">
        <f aca="false">IF(15&gt;$J$5,"",INDEX(Colleagues!$B$5:$B$204,MATCH(15,Colleagues!$J$5:$J$204,0)))</f>
        <v/>
      </c>
      <c r="D44" s="19"/>
      <c r="E44" s="9" t="str">
        <f aca="false">IF(15&gt;$J$5,"",INDEX(Colleagues!$C$5:$C$204,MATCH(15,Colleagues!$J$5:$J$204,0)))</f>
        <v/>
      </c>
      <c r="F44" s="9" t="str">
        <f aca="false">IF(15&gt;$J$5,"",INDEX(Colleagues!$D$5:$D$204,MATCH(15,Colleagues!$J$5:$J$204,0)))</f>
        <v/>
      </c>
      <c r="G44" s="20" t="str">
        <f aca="false">IF(15&gt;$J$5,"",INDEX(Colleagues!$E$5:$E$204,MATCH(15,Colleagues!$J$5:$J$204,0)))</f>
        <v/>
      </c>
      <c r="H44" s="20" t="str">
        <f aca="false">IF(15&gt;$J$5,"",INDEX(Colleagues!$F$5:$F$204,MATCH(15,Colleagues!$J$5:$J$204,0)))</f>
        <v/>
      </c>
      <c r="I44" s="21" t="str">
        <f aca="false">IF(15&gt;$J$5,"",INDEX(Colleagues!$G$5:$G$204,MATCH(15,Colleagues!$J$5:$J$204,0)))</f>
        <v/>
      </c>
      <c r="J44" s="20" t="str">
        <f aca="false">IF(15&gt;$J$5,"",INDEX(Colleagues!$H$5:$H$204,MATCH(15,Colleagues!$J$5:$J$204,0)))</f>
        <v/>
      </c>
    </row>
    <row r="45" customFormat="false" ht="15" hidden="false" customHeight="false" outlineLevel="0" collapsed="false">
      <c r="B45" s="22" t="str">
        <f aca="false">IF(16&gt;$J$5,"",16)</f>
        <v/>
      </c>
      <c r="C45" s="23" t="str">
        <f aca="false">IF(16&gt;$J$5,"",INDEX(Colleagues!$B$5:$B$204,MATCH(16,Colleagues!$J$5:$J$204,0)))</f>
        <v/>
      </c>
      <c r="D45" s="23"/>
      <c r="E45" s="22" t="str">
        <f aca="false">IF(16&gt;$J$5,"",INDEX(Colleagues!$C$5:$C$204,MATCH(16,Colleagues!$J$5:$J$204,0)))</f>
        <v/>
      </c>
      <c r="F45" s="22" t="str">
        <f aca="false">IF(16&gt;$J$5,"",INDEX(Colleagues!$D$5:$D$204,MATCH(16,Colleagues!$J$5:$J$204,0)))</f>
        <v/>
      </c>
      <c r="G45" s="24" t="str">
        <f aca="false">IF(16&gt;$J$5,"",INDEX(Colleagues!$E$5:$E$204,MATCH(16,Colleagues!$J$5:$J$204,0)))</f>
        <v/>
      </c>
      <c r="H45" s="24" t="str">
        <f aca="false">IF(16&gt;$J$5,"",INDEX(Colleagues!$F$5:$F$204,MATCH(16,Colleagues!$J$5:$J$204,0)))</f>
        <v/>
      </c>
      <c r="I45" s="25" t="str">
        <f aca="false">IF(16&gt;$J$5,"",INDEX(Colleagues!$G$5:$G$204,MATCH(16,Colleagues!$J$5:$J$204,0)))</f>
        <v/>
      </c>
      <c r="J45" s="24" t="str">
        <f aca="false">IF(16&gt;$J$5,"",INDEX(Colleagues!$H$5:$H$204,MATCH(16,Colleagues!$J$5:$J$204,0)))</f>
        <v/>
      </c>
    </row>
    <row r="46" customFormat="false" ht="15" hidden="false" customHeight="false" outlineLevel="0" collapsed="false">
      <c r="B46" s="9" t="str">
        <f aca="false">IF(17&gt;$J$5,"",17)</f>
        <v/>
      </c>
      <c r="C46" s="19" t="str">
        <f aca="false">IF(17&gt;$J$5,"",INDEX(Colleagues!$B$5:$B$204,MATCH(17,Colleagues!$J$5:$J$204,0)))</f>
        <v/>
      </c>
      <c r="D46" s="19"/>
      <c r="E46" s="9" t="str">
        <f aca="false">IF(17&gt;$J$5,"",INDEX(Colleagues!$C$5:$C$204,MATCH(17,Colleagues!$J$5:$J$204,0)))</f>
        <v/>
      </c>
      <c r="F46" s="9" t="str">
        <f aca="false">IF(17&gt;$J$5,"",INDEX(Colleagues!$D$5:$D$204,MATCH(17,Colleagues!$J$5:$J$204,0)))</f>
        <v/>
      </c>
      <c r="G46" s="20" t="str">
        <f aca="false">IF(17&gt;$J$5,"",INDEX(Colleagues!$E$5:$E$204,MATCH(17,Colleagues!$J$5:$J$204,0)))</f>
        <v/>
      </c>
      <c r="H46" s="20" t="str">
        <f aca="false">IF(17&gt;$J$5,"",INDEX(Colleagues!$F$5:$F$204,MATCH(17,Colleagues!$J$5:$J$204,0)))</f>
        <v/>
      </c>
      <c r="I46" s="21" t="str">
        <f aca="false">IF(17&gt;$J$5,"",INDEX(Colleagues!$G$5:$G$204,MATCH(17,Colleagues!$J$5:$J$204,0)))</f>
        <v/>
      </c>
      <c r="J46" s="20" t="str">
        <f aca="false">IF(17&gt;$J$5,"",INDEX(Colleagues!$H$5:$H$204,MATCH(17,Colleagues!$J$5:$J$204,0)))</f>
        <v/>
      </c>
    </row>
    <row r="47" customFormat="false" ht="15" hidden="false" customHeight="false" outlineLevel="0" collapsed="false">
      <c r="B47" s="22" t="str">
        <f aca="false">IF(18&gt;$J$5,"",18)</f>
        <v/>
      </c>
      <c r="C47" s="23" t="str">
        <f aca="false">IF(18&gt;$J$5,"",INDEX(Colleagues!$B$5:$B$204,MATCH(18,Colleagues!$J$5:$J$204,0)))</f>
        <v/>
      </c>
      <c r="D47" s="23"/>
      <c r="E47" s="22" t="str">
        <f aca="false">IF(18&gt;$J$5,"",INDEX(Colleagues!$C$5:$C$204,MATCH(18,Colleagues!$J$5:$J$204,0)))</f>
        <v/>
      </c>
      <c r="F47" s="22" t="str">
        <f aca="false">IF(18&gt;$J$5,"",INDEX(Colleagues!$D$5:$D$204,MATCH(18,Colleagues!$J$5:$J$204,0)))</f>
        <v/>
      </c>
      <c r="G47" s="24" t="str">
        <f aca="false">IF(18&gt;$J$5,"",INDEX(Colleagues!$E$5:$E$204,MATCH(18,Colleagues!$J$5:$J$204,0)))</f>
        <v/>
      </c>
      <c r="H47" s="24" t="str">
        <f aca="false">IF(18&gt;$J$5,"",INDEX(Colleagues!$F$5:$F$204,MATCH(18,Colleagues!$J$5:$J$204,0)))</f>
        <v/>
      </c>
      <c r="I47" s="25" t="str">
        <f aca="false">IF(18&gt;$J$5,"",INDEX(Colleagues!$G$5:$G$204,MATCH(18,Colleagues!$J$5:$J$204,0)))</f>
        <v/>
      </c>
      <c r="J47" s="24" t="str">
        <f aca="false">IF(18&gt;$J$5,"",INDEX(Colleagues!$H$5:$H$204,MATCH(18,Colleagues!$J$5:$J$204,0)))</f>
        <v/>
      </c>
    </row>
    <row r="48" customFormat="false" ht="15" hidden="false" customHeight="false" outlineLevel="0" collapsed="false">
      <c r="B48" s="9" t="str">
        <f aca="false">IF(19&gt;$J$5,"",19)</f>
        <v/>
      </c>
      <c r="C48" s="19" t="str">
        <f aca="false">IF(19&gt;$J$5,"",INDEX(Colleagues!$B$5:$B$204,MATCH(19,Colleagues!$J$5:$J$204,0)))</f>
        <v/>
      </c>
      <c r="D48" s="19"/>
      <c r="E48" s="9" t="str">
        <f aca="false">IF(19&gt;$J$5,"",INDEX(Colleagues!$C$5:$C$204,MATCH(19,Colleagues!$J$5:$J$204,0)))</f>
        <v/>
      </c>
      <c r="F48" s="9" t="str">
        <f aca="false">IF(19&gt;$J$5,"",INDEX(Colleagues!$D$5:$D$204,MATCH(19,Colleagues!$J$5:$J$204,0)))</f>
        <v/>
      </c>
      <c r="G48" s="20" t="str">
        <f aca="false">IF(19&gt;$J$5,"",INDEX(Colleagues!$E$5:$E$204,MATCH(19,Colleagues!$J$5:$J$204,0)))</f>
        <v/>
      </c>
      <c r="H48" s="20" t="str">
        <f aca="false">IF(19&gt;$J$5,"",INDEX(Colleagues!$F$5:$F$204,MATCH(19,Colleagues!$J$5:$J$204,0)))</f>
        <v/>
      </c>
      <c r="I48" s="21" t="str">
        <f aca="false">IF(19&gt;$J$5,"",INDEX(Colleagues!$G$5:$G$204,MATCH(19,Colleagues!$J$5:$J$204,0)))</f>
        <v/>
      </c>
      <c r="J48" s="20" t="str">
        <f aca="false">IF(19&gt;$J$5,"",INDEX(Colleagues!$H$5:$H$204,MATCH(19,Colleagues!$J$5:$J$204,0)))</f>
        <v/>
      </c>
    </row>
    <row r="49" customFormat="false" ht="15" hidden="false" customHeight="false" outlineLevel="0" collapsed="false">
      <c r="B49" s="22" t="str">
        <f aca="false">IF(20&gt;$J$5,"",20)</f>
        <v/>
      </c>
      <c r="C49" s="23" t="str">
        <f aca="false">IF(20&gt;$J$5,"",INDEX(Colleagues!$B$5:$B$204,MATCH(20,Colleagues!$J$5:$J$204,0)))</f>
        <v/>
      </c>
      <c r="D49" s="23"/>
      <c r="E49" s="22" t="str">
        <f aca="false">IF(20&gt;$J$5,"",INDEX(Colleagues!$C$5:$C$204,MATCH(20,Colleagues!$J$5:$J$204,0)))</f>
        <v/>
      </c>
      <c r="F49" s="22" t="str">
        <f aca="false">IF(20&gt;$J$5,"",INDEX(Colleagues!$D$5:$D$204,MATCH(20,Colleagues!$J$5:$J$204,0)))</f>
        <v/>
      </c>
      <c r="G49" s="24" t="str">
        <f aca="false">IF(20&gt;$J$5,"",INDEX(Colleagues!$E$5:$E$204,MATCH(20,Colleagues!$J$5:$J$204,0)))</f>
        <v/>
      </c>
      <c r="H49" s="24" t="str">
        <f aca="false">IF(20&gt;$J$5,"",INDEX(Colleagues!$F$5:$F$204,MATCH(20,Colleagues!$J$5:$J$204,0)))</f>
        <v/>
      </c>
      <c r="I49" s="25" t="str">
        <f aca="false">IF(20&gt;$J$5,"",INDEX(Colleagues!$G$5:$G$204,MATCH(20,Colleagues!$J$5:$J$204,0)))</f>
        <v/>
      </c>
      <c r="J49" s="24" t="str">
        <f aca="false">IF(20&gt;$J$5,"",INDEX(Colleagues!$H$5:$H$204,MATCH(20,Colleagues!$J$5:$J$204,0)))</f>
        <v/>
      </c>
    </row>
    <row r="50" customFormat="false" ht="15" hidden="false" customHeight="false" outlineLevel="0" collapsed="false">
      <c r="B50" s="9" t="str">
        <f aca="false">IF(21&gt;$J$5,"",21)</f>
        <v/>
      </c>
      <c r="C50" s="19" t="str">
        <f aca="false">IF(21&gt;$J$5,"",INDEX(Colleagues!$B$5:$B$204,MATCH(21,Colleagues!$J$5:$J$204,0)))</f>
        <v/>
      </c>
      <c r="D50" s="19"/>
      <c r="E50" s="9" t="str">
        <f aca="false">IF(21&gt;$J$5,"",INDEX(Colleagues!$C$5:$C$204,MATCH(21,Colleagues!$J$5:$J$204,0)))</f>
        <v/>
      </c>
      <c r="F50" s="9" t="str">
        <f aca="false">IF(21&gt;$J$5,"",INDEX(Colleagues!$D$5:$D$204,MATCH(21,Colleagues!$J$5:$J$204,0)))</f>
        <v/>
      </c>
      <c r="G50" s="20" t="str">
        <f aca="false">IF(21&gt;$J$5,"",INDEX(Colleagues!$E$5:$E$204,MATCH(21,Colleagues!$J$5:$J$204,0)))</f>
        <v/>
      </c>
      <c r="H50" s="20" t="str">
        <f aca="false">IF(21&gt;$J$5,"",INDEX(Colleagues!$F$5:$F$204,MATCH(21,Colleagues!$J$5:$J$204,0)))</f>
        <v/>
      </c>
      <c r="I50" s="21" t="str">
        <f aca="false">IF(21&gt;$J$5,"",INDEX(Colleagues!$G$5:$G$204,MATCH(21,Colleagues!$J$5:$J$204,0)))</f>
        <v/>
      </c>
      <c r="J50" s="20" t="str">
        <f aca="false">IF(21&gt;$J$5,"",INDEX(Colleagues!$H$5:$H$204,MATCH(21,Colleagues!$J$5:$J$204,0)))</f>
        <v/>
      </c>
    </row>
    <row r="51" customFormat="false" ht="15" hidden="false" customHeight="false" outlineLevel="0" collapsed="false">
      <c r="B51" s="22" t="str">
        <f aca="false">IF(22&gt;$J$5,"",22)</f>
        <v/>
      </c>
      <c r="C51" s="23" t="str">
        <f aca="false">IF(22&gt;$J$5,"",INDEX(Colleagues!$B$5:$B$204,MATCH(22,Colleagues!$J$5:$J$204,0)))</f>
        <v/>
      </c>
      <c r="D51" s="23"/>
      <c r="E51" s="22" t="str">
        <f aca="false">IF(22&gt;$J$5,"",INDEX(Colleagues!$C$5:$C$204,MATCH(22,Colleagues!$J$5:$J$204,0)))</f>
        <v/>
      </c>
      <c r="F51" s="22" t="str">
        <f aca="false">IF(22&gt;$J$5,"",INDEX(Colleagues!$D$5:$D$204,MATCH(22,Colleagues!$J$5:$J$204,0)))</f>
        <v/>
      </c>
      <c r="G51" s="24" t="str">
        <f aca="false">IF(22&gt;$J$5,"",INDEX(Colleagues!$E$5:$E$204,MATCH(22,Colleagues!$J$5:$J$204,0)))</f>
        <v/>
      </c>
      <c r="H51" s="24" t="str">
        <f aca="false">IF(22&gt;$J$5,"",INDEX(Colleagues!$F$5:$F$204,MATCH(22,Colleagues!$J$5:$J$204,0)))</f>
        <v/>
      </c>
      <c r="I51" s="25" t="str">
        <f aca="false">IF(22&gt;$J$5,"",INDEX(Colleagues!$G$5:$G$204,MATCH(22,Colleagues!$J$5:$J$204,0)))</f>
        <v/>
      </c>
      <c r="J51" s="24" t="str">
        <f aca="false">IF(22&gt;$J$5,"",INDEX(Colleagues!$H$5:$H$204,MATCH(22,Colleagues!$J$5:$J$204,0)))</f>
        <v/>
      </c>
    </row>
    <row r="52" customFormat="false" ht="15" hidden="false" customHeight="false" outlineLevel="0" collapsed="false">
      <c r="B52" s="9" t="str">
        <f aca="false">IF(23&gt;$J$5,"",23)</f>
        <v/>
      </c>
      <c r="C52" s="19" t="str">
        <f aca="false">IF(23&gt;$J$5,"",INDEX(Colleagues!$B$5:$B$204,MATCH(23,Colleagues!$J$5:$J$204,0)))</f>
        <v/>
      </c>
      <c r="D52" s="19"/>
      <c r="E52" s="9" t="str">
        <f aca="false">IF(23&gt;$J$5,"",INDEX(Colleagues!$C$5:$C$204,MATCH(23,Colleagues!$J$5:$J$204,0)))</f>
        <v/>
      </c>
      <c r="F52" s="9" t="str">
        <f aca="false">IF(23&gt;$J$5,"",INDEX(Colleagues!$D$5:$D$204,MATCH(23,Colleagues!$J$5:$J$204,0)))</f>
        <v/>
      </c>
      <c r="G52" s="20" t="str">
        <f aca="false">IF(23&gt;$J$5,"",INDEX(Colleagues!$E$5:$E$204,MATCH(23,Colleagues!$J$5:$J$204,0)))</f>
        <v/>
      </c>
      <c r="H52" s="20" t="str">
        <f aca="false">IF(23&gt;$J$5,"",INDEX(Colleagues!$F$5:$F$204,MATCH(23,Colleagues!$J$5:$J$204,0)))</f>
        <v/>
      </c>
      <c r="I52" s="21" t="str">
        <f aca="false">IF(23&gt;$J$5,"",INDEX(Colleagues!$G$5:$G$204,MATCH(23,Colleagues!$J$5:$J$204,0)))</f>
        <v/>
      </c>
      <c r="J52" s="20" t="str">
        <f aca="false">IF(23&gt;$J$5,"",INDEX(Colleagues!$H$5:$H$204,MATCH(23,Colleagues!$J$5:$J$204,0)))</f>
        <v/>
      </c>
    </row>
    <row r="53" customFormat="false" ht="15" hidden="false" customHeight="false" outlineLevel="0" collapsed="false">
      <c r="B53" s="22" t="str">
        <f aca="false">IF(24&gt;$J$5,"",24)</f>
        <v/>
      </c>
      <c r="C53" s="23" t="str">
        <f aca="false">IF(24&gt;$J$5,"",INDEX(Colleagues!$B$5:$B$204,MATCH(24,Colleagues!$J$5:$J$204,0)))</f>
        <v/>
      </c>
      <c r="D53" s="23"/>
      <c r="E53" s="22" t="str">
        <f aca="false">IF(24&gt;$J$5,"",INDEX(Colleagues!$C$5:$C$204,MATCH(24,Colleagues!$J$5:$J$204,0)))</f>
        <v/>
      </c>
      <c r="F53" s="22" t="str">
        <f aca="false">IF(24&gt;$J$5,"",INDEX(Colleagues!$D$5:$D$204,MATCH(24,Colleagues!$J$5:$J$204,0)))</f>
        <v/>
      </c>
      <c r="G53" s="24" t="str">
        <f aca="false">IF(24&gt;$J$5,"",INDEX(Colleagues!$E$5:$E$204,MATCH(24,Colleagues!$J$5:$J$204,0)))</f>
        <v/>
      </c>
      <c r="H53" s="24" t="str">
        <f aca="false">IF(24&gt;$J$5,"",INDEX(Colleagues!$F$5:$F$204,MATCH(24,Colleagues!$J$5:$J$204,0)))</f>
        <v/>
      </c>
      <c r="I53" s="25" t="str">
        <f aca="false">IF(24&gt;$J$5,"",INDEX(Colleagues!$G$5:$G$204,MATCH(24,Colleagues!$J$5:$J$204,0)))</f>
        <v/>
      </c>
      <c r="J53" s="24" t="str">
        <f aca="false">IF(24&gt;$J$5,"",INDEX(Colleagues!$H$5:$H$204,MATCH(24,Colleagues!$J$5:$J$204,0)))</f>
        <v/>
      </c>
    </row>
    <row r="54" customFormat="false" ht="15" hidden="false" customHeight="false" outlineLevel="0" collapsed="false">
      <c r="B54" s="9" t="str">
        <f aca="false">IF(25&gt;$J$5,"",25)</f>
        <v/>
      </c>
      <c r="C54" s="19" t="str">
        <f aca="false">IF(25&gt;$J$5,"",INDEX(Colleagues!$B$5:$B$204,MATCH(25,Colleagues!$J$5:$J$204,0)))</f>
        <v/>
      </c>
      <c r="D54" s="19"/>
      <c r="E54" s="9" t="str">
        <f aca="false">IF(25&gt;$J$5,"",INDEX(Colleagues!$C$5:$C$204,MATCH(25,Colleagues!$J$5:$J$204,0)))</f>
        <v/>
      </c>
      <c r="F54" s="9" t="str">
        <f aca="false">IF(25&gt;$J$5,"",INDEX(Colleagues!$D$5:$D$204,MATCH(25,Colleagues!$J$5:$J$204,0)))</f>
        <v/>
      </c>
      <c r="G54" s="20" t="str">
        <f aca="false">IF(25&gt;$J$5,"",INDEX(Colleagues!$E$5:$E$204,MATCH(25,Colleagues!$J$5:$J$204,0)))</f>
        <v/>
      </c>
      <c r="H54" s="20" t="str">
        <f aca="false">IF(25&gt;$J$5,"",INDEX(Colleagues!$F$5:$F$204,MATCH(25,Colleagues!$J$5:$J$204,0)))</f>
        <v/>
      </c>
      <c r="I54" s="21" t="str">
        <f aca="false">IF(25&gt;$J$5,"",INDEX(Colleagues!$G$5:$G$204,MATCH(25,Colleagues!$J$5:$J$204,0)))</f>
        <v/>
      </c>
      <c r="J54" s="20" t="str">
        <f aca="false">IF(25&gt;$J$5,"",INDEX(Colleagues!$H$5:$H$204,MATCH(25,Colleagues!$J$5:$J$204,0)))</f>
        <v/>
      </c>
    </row>
    <row r="55" customFormat="false" ht="15" hidden="false" customHeight="false" outlineLevel="0" collapsed="false">
      <c r="B55" s="26" t="str">
        <f aca="false">IF($J$5&gt;25,"+ "&amp;($J$5-25)&amp;" more — see Colleagues sheet (filter Status = FLAG)",IF($J$5=0,"No one flagged yet.",""))</f>
        <v>No one flagged yet.</v>
      </c>
    </row>
  </sheetData>
  <mergeCells count="49">
    <mergeCell ref="A1:L1"/>
    <mergeCell ref="A2:L2"/>
    <mergeCell ref="B4:C4"/>
    <mergeCell ref="D4:E4"/>
    <mergeCell ref="F4:G4"/>
    <mergeCell ref="H4:I4"/>
    <mergeCell ref="J4:K4"/>
    <mergeCell ref="B5:C6"/>
    <mergeCell ref="D5:E6"/>
    <mergeCell ref="F5:G6"/>
    <mergeCell ref="H5:I6"/>
    <mergeCell ref="J5:K6"/>
    <mergeCell ref="B8:C8"/>
    <mergeCell ref="D8:E8"/>
    <mergeCell ref="F8:G8"/>
    <mergeCell ref="H8:I8"/>
    <mergeCell ref="J8:K8"/>
    <mergeCell ref="B9:C10"/>
    <mergeCell ref="D9:E10"/>
    <mergeCell ref="F9:G10"/>
    <mergeCell ref="H9:I10"/>
    <mergeCell ref="J9:K10"/>
    <mergeCell ref="B28:K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conditionalFormatting sqref="F13:F15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8" min="5" style="0" width="14"/>
    <col collapsed="false" customWidth="true" hidden="false" outlineLevel="0" max="9" min="9" style="0" width="12"/>
    <col collapsed="false" customWidth="true" hidden="false" outlineLevel="0" max="10" min="10" style="0" width="7"/>
  </cols>
  <sheetData>
    <row r="1" customFormat="false" ht="36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7" t="s">
        <v>25</v>
      </c>
      <c r="B4" s="7" t="s">
        <v>26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31</v>
      </c>
      <c r="I4" s="7" t="s">
        <v>16</v>
      </c>
      <c r="J4" s="7" t="s">
        <v>39</v>
      </c>
    </row>
    <row r="5" customFormat="false" ht="15" hidden="false" customHeight="false" outlineLevel="0" collapsed="false">
      <c r="A5" s="27" t="n">
        <v>1</v>
      </c>
      <c r="B5" s="28"/>
      <c r="C5" s="22"/>
      <c r="D5" s="10" t="str">
        <f aca="false">IF(B5="","",SUMIFS('Issue Log'!$D$5:$D$1004,'Issue Log'!$B$5:$B$1004,B5))</f>
        <v/>
      </c>
      <c r="E5" s="20" t="str">
        <f aca="false">IF(OR(B5="",N(D5)&lt;1),"",_xlfn.MINIFS('Issue Log'!$A$5:$A$1004,'Issue Log'!$B$5:$B$1004,B5,'Issue Log'!$F$5:$F$1004,"&gt;="&amp;1))</f>
        <v/>
      </c>
      <c r="F5" s="20" t="str">
        <f aca="false">IF(OR(B5="",N(D5)&lt;2),"",_xlfn.MINIFS('Issue Log'!$A$5:$A$1004,'Issue Log'!$B$5:$B$1004,B5,'Issue Log'!$F$5:$F$1004,"&gt;="&amp;2))</f>
        <v/>
      </c>
      <c r="G5" s="20" t="str">
        <f aca="false">IF(OR(B5="",N(D5)&lt;3),"",_xlfn.MINIFS('Issue Log'!$A$5:$A$1004,'Issue Log'!$B$5:$B$1004,B5,'Issue Log'!$F$5:$F$1004,"&gt;="&amp;3))</f>
        <v/>
      </c>
      <c r="H5" s="20" t="str">
        <f aca="false">IF(N(D5)=0,"",_xlfn.MAXIFS('Issue Log'!$A$5:$A$1004,'Issue Log'!$B$5:$B$1004,B5))</f>
        <v/>
      </c>
      <c r="I5" s="10" t="str">
        <f aca="false">IF(B5="","",IF(D5&gt;=3,"FLAG",IF(D5=0,"Not issued","OK")))</f>
        <v/>
      </c>
      <c r="J5" s="29" t="str">
        <f aca="false">IF(I5="FLAG",COUNTIF($I$5:I5,"FLAG"),"")</f>
        <v/>
      </c>
    </row>
    <row r="6" customFormat="false" ht="15" hidden="false" customHeight="false" outlineLevel="0" collapsed="false">
      <c r="A6" s="27" t="n">
        <v>2</v>
      </c>
      <c r="B6" s="28"/>
      <c r="C6" s="22"/>
      <c r="D6" s="10" t="str">
        <f aca="false">IF(B6="","",SUMIFS('Issue Log'!$D$5:$D$1004,'Issue Log'!$B$5:$B$1004,B6))</f>
        <v/>
      </c>
      <c r="E6" s="20" t="str">
        <f aca="false">IF(OR(B6="",N(D6)&lt;1),"",_xlfn.MINIFS('Issue Log'!$A$5:$A$1004,'Issue Log'!$B$5:$B$1004,B6,'Issue Log'!$F$5:$F$1004,"&gt;="&amp;1))</f>
        <v/>
      </c>
      <c r="F6" s="20" t="str">
        <f aca="false">IF(OR(B6="",N(D6)&lt;2),"",_xlfn.MINIFS('Issue Log'!$A$5:$A$1004,'Issue Log'!$B$5:$B$1004,B6,'Issue Log'!$F$5:$F$1004,"&gt;="&amp;2))</f>
        <v/>
      </c>
      <c r="G6" s="20" t="str">
        <f aca="false">IF(OR(B6="",N(D6)&lt;3),"",_xlfn.MINIFS('Issue Log'!$A$5:$A$1004,'Issue Log'!$B$5:$B$1004,B6,'Issue Log'!$F$5:$F$1004,"&gt;="&amp;3))</f>
        <v/>
      </c>
      <c r="H6" s="20" t="str">
        <f aca="false">IF(N(D6)=0,"",_xlfn.MAXIFS('Issue Log'!$A$5:$A$1004,'Issue Log'!$B$5:$B$1004,B6))</f>
        <v/>
      </c>
      <c r="I6" s="10" t="str">
        <f aca="false">IF(B6="","",IF(D6&gt;=3,"FLAG",IF(D6=0,"Not issued","OK")))</f>
        <v/>
      </c>
      <c r="J6" s="29" t="str">
        <f aca="false">IF(I6="FLAG",COUNTIF($I$5:I6,"FLAG"),"")</f>
        <v/>
      </c>
    </row>
    <row r="7" customFormat="false" ht="15" hidden="false" customHeight="false" outlineLevel="0" collapsed="false">
      <c r="A7" s="27" t="n">
        <v>3</v>
      </c>
      <c r="B7" s="28"/>
      <c r="C7" s="22"/>
      <c r="D7" s="10" t="str">
        <f aca="false">IF(B7="","",SUMIFS('Issue Log'!$D$5:$D$1004,'Issue Log'!$B$5:$B$1004,B7))</f>
        <v/>
      </c>
      <c r="E7" s="20" t="str">
        <f aca="false">IF(OR(B7="",N(D7)&lt;1),"",_xlfn.MINIFS('Issue Log'!$A$5:$A$1004,'Issue Log'!$B$5:$B$1004,B7,'Issue Log'!$F$5:$F$1004,"&gt;="&amp;1))</f>
        <v/>
      </c>
      <c r="F7" s="20" t="str">
        <f aca="false">IF(OR(B7="",N(D7)&lt;2),"",_xlfn.MINIFS('Issue Log'!$A$5:$A$1004,'Issue Log'!$B$5:$B$1004,B7,'Issue Log'!$F$5:$F$1004,"&gt;="&amp;2))</f>
        <v/>
      </c>
      <c r="G7" s="20" t="str">
        <f aca="false">IF(OR(B7="",N(D7)&lt;3),"",_xlfn.MINIFS('Issue Log'!$A$5:$A$1004,'Issue Log'!$B$5:$B$1004,B7,'Issue Log'!$F$5:$F$1004,"&gt;="&amp;3))</f>
        <v/>
      </c>
      <c r="H7" s="20" t="str">
        <f aca="false">IF(N(D7)=0,"",_xlfn.MAXIFS('Issue Log'!$A$5:$A$1004,'Issue Log'!$B$5:$B$1004,B7))</f>
        <v/>
      </c>
      <c r="I7" s="10" t="str">
        <f aca="false">IF(B7="","",IF(D7&gt;=3,"FLAG",IF(D7=0,"Not issued","OK")))</f>
        <v/>
      </c>
      <c r="J7" s="29" t="str">
        <f aca="false">IF(I7="FLAG",COUNTIF($I$5:I7,"FLAG"),"")</f>
        <v/>
      </c>
    </row>
    <row r="8" customFormat="false" ht="15" hidden="false" customHeight="false" outlineLevel="0" collapsed="false">
      <c r="A8" s="27" t="n">
        <v>4</v>
      </c>
      <c r="B8" s="28"/>
      <c r="C8" s="22"/>
      <c r="D8" s="10" t="str">
        <f aca="false">IF(B8="","",SUMIFS('Issue Log'!$D$5:$D$1004,'Issue Log'!$B$5:$B$1004,B8))</f>
        <v/>
      </c>
      <c r="E8" s="20" t="str">
        <f aca="false">IF(OR(B8="",N(D8)&lt;1),"",_xlfn.MINIFS('Issue Log'!$A$5:$A$1004,'Issue Log'!$B$5:$B$1004,B8,'Issue Log'!$F$5:$F$1004,"&gt;="&amp;1))</f>
        <v/>
      </c>
      <c r="F8" s="20" t="str">
        <f aca="false">IF(OR(B8="",N(D8)&lt;2),"",_xlfn.MINIFS('Issue Log'!$A$5:$A$1004,'Issue Log'!$B$5:$B$1004,B8,'Issue Log'!$F$5:$F$1004,"&gt;="&amp;2))</f>
        <v/>
      </c>
      <c r="G8" s="20" t="str">
        <f aca="false">IF(OR(B8="",N(D8)&lt;3),"",_xlfn.MINIFS('Issue Log'!$A$5:$A$1004,'Issue Log'!$B$5:$B$1004,B8,'Issue Log'!$F$5:$F$1004,"&gt;="&amp;3))</f>
        <v/>
      </c>
      <c r="H8" s="20" t="str">
        <f aca="false">IF(N(D8)=0,"",_xlfn.MAXIFS('Issue Log'!$A$5:$A$1004,'Issue Log'!$B$5:$B$1004,B8))</f>
        <v/>
      </c>
      <c r="I8" s="10" t="str">
        <f aca="false">IF(B8="","",IF(D8&gt;=3,"FLAG",IF(D8=0,"Not issued","OK")))</f>
        <v/>
      </c>
      <c r="J8" s="29" t="str">
        <f aca="false">IF(I8="FLAG",COUNTIF($I$5:I8,"FLAG"),"")</f>
        <v/>
      </c>
    </row>
    <row r="9" customFormat="false" ht="15" hidden="false" customHeight="false" outlineLevel="0" collapsed="false">
      <c r="A9" s="27" t="n">
        <v>5</v>
      </c>
      <c r="B9" s="28"/>
      <c r="C9" s="22"/>
      <c r="D9" s="10" t="str">
        <f aca="false">IF(B9="","",SUMIFS('Issue Log'!$D$5:$D$1004,'Issue Log'!$B$5:$B$1004,B9))</f>
        <v/>
      </c>
      <c r="E9" s="20" t="str">
        <f aca="false">IF(OR(B9="",N(D9)&lt;1),"",_xlfn.MINIFS('Issue Log'!$A$5:$A$1004,'Issue Log'!$B$5:$B$1004,B9,'Issue Log'!$F$5:$F$1004,"&gt;="&amp;1))</f>
        <v/>
      </c>
      <c r="F9" s="20" t="str">
        <f aca="false">IF(OR(B9="",N(D9)&lt;2),"",_xlfn.MINIFS('Issue Log'!$A$5:$A$1004,'Issue Log'!$B$5:$B$1004,B9,'Issue Log'!$F$5:$F$1004,"&gt;="&amp;2))</f>
        <v/>
      </c>
      <c r="G9" s="20" t="str">
        <f aca="false">IF(OR(B9="",N(D9)&lt;3),"",_xlfn.MINIFS('Issue Log'!$A$5:$A$1004,'Issue Log'!$B$5:$B$1004,B9,'Issue Log'!$F$5:$F$1004,"&gt;="&amp;3))</f>
        <v/>
      </c>
      <c r="H9" s="20" t="str">
        <f aca="false">IF(N(D9)=0,"",_xlfn.MAXIFS('Issue Log'!$A$5:$A$1004,'Issue Log'!$B$5:$B$1004,B9))</f>
        <v/>
      </c>
      <c r="I9" s="10" t="str">
        <f aca="false">IF(B9="","",IF(D9&gt;=3,"FLAG",IF(D9=0,"Not issued","OK")))</f>
        <v/>
      </c>
      <c r="J9" s="29" t="str">
        <f aca="false">IF(I9="FLAG",COUNTIF($I$5:I9,"FLAG"),"")</f>
        <v/>
      </c>
    </row>
    <row r="10" customFormat="false" ht="15" hidden="false" customHeight="false" outlineLevel="0" collapsed="false">
      <c r="A10" s="27" t="n">
        <v>6</v>
      </c>
      <c r="B10" s="28"/>
      <c r="C10" s="22"/>
      <c r="D10" s="10" t="str">
        <f aca="false">IF(B10="","",SUMIFS('Issue Log'!$D$5:$D$1004,'Issue Log'!$B$5:$B$1004,B10))</f>
        <v/>
      </c>
      <c r="E10" s="20" t="str">
        <f aca="false">IF(OR(B10="",N(D10)&lt;1),"",_xlfn.MINIFS('Issue Log'!$A$5:$A$1004,'Issue Log'!$B$5:$B$1004,B10,'Issue Log'!$F$5:$F$1004,"&gt;="&amp;1))</f>
        <v/>
      </c>
      <c r="F10" s="20" t="str">
        <f aca="false">IF(OR(B10="",N(D10)&lt;2),"",_xlfn.MINIFS('Issue Log'!$A$5:$A$1004,'Issue Log'!$B$5:$B$1004,B10,'Issue Log'!$F$5:$F$1004,"&gt;="&amp;2))</f>
        <v/>
      </c>
      <c r="G10" s="20" t="str">
        <f aca="false">IF(OR(B10="",N(D10)&lt;3),"",_xlfn.MINIFS('Issue Log'!$A$5:$A$1004,'Issue Log'!$B$5:$B$1004,B10,'Issue Log'!$F$5:$F$1004,"&gt;="&amp;3))</f>
        <v/>
      </c>
      <c r="H10" s="20" t="str">
        <f aca="false">IF(N(D10)=0,"",_xlfn.MAXIFS('Issue Log'!$A$5:$A$1004,'Issue Log'!$B$5:$B$1004,B10))</f>
        <v/>
      </c>
      <c r="I10" s="10" t="str">
        <f aca="false">IF(B10="","",IF(D10&gt;=3,"FLAG",IF(D10=0,"Not issued","OK")))</f>
        <v/>
      </c>
      <c r="J10" s="29" t="str">
        <f aca="false">IF(I10="FLAG",COUNTIF($I$5:I10,"FLAG"),"")</f>
        <v/>
      </c>
    </row>
    <row r="11" customFormat="false" ht="15" hidden="false" customHeight="false" outlineLevel="0" collapsed="false">
      <c r="A11" s="27" t="n">
        <v>7</v>
      </c>
      <c r="B11" s="28"/>
      <c r="C11" s="22"/>
      <c r="D11" s="10" t="str">
        <f aca="false">IF(B11="","",SUMIFS('Issue Log'!$D$5:$D$1004,'Issue Log'!$B$5:$B$1004,B11))</f>
        <v/>
      </c>
      <c r="E11" s="20" t="str">
        <f aca="false">IF(OR(B11="",N(D11)&lt;1),"",_xlfn.MINIFS('Issue Log'!$A$5:$A$1004,'Issue Log'!$B$5:$B$1004,B11,'Issue Log'!$F$5:$F$1004,"&gt;="&amp;1))</f>
        <v/>
      </c>
      <c r="F11" s="20" t="str">
        <f aca="false">IF(OR(B11="",N(D11)&lt;2),"",_xlfn.MINIFS('Issue Log'!$A$5:$A$1004,'Issue Log'!$B$5:$B$1004,B11,'Issue Log'!$F$5:$F$1004,"&gt;="&amp;2))</f>
        <v/>
      </c>
      <c r="G11" s="20" t="str">
        <f aca="false">IF(OR(B11="",N(D11)&lt;3),"",_xlfn.MINIFS('Issue Log'!$A$5:$A$1004,'Issue Log'!$B$5:$B$1004,B11,'Issue Log'!$F$5:$F$1004,"&gt;="&amp;3))</f>
        <v/>
      </c>
      <c r="H11" s="20" t="str">
        <f aca="false">IF(N(D11)=0,"",_xlfn.MAXIFS('Issue Log'!$A$5:$A$1004,'Issue Log'!$B$5:$B$1004,B11))</f>
        <v/>
      </c>
      <c r="I11" s="10" t="str">
        <f aca="false">IF(B11="","",IF(D11&gt;=3,"FLAG",IF(D11=0,"Not issued","OK")))</f>
        <v/>
      </c>
      <c r="J11" s="29" t="str">
        <f aca="false">IF(I11="FLAG",COUNTIF($I$5:I11,"FLAG"),"")</f>
        <v/>
      </c>
    </row>
    <row r="12" customFormat="false" ht="15" hidden="false" customHeight="false" outlineLevel="0" collapsed="false">
      <c r="A12" s="27" t="n">
        <v>8</v>
      </c>
      <c r="B12" s="28"/>
      <c r="C12" s="22"/>
      <c r="D12" s="10" t="str">
        <f aca="false">IF(B12="","",SUMIFS('Issue Log'!$D$5:$D$1004,'Issue Log'!$B$5:$B$1004,B12))</f>
        <v/>
      </c>
      <c r="E12" s="20" t="str">
        <f aca="false">IF(OR(B12="",N(D12)&lt;1),"",_xlfn.MINIFS('Issue Log'!$A$5:$A$1004,'Issue Log'!$B$5:$B$1004,B12,'Issue Log'!$F$5:$F$1004,"&gt;="&amp;1))</f>
        <v/>
      </c>
      <c r="F12" s="20" t="str">
        <f aca="false">IF(OR(B12="",N(D12)&lt;2),"",_xlfn.MINIFS('Issue Log'!$A$5:$A$1004,'Issue Log'!$B$5:$B$1004,B12,'Issue Log'!$F$5:$F$1004,"&gt;="&amp;2))</f>
        <v/>
      </c>
      <c r="G12" s="20" t="str">
        <f aca="false">IF(OR(B12="",N(D12)&lt;3),"",_xlfn.MINIFS('Issue Log'!$A$5:$A$1004,'Issue Log'!$B$5:$B$1004,B12,'Issue Log'!$F$5:$F$1004,"&gt;="&amp;3))</f>
        <v/>
      </c>
      <c r="H12" s="20" t="str">
        <f aca="false">IF(N(D12)=0,"",_xlfn.MAXIFS('Issue Log'!$A$5:$A$1004,'Issue Log'!$B$5:$B$1004,B12))</f>
        <v/>
      </c>
      <c r="I12" s="10" t="str">
        <f aca="false">IF(B12="","",IF(D12&gt;=3,"FLAG",IF(D12=0,"Not issued","OK")))</f>
        <v/>
      </c>
      <c r="J12" s="29" t="str">
        <f aca="false">IF(I12="FLAG",COUNTIF($I$5:I12,"FLAG"),"")</f>
        <v/>
      </c>
    </row>
    <row r="13" customFormat="false" ht="15" hidden="false" customHeight="false" outlineLevel="0" collapsed="false">
      <c r="A13" s="27" t="n">
        <v>9</v>
      </c>
      <c r="B13" s="28"/>
      <c r="C13" s="22"/>
      <c r="D13" s="10" t="str">
        <f aca="false">IF(B13="","",SUMIFS('Issue Log'!$D$5:$D$1004,'Issue Log'!$B$5:$B$1004,B13))</f>
        <v/>
      </c>
      <c r="E13" s="20" t="str">
        <f aca="false">IF(OR(B13="",N(D13)&lt;1),"",_xlfn.MINIFS('Issue Log'!$A$5:$A$1004,'Issue Log'!$B$5:$B$1004,B13,'Issue Log'!$F$5:$F$1004,"&gt;="&amp;1))</f>
        <v/>
      </c>
      <c r="F13" s="20" t="str">
        <f aca="false">IF(OR(B13="",N(D13)&lt;2),"",_xlfn.MINIFS('Issue Log'!$A$5:$A$1004,'Issue Log'!$B$5:$B$1004,B13,'Issue Log'!$F$5:$F$1004,"&gt;="&amp;2))</f>
        <v/>
      </c>
      <c r="G13" s="20" t="str">
        <f aca="false">IF(OR(B13="",N(D13)&lt;3),"",_xlfn.MINIFS('Issue Log'!$A$5:$A$1004,'Issue Log'!$B$5:$B$1004,B13,'Issue Log'!$F$5:$F$1004,"&gt;="&amp;3))</f>
        <v/>
      </c>
      <c r="H13" s="20" t="str">
        <f aca="false">IF(N(D13)=0,"",_xlfn.MAXIFS('Issue Log'!$A$5:$A$1004,'Issue Log'!$B$5:$B$1004,B13))</f>
        <v/>
      </c>
      <c r="I13" s="10" t="str">
        <f aca="false">IF(B13="","",IF(D13&gt;=3,"FLAG",IF(D13=0,"Not issued","OK")))</f>
        <v/>
      </c>
      <c r="J13" s="29" t="str">
        <f aca="false">IF(I13="FLAG",COUNTIF($I$5:I13,"FLAG"),"")</f>
        <v/>
      </c>
    </row>
    <row r="14" customFormat="false" ht="15" hidden="false" customHeight="false" outlineLevel="0" collapsed="false">
      <c r="A14" s="27" t="n">
        <v>10</v>
      </c>
      <c r="B14" s="28"/>
      <c r="C14" s="22"/>
      <c r="D14" s="10" t="str">
        <f aca="false">IF(B14="","",SUMIFS('Issue Log'!$D$5:$D$1004,'Issue Log'!$B$5:$B$1004,B14))</f>
        <v/>
      </c>
      <c r="E14" s="20" t="str">
        <f aca="false">IF(OR(B14="",N(D14)&lt;1),"",_xlfn.MINIFS('Issue Log'!$A$5:$A$1004,'Issue Log'!$B$5:$B$1004,B14,'Issue Log'!$F$5:$F$1004,"&gt;="&amp;1))</f>
        <v/>
      </c>
      <c r="F14" s="20" t="str">
        <f aca="false">IF(OR(B14="",N(D14)&lt;2),"",_xlfn.MINIFS('Issue Log'!$A$5:$A$1004,'Issue Log'!$B$5:$B$1004,B14,'Issue Log'!$F$5:$F$1004,"&gt;="&amp;2))</f>
        <v/>
      </c>
      <c r="G14" s="20" t="str">
        <f aca="false">IF(OR(B14="",N(D14)&lt;3),"",_xlfn.MINIFS('Issue Log'!$A$5:$A$1004,'Issue Log'!$B$5:$B$1004,B14,'Issue Log'!$F$5:$F$1004,"&gt;="&amp;3))</f>
        <v/>
      </c>
      <c r="H14" s="20" t="str">
        <f aca="false">IF(N(D14)=0,"",_xlfn.MAXIFS('Issue Log'!$A$5:$A$1004,'Issue Log'!$B$5:$B$1004,B14))</f>
        <v/>
      </c>
      <c r="I14" s="10" t="str">
        <f aca="false">IF(B14="","",IF(D14&gt;=3,"FLAG",IF(D14=0,"Not issued","OK")))</f>
        <v/>
      </c>
      <c r="J14" s="29" t="str">
        <f aca="false">IF(I14="FLAG",COUNTIF($I$5:I14,"FLAG"),"")</f>
        <v/>
      </c>
    </row>
    <row r="15" customFormat="false" ht="15" hidden="false" customHeight="false" outlineLevel="0" collapsed="false">
      <c r="A15" s="27" t="n">
        <v>11</v>
      </c>
      <c r="B15" s="28"/>
      <c r="C15" s="22"/>
      <c r="D15" s="10" t="str">
        <f aca="false">IF(B15="","",SUMIFS('Issue Log'!$D$5:$D$1004,'Issue Log'!$B$5:$B$1004,B15))</f>
        <v/>
      </c>
      <c r="E15" s="20" t="str">
        <f aca="false">IF(OR(B15="",N(D15)&lt;1),"",_xlfn.MINIFS('Issue Log'!$A$5:$A$1004,'Issue Log'!$B$5:$B$1004,B15,'Issue Log'!$F$5:$F$1004,"&gt;="&amp;1))</f>
        <v/>
      </c>
      <c r="F15" s="20" t="str">
        <f aca="false">IF(OR(B15="",N(D15)&lt;2),"",_xlfn.MINIFS('Issue Log'!$A$5:$A$1004,'Issue Log'!$B$5:$B$1004,B15,'Issue Log'!$F$5:$F$1004,"&gt;="&amp;2))</f>
        <v/>
      </c>
      <c r="G15" s="20" t="str">
        <f aca="false">IF(OR(B15="",N(D15)&lt;3),"",_xlfn.MINIFS('Issue Log'!$A$5:$A$1004,'Issue Log'!$B$5:$B$1004,B15,'Issue Log'!$F$5:$F$1004,"&gt;="&amp;3))</f>
        <v/>
      </c>
      <c r="H15" s="20" t="str">
        <f aca="false">IF(N(D15)=0,"",_xlfn.MAXIFS('Issue Log'!$A$5:$A$1004,'Issue Log'!$B$5:$B$1004,B15))</f>
        <v/>
      </c>
      <c r="I15" s="10" t="str">
        <f aca="false">IF(B15="","",IF(D15&gt;=3,"FLAG",IF(D15=0,"Not issued","OK")))</f>
        <v/>
      </c>
      <c r="J15" s="29" t="str">
        <f aca="false">IF(I15="FLAG",COUNTIF($I$5:I15,"FLAG"),"")</f>
        <v/>
      </c>
    </row>
    <row r="16" customFormat="false" ht="15" hidden="false" customHeight="false" outlineLevel="0" collapsed="false">
      <c r="A16" s="27" t="n">
        <v>12</v>
      </c>
      <c r="B16" s="28"/>
      <c r="C16" s="22"/>
      <c r="D16" s="10" t="str">
        <f aca="false">IF(B16="","",SUMIFS('Issue Log'!$D$5:$D$1004,'Issue Log'!$B$5:$B$1004,B16))</f>
        <v/>
      </c>
      <c r="E16" s="20" t="str">
        <f aca="false">IF(OR(B16="",N(D16)&lt;1),"",_xlfn.MINIFS('Issue Log'!$A$5:$A$1004,'Issue Log'!$B$5:$B$1004,B16,'Issue Log'!$F$5:$F$1004,"&gt;="&amp;1))</f>
        <v/>
      </c>
      <c r="F16" s="20" t="str">
        <f aca="false">IF(OR(B16="",N(D16)&lt;2),"",_xlfn.MINIFS('Issue Log'!$A$5:$A$1004,'Issue Log'!$B$5:$B$1004,B16,'Issue Log'!$F$5:$F$1004,"&gt;="&amp;2))</f>
        <v/>
      </c>
      <c r="G16" s="20" t="str">
        <f aca="false">IF(OR(B16="",N(D16)&lt;3),"",_xlfn.MINIFS('Issue Log'!$A$5:$A$1004,'Issue Log'!$B$5:$B$1004,B16,'Issue Log'!$F$5:$F$1004,"&gt;="&amp;3))</f>
        <v/>
      </c>
      <c r="H16" s="20" t="str">
        <f aca="false">IF(N(D16)=0,"",_xlfn.MAXIFS('Issue Log'!$A$5:$A$1004,'Issue Log'!$B$5:$B$1004,B16))</f>
        <v/>
      </c>
      <c r="I16" s="10" t="str">
        <f aca="false">IF(B16="","",IF(D16&gt;=3,"FLAG",IF(D16=0,"Not issued","OK")))</f>
        <v/>
      </c>
      <c r="J16" s="29" t="str">
        <f aca="false">IF(I16="FLAG",COUNTIF($I$5:I16,"FLAG"),"")</f>
        <v/>
      </c>
    </row>
    <row r="17" customFormat="false" ht="15" hidden="false" customHeight="false" outlineLevel="0" collapsed="false">
      <c r="A17" s="27" t="n">
        <v>13</v>
      </c>
      <c r="B17" s="28"/>
      <c r="C17" s="22"/>
      <c r="D17" s="10" t="str">
        <f aca="false">IF(B17="","",SUMIFS('Issue Log'!$D$5:$D$1004,'Issue Log'!$B$5:$B$1004,B17))</f>
        <v/>
      </c>
      <c r="E17" s="20" t="str">
        <f aca="false">IF(OR(B17="",N(D17)&lt;1),"",_xlfn.MINIFS('Issue Log'!$A$5:$A$1004,'Issue Log'!$B$5:$B$1004,B17,'Issue Log'!$F$5:$F$1004,"&gt;="&amp;1))</f>
        <v/>
      </c>
      <c r="F17" s="20" t="str">
        <f aca="false">IF(OR(B17="",N(D17)&lt;2),"",_xlfn.MINIFS('Issue Log'!$A$5:$A$1004,'Issue Log'!$B$5:$B$1004,B17,'Issue Log'!$F$5:$F$1004,"&gt;="&amp;2))</f>
        <v/>
      </c>
      <c r="G17" s="20" t="str">
        <f aca="false">IF(OR(B17="",N(D17)&lt;3),"",_xlfn.MINIFS('Issue Log'!$A$5:$A$1004,'Issue Log'!$B$5:$B$1004,B17,'Issue Log'!$F$5:$F$1004,"&gt;="&amp;3))</f>
        <v/>
      </c>
      <c r="H17" s="20" t="str">
        <f aca="false">IF(N(D17)=0,"",_xlfn.MAXIFS('Issue Log'!$A$5:$A$1004,'Issue Log'!$B$5:$B$1004,B17))</f>
        <v/>
      </c>
      <c r="I17" s="10" t="str">
        <f aca="false">IF(B17="","",IF(D17&gt;=3,"FLAG",IF(D17=0,"Not issued","OK")))</f>
        <v/>
      </c>
      <c r="J17" s="29" t="str">
        <f aca="false">IF(I17="FLAG",COUNTIF($I$5:I17,"FLAG"),"")</f>
        <v/>
      </c>
    </row>
    <row r="18" customFormat="false" ht="15" hidden="false" customHeight="false" outlineLevel="0" collapsed="false">
      <c r="A18" s="27" t="n">
        <v>14</v>
      </c>
      <c r="B18" s="28"/>
      <c r="C18" s="22"/>
      <c r="D18" s="10" t="str">
        <f aca="false">IF(B18="","",SUMIFS('Issue Log'!$D$5:$D$1004,'Issue Log'!$B$5:$B$1004,B18))</f>
        <v/>
      </c>
      <c r="E18" s="20" t="str">
        <f aca="false">IF(OR(B18="",N(D18)&lt;1),"",_xlfn.MINIFS('Issue Log'!$A$5:$A$1004,'Issue Log'!$B$5:$B$1004,B18,'Issue Log'!$F$5:$F$1004,"&gt;="&amp;1))</f>
        <v/>
      </c>
      <c r="F18" s="20" t="str">
        <f aca="false">IF(OR(B18="",N(D18)&lt;2),"",_xlfn.MINIFS('Issue Log'!$A$5:$A$1004,'Issue Log'!$B$5:$B$1004,B18,'Issue Log'!$F$5:$F$1004,"&gt;="&amp;2))</f>
        <v/>
      </c>
      <c r="G18" s="20" t="str">
        <f aca="false">IF(OR(B18="",N(D18)&lt;3),"",_xlfn.MINIFS('Issue Log'!$A$5:$A$1004,'Issue Log'!$B$5:$B$1004,B18,'Issue Log'!$F$5:$F$1004,"&gt;="&amp;3))</f>
        <v/>
      </c>
      <c r="H18" s="20" t="str">
        <f aca="false">IF(N(D18)=0,"",_xlfn.MAXIFS('Issue Log'!$A$5:$A$1004,'Issue Log'!$B$5:$B$1004,B18))</f>
        <v/>
      </c>
      <c r="I18" s="10" t="str">
        <f aca="false">IF(B18="","",IF(D18&gt;=3,"FLAG",IF(D18=0,"Not issued","OK")))</f>
        <v/>
      </c>
      <c r="J18" s="29" t="str">
        <f aca="false">IF(I18="FLAG",COUNTIF($I$5:I18,"FLAG"),"")</f>
        <v/>
      </c>
    </row>
    <row r="19" customFormat="false" ht="15" hidden="false" customHeight="false" outlineLevel="0" collapsed="false">
      <c r="A19" s="27" t="n">
        <v>15</v>
      </c>
      <c r="B19" s="28"/>
      <c r="C19" s="22"/>
      <c r="D19" s="10" t="str">
        <f aca="false">IF(B19="","",SUMIFS('Issue Log'!$D$5:$D$1004,'Issue Log'!$B$5:$B$1004,B19))</f>
        <v/>
      </c>
      <c r="E19" s="20" t="str">
        <f aca="false">IF(OR(B19="",N(D19)&lt;1),"",_xlfn.MINIFS('Issue Log'!$A$5:$A$1004,'Issue Log'!$B$5:$B$1004,B19,'Issue Log'!$F$5:$F$1004,"&gt;="&amp;1))</f>
        <v/>
      </c>
      <c r="F19" s="20" t="str">
        <f aca="false">IF(OR(B19="",N(D19)&lt;2),"",_xlfn.MINIFS('Issue Log'!$A$5:$A$1004,'Issue Log'!$B$5:$B$1004,B19,'Issue Log'!$F$5:$F$1004,"&gt;="&amp;2))</f>
        <v/>
      </c>
      <c r="G19" s="20" t="str">
        <f aca="false">IF(OR(B19="",N(D19)&lt;3),"",_xlfn.MINIFS('Issue Log'!$A$5:$A$1004,'Issue Log'!$B$5:$B$1004,B19,'Issue Log'!$F$5:$F$1004,"&gt;="&amp;3))</f>
        <v/>
      </c>
      <c r="H19" s="20" t="str">
        <f aca="false">IF(N(D19)=0,"",_xlfn.MAXIFS('Issue Log'!$A$5:$A$1004,'Issue Log'!$B$5:$B$1004,B19))</f>
        <v/>
      </c>
      <c r="I19" s="10" t="str">
        <f aca="false">IF(B19="","",IF(D19&gt;=3,"FLAG",IF(D19=0,"Not issued","OK")))</f>
        <v/>
      </c>
      <c r="J19" s="29" t="str">
        <f aca="false">IF(I19="FLAG",COUNTIF($I$5:I19,"FLAG"),"")</f>
        <v/>
      </c>
    </row>
    <row r="20" customFormat="false" ht="15" hidden="false" customHeight="false" outlineLevel="0" collapsed="false">
      <c r="A20" s="27" t="n">
        <v>16</v>
      </c>
      <c r="B20" s="28"/>
      <c r="C20" s="22"/>
      <c r="D20" s="10" t="str">
        <f aca="false">IF(B20="","",SUMIFS('Issue Log'!$D$5:$D$1004,'Issue Log'!$B$5:$B$1004,B20))</f>
        <v/>
      </c>
      <c r="E20" s="20" t="str">
        <f aca="false">IF(OR(B20="",N(D20)&lt;1),"",_xlfn.MINIFS('Issue Log'!$A$5:$A$1004,'Issue Log'!$B$5:$B$1004,B20,'Issue Log'!$F$5:$F$1004,"&gt;="&amp;1))</f>
        <v/>
      </c>
      <c r="F20" s="20" t="str">
        <f aca="false">IF(OR(B20="",N(D20)&lt;2),"",_xlfn.MINIFS('Issue Log'!$A$5:$A$1004,'Issue Log'!$B$5:$B$1004,B20,'Issue Log'!$F$5:$F$1004,"&gt;="&amp;2))</f>
        <v/>
      </c>
      <c r="G20" s="20" t="str">
        <f aca="false">IF(OR(B20="",N(D20)&lt;3),"",_xlfn.MINIFS('Issue Log'!$A$5:$A$1004,'Issue Log'!$B$5:$B$1004,B20,'Issue Log'!$F$5:$F$1004,"&gt;="&amp;3))</f>
        <v/>
      </c>
      <c r="H20" s="20" t="str">
        <f aca="false">IF(N(D20)=0,"",_xlfn.MAXIFS('Issue Log'!$A$5:$A$1004,'Issue Log'!$B$5:$B$1004,B20))</f>
        <v/>
      </c>
      <c r="I20" s="10" t="str">
        <f aca="false">IF(B20="","",IF(D20&gt;=3,"FLAG",IF(D20=0,"Not issued","OK")))</f>
        <v/>
      </c>
      <c r="J20" s="29" t="str">
        <f aca="false">IF(I20="FLAG",COUNTIF($I$5:I20,"FLAG"),"")</f>
        <v/>
      </c>
    </row>
    <row r="21" customFormat="false" ht="15" hidden="false" customHeight="false" outlineLevel="0" collapsed="false">
      <c r="A21" s="27" t="n">
        <v>17</v>
      </c>
      <c r="B21" s="28"/>
      <c r="C21" s="22"/>
      <c r="D21" s="10" t="str">
        <f aca="false">IF(B21="","",SUMIFS('Issue Log'!$D$5:$D$1004,'Issue Log'!$B$5:$B$1004,B21))</f>
        <v/>
      </c>
      <c r="E21" s="20" t="str">
        <f aca="false">IF(OR(B21="",N(D21)&lt;1),"",_xlfn.MINIFS('Issue Log'!$A$5:$A$1004,'Issue Log'!$B$5:$B$1004,B21,'Issue Log'!$F$5:$F$1004,"&gt;="&amp;1))</f>
        <v/>
      </c>
      <c r="F21" s="20" t="str">
        <f aca="false">IF(OR(B21="",N(D21)&lt;2),"",_xlfn.MINIFS('Issue Log'!$A$5:$A$1004,'Issue Log'!$B$5:$B$1004,B21,'Issue Log'!$F$5:$F$1004,"&gt;="&amp;2))</f>
        <v/>
      </c>
      <c r="G21" s="20" t="str">
        <f aca="false">IF(OR(B21="",N(D21)&lt;3),"",_xlfn.MINIFS('Issue Log'!$A$5:$A$1004,'Issue Log'!$B$5:$B$1004,B21,'Issue Log'!$F$5:$F$1004,"&gt;="&amp;3))</f>
        <v/>
      </c>
      <c r="H21" s="20" t="str">
        <f aca="false">IF(N(D21)=0,"",_xlfn.MAXIFS('Issue Log'!$A$5:$A$1004,'Issue Log'!$B$5:$B$1004,B21))</f>
        <v/>
      </c>
      <c r="I21" s="10" t="str">
        <f aca="false">IF(B21="","",IF(D21&gt;=3,"FLAG",IF(D21=0,"Not issued","OK")))</f>
        <v/>
      </c>
      <c r="J21" s="29" t="str">
        <f aca="false">IF(I21="FLAG",COUNTIF($I$5:I21,"FLAG"),"")</f>
        <v/>
      </c>
    </row>
    <row r="22" customFormat="false" ht="15" hidden="false" customHeight="false" outlineLevel="0" collapsed="false">
      <c r="A22" s="27" t="n">
        <v>18</v>
      </c>
      <c r="B22" s="28"/>
      <c r="C22" s="22"/>
      <c r="D22" s="10" t="str">
        <f aca="false">IF(B22="","",SUMIFS('Issue Log'!$D$5:$D$1004,'Issue Log'!$B$5:$B$1004,B22))</f>
        <v/>
      </c>
      <c r="E22" s="20" t="str">
        <f aca="false">IF(OR(B22="",N(D22)&lt;1),"",_xlfn.MINIFS('Issue Log'!$A$5:$A$1004,'Issue Log'!$B$5:$B$1004,B22,'Issue Log'!$F$5:$F$1004,"&gt;="&amp;1))</f>
        <v/>
      </c>
      <c r="F22" s="20" t="str">
        <f aca="false">IF(OR(B22="",N(D22)&lt;2),"",_xlfn.MINIFS('Issue Log'!$A$5:$A$1004,'Issue Log'!$B$5:$B$1004,B22,'Issue Log'!$F$5:$F$1004,"&gt;="&amp;2))</f>
        <v/>
      </c>
      <c r="G22" s="20" t="str">
        <f aca="false">IF(OR(B22="",N(D22)&lt;3),"",_xlfn.MINIFS('Issue Log'!$A$5:$A$1004,'Issue Log'!$B$5:$B$1004,B22,'Issue Log'!$F$5:$F$1004,"&gt;="&amp;3))</f>
        <v/>
      </c>
      <c r="H22" s="20" t="str">
        <f aca="false">IF(N(D22)=0,"",_xlfn.MAXIFS('Issue Log'!$A$5:$A$1004,'Issue Log'!$B$5:$B$1004,B22))</f>
        <v/>
      </c>
      <c r="I22" s="10" t="str">
        <f aca="false">IF(B22="","",IF(D22&gt;=3,"FLAG",IF(D22=0,"Not issued","OK")))</f>
        <v/>
      </c>
      <c r="J22" s="29" t="str">
        <f aca="false">IF(I22="FLAG",COUNTIF($I$5:I22,"FLAG"),"")</f>
        <v/>
      </c>
    </row>
    <row r="23" customFormat="false" ht="15" hidden="false" customHeight="false" outlineLevel="0" collapsed="false">
      <c r="A23" s="27" t="n">
        <v>19</v>
      </c>
      <c r="B23" s="28"/>
      <c r="C23" s="22"/>
      <c r="D23" s="10" t="str">
        <f aca="false">IF(B23="","",SUMIFS('Issue Log'!$D$5:$D$1004,'Issue Log'!$B$5:$B$1004,B23))</f>
        <v/>
      </c>
      <c r="E23" s="20" t="str">
        <f aca="false">IF(OR(B23="",N(D23)&lt;1),"",_xlfn.MINIFS('Issue Log'!$A$5:$A$1004,'Issue Log'!$B$5:$B$1004,B23,'Issue Log'!$F$5:$F$1004,"&gt;="&amp;1))</f>
        <v/>
      </c>
      <c r="F23" s="20" t="str">
        <f aca="false">IF(OR(B23="",N(D23)&lt;2),"",_xlfn.MINIFS('Issue Log'!$A$5:$A$1004,'Issue Log'!$B$5:$B$1004,B23,'Issue Log'!$F$5:$F$1004,"&gt;="&amp;2))</f>
        <v/>
      </c>
      <c r="G23" s="20" t="str">
        <f aca="false">IF(OR(B23="",N(D23)&lt;3),"",_xlfn.MINIFS('Issue Log'!$A$5:$A$1004,'Issue Log'!$B$5:$B$1004,B23,'Issue Log'!$F$5:$F$1004,"&gt;="&amp;3))</f>
        <v/>
      </c>
      <c r="H23" s="20" t="str">
        <f aca="false">IF(N(D23)=0,"",_xlfn.MAXIFS('Issue Log'!$A$5:$A$1004,'Issue Log'!$B$5:$B$1004,B23))</f>
        <v/>
      </c>
      <c r="I23" s="10" t="str">
        <f aca="false">IF(B23="","",IF(D23&gt;=3,"FLAG",IF(D23=0,"Not issued","OK")))</f>
        <v/>
      </c>
      <c r="J23" s="29" t="str">
        <f aca="false">IF(I23="FLAG",COUNTIF($I$5:I23,"FLAG"),"")</f>
        <v/>
      </c>
    </row>
    <row r="24" customFormat="false" ht="15" hidden="false" customHeight="false" outlineLevel="0" collapsed="false">
      <c r="A24" s="27" t="n">
        <v>20</v>
      </c>
      <c r="B24" s="28"/>
      <c r="C24" s="22"/>
      <c r="D24" s="10" t="str">
        <f aca="false">IF(B24="","",SUMIFS('Issue Log'!$D$5:$D$1004,'Issue Log'!$B$5:$B$1004,B24))</f>
        <v/>
      </c>
      <c r="E24" s="20" t="str">
        <f aca="false">IF(OR(B24="",N(D24)&lt;1),"",_xlfn.MINIFS('Issue Log'!$A$5:$A$1004,'Issue Log'!$B$5:$B$1004,B24,'Issue Log'!$F$5:$F$1004,"&gt;="&amp;1))</f>
        <v/>
      </c>
      <c r="F24" s="20" t="str">
        <f aca="false">IF(OR(B24="",N(D24)&lt;2),"",_xlfn.MINIFS('Issue Log'!$A$5:$A$1004,'Issue Log'!$B$5:$B$1004,B24,'Issue Log'!$F$5:$F$1004,"&gt;="&amp;2))</f>
        <v/>
      </c>
      <c r="G24" s="20" t="str">
        <f aca="false">IF(OR(B24="",N(D24)&lt;3),"",_xlfn.MINIFS('Issue Log'!$A$5:$A$1004,'Issue Log'!$B$5:$B$1004,B24,'Issue Log'!$F$5:$F$1004,"&gt;="&amp;3))</f>
        <v/>
      </c>
      <c r="H24" s="20" t="str">
        <f aca="false">IF(N(D24)=0,"",_xlfn.MAXIFS('Issue Log'!$A$5:$A$1004,'Issue Log'!$B$5:$B$1004,B24))</f>
        <v/>
      </c>
      <c r="I24" s="10" t="str">
        <f aca="false">IF(B24="","",IF(D24&gt;=3,"FLAG",IF(D24=0,"Not issued","OK")))</f>
        <v/>
      </c>
      <c r="J24" s="29" t="str">
        <f aca="false">IF(I24="FLAG",COUNTIF($I$5:I24,"FLAG"),"")</f>
        <v/>
      </c>
    </row>
    <row r="25" customFormat="false" ht="15" hidden="false" customHeight="false" outlineLevel="0" collapsed="false">
      <c r="A25" s="27" t="n">
        <v>21</v>
      </c>
      <c r="B25" s="28"/>
      <c r="C25" s="22"/>
      <c r="D25" s="10" t="str">
        <f aca="false">IF(B25="","",SUMIFS('Issue Log'!$D$5:$D$1004,'Issue Log'!$B$5:$B$1004,B25))</f>
        <v/>
      </c>
      <c r="E25" s="20" t="str">
        <f aca="false">IF(OR(B25="",N(D25)&lt;1),"",_xlfn.MINIFS('Issue Log'!$A$5:$A$1004,'Issue Log'!$B$5:$B$1004,B25,'Issue Log'!$F$5:$F$1004,"&gt;="&amp;1))</f>
        <v/>
      </c>
      <c r="F25" s="20" t="str">
        <f aca="false">IF(OR(B25="",N(D25)&lt;2),"",_xlfn.MINIFS('Issue Log'!$A$5:$A$1004,'Issue Log'!$B$5:$B$1004,B25,'Issue Log'!$F$5:$F$1004,"&gt;="&amp;2))</f>
        <v/>
      </c>
      <c r="G25" s="20" t="str">
        <f aca="false">IF(OR(B25="",N(D25)&lt;3),"",_xlfn.MINIFS('Issue Log'!$A$5:$A$1004,'Issue Log'!$B$5:$B$1004,B25,'Issue Log'!$F$5:$F$1004,"&gt;="&amp;3))</f>
        <v/>
      </c>
      <c r="H25" s="20" t="str">
        <f aca="false">IF(N(D25)=0,"",_xlfn.MAXIFS('Issue Log'!$A$5:$A$1004,'Issue Log'!$B$5:$B$1004,B25))</f>
        <v/>
      </c>
      <c r="I25" s="10" t="str">
        <f aca="false">IF(B25="","",IF(D25&gt;=3,"FLAG",IF(D25=0,"Not issued","OK")))</f>
        <v/>
      </c>
      <c r="J25" s="29" t="str">
        <f aca="false">IF(I25="FLAG",COUNTIF($I$5:I25,"FLAG"),"")</f>
        <v/>
      </c>
    </row>
    <row r="26" customFormat="false" ht="15" hidden="false" customHeight="false" outlineLevel="0" collapsed="false">
      <c r="A26" s="27" t="n">
        <v>22</v>
      </c>
      <c r="B26" s="28"/>
      <c r="C26" s="22"/>
      <c r="D26" s="10" t="str">
        <f aca="false">IF(B26="","",SUMIFS('Issue Log'!$D$5:$D$1004,'Issue Log'!$B$5:$B$1004,B26))</f>
        <v/>
      </c>
      <c r="E26" s="20" t="str">
        <f aca="false">IF(OR(B26="",N(D26)&lt;1),"",_xlfn.MINIFS('Issue Log'!$A$5:$A$1004,'Issue Log'!$B$5:$B$1004,B26,'Issue Log'!$F$5:$F$1004,"&gt;="&amp;1))</f>
        <v/>
      </c>
      <c r="F26" s="20" t="str">
        <f aca="false">IF(OR(B26="",N(D26)&lt;2),"",_xlfn.MINIFS('Issue Log'!$A$5:$A$1004,'Issue Log'!$B$5:$B$1004,B26,'Issue Log'!$F$5:$F$1004,"&gt;="&amp;2))</f>
        <v/>
      </c>
      <c r="G26" s="20" t="str">
        <f aca="false">IF(OR(B26="",N(D26)&lt;3),"",_xlfn.MINIFS('Issue Log'!$A$5:$A$1004,'Issue Log'!$B$5:$B$1004,B26,'Issue Log'!$F$5:$F$1004,"&gt;="&amp;3))</f>
        <v/>
      </c>
      <c r="H26" s="20" t="str">
        <f aca="false">IF(N(D26)=0,"",_xlfn.MAXIFS('Issue Log'!$A$5:$A$1004,'Issue Log'!$B$5:$B$1004,B26))</f>
        <v/>
      </c>
      <c r="I26" s="10" t="str">
        <f aca="false">IF(B26="","",IF(D26&gt;=3,"FLAG",IF(D26=0,"Not issued","OK")))</f>
        <v/>
      </c>
      <c r="J26" s="29" t="str">
        <f aca="false">IF(I26="FLAG",COUNTIF($I$5:I26,"FLAG"),"")</f>
        <v/>
      </c>
    </row>
    <row r="27" customFormat="false" ht="15" hidden="false" customHeight="false" outlineLevel="0" collapsed="false">
      <c r="A27" s="27" t="n">
        <v>23</v>
      </c>
      <c r="B27" s="28"/>
      <c r="C27" s="22"/>
      <c r="D27" s="10" t="str">
        <f aca="false">IF(B27="","",SUMIFS('Issue Log'!$D$5:$D$1004,'Issue Log'!$B$5:$B$1004,B27))</f>
        <v/>
      </c>
      <c r="E27" s="20" t="str">
        <f aca="false">IF(OR(B27="",N(D27)&lt;1),"",_xlfn.MINIFS('Issue Log'!$A$5:$A$1004,'Issue Log'!$B$5:$B$1004,B27,'Issue Log'!$F$5:$F$1004,"&gt;="&amp;1))</f>
        <v/>
      </c>
      <c r="F27" s="20" t="str">
        <f aca="false">IF(OR(B27="",N(D27)&lt;2),"",_xlfn.MINIFS('Issue Log'!$A$5:$A$1004,'Issue Log'!$B$5:$B$1004,B27,'Issue Log'!$F$5:$F$1004,"&gt;="&amp;2))</f>
        <v/>
      </c>
      <c r="G27" s="20" t="str">
        <f aca="false">IF(OR(B27="",N(D27)&lt;3),"",_xlfn.MINIFS('Issue Log'!$A$5:$A$1004,'Issue Log'!$B$5:$B$1004,B27,'Issue Log'!$F$5:$F$1004,"&gt;="&amp;3))</f>
        <v/>
      </c>
      <c r="H27" s="20" t="str">
        <f aca="false">IF(N(D27)=0,"",_xlfn.MAXIFS('Issue Log'!$A$5:$A$1004,'Issue Log'!$B$5:$B$1004,B27))</f>
        <v/>
      </c>
      <c r="I27" s="10" t="str">
        <f aca="false">IF(B27="","",IF(D27&gt;=3,"FLAG",IF(D27=0,"Not issued","OK")))</f>
        <v/>
      </c>
      <c r="J27" s="29" t="str">
        <f aca="false">IF(I27="FLAG",COUNTIF($I$5:I27,"FLAG"),"")</f>
        <v/>
      </c>
    </row>
    <row r="28" customFormat="false" ht="15" hidden="false" customHeight="false" outlineLevel="0" collapsed="false">
      <c r="A28" s="27" t="n">
        <v>24</v>
      </c>
      <c r="B28" s="28"/>
      <c r="C28" s="22"/>
      <c r="D28" s="10" t="str">
        <f aca="false">IF(B28="","",SUMIFS('Issue Log'!$D$5:$D$1004,'Issue Log'!$B$5:$B$1004,B28))</f>
        <v/>
      </c>
      <c r="E28" s="20" t="str">
        <f aca="false">IF(OR(B28="",N(D28)&lt;1),"",_xlfn.MINIFS('Issue Log'!$A$5:$A$1004,'Issue Log'!$B$5:$B$1004,B28,'Issue Log'!$F$5:$F$1004,"&gt;="&amp;1))</f>
        <v/>
      </c>
      <c r="F28" s="20" t="str">
        <f aca="false">IF(OR(B28="",N(D28)&lt;2),"",_xlfn.MINIFS('Issue Log'!$A$5:$A$1004,'Issue Log'!$B$5:$B$1004,B28,'Issue Log'!$F$5:$F$1004,"&gt;="&amp;2))</f>
        <v/>
      </c>
      <c r="G28" s="20" t="str">
        <f aca="false">IF(OR(B28="",N(D28)&lt;3),"",_xlfn.MINIFS('Issue Log'!$A$5:$A$1004,'Issue Log'!$B$5:$B$1004,B28,'Issue Log'!$F$5:$F$1004,"&gt;="&amp;3))</f>
        <v/>
      </c>
      <c r="H28" s="20" t="str">
        <f aca="false">IF(N(D28)=0,"",_xlfn.MAXIFS('Issue Log'!$A$5:$A$1004,'Issue Log'!$B$5:$B$1004,B28))</f>
        <v/>
      </c>
      <c r="I28" s="10" t="str">
        <f aca="false">IF(B28="","",IF(D28&gt;=3,"FLAG",IF(D28=0,"Not issued","OK")))</f>
        <v/>
      </c>
      <c r="J28" s="29" t="str">
        <f aca="false">IF(I28="FLAG",COUNTIF($I$5:I28,"FLAG"),"")</f>
        <v/>
      </c>
    </row>
    <row r="29" customFormat="false" ht="15" hidden="false" customHeight="false" outlineLevel="0" collapsed="false">
      <c r="A29" s="27" t="n">
        <v>25</v>
      </c>
      <c r="B29" s="28"/>
      <c r="C29" s="22"/>
      <c r="D29" s="10" t="str">
        <f aca="false">IF(B29="","",SUMIFS('Issue Log'!$D$5:$D$1004,'Issue Log'!$B$5:$B$1004,B29))</f>
        <v/>
      </c>
      <c r="E29" s="20" t="str">
        <f aca="false">IF(OR(B29="",N(D29)&lt;1),"",_xlfn.MINIFS('Issue Log'!$A$5:$A$1004,'Issue Log'!$B$5:$B$1004,B29,'Issue Log'!$F$5:$F$1004,"&gt;="&amp;1))</f>
        <v/>
      </c>
      <c r="F29" s="20" t="str">
        <f aca="false">IF(OR(B29="",N(D29)&lt;2),"",_xlfn.MINIFS('Issue Log'!$A$5:$A$1004,'Issue Log'!$B$5:$B$1004,B29,'Issue Log'!$F$5:$F$1004,"&gt;="&amp;2))</f>
        <v/>
      </c>
      <c r="G29" s="20" t="str">
        <f aca="false">IF(OR(B29="",N(D29)&lt;3),"",_xlfn.MINIFS('Issue Log'!$A$5:$A$1004,'Issue Log'!$B$5:$B$1004,B29,'Issue Log'!$F$5:$F$1004,"&gt;="&amp;3))</f>
        <v/>
      </c>
      <c r="H29" s="20" t="str">
        <f aca="false">IF(N(D29)=0,"",_xlfn.MAXIFS('Issue Log'!$A$5:$A$1004,'Issue Log'!$B$5:$B$1004,B29))</f>
        <v/>
      </c>
      <c r="I29" s="10" t="str">
        <f aca="false">IF(B29="","",IF(D29&gt;=3,"FLAG",IF(D29=0,"Not issued","OK")))</f>
        <v/>
      </c>
      <c r="J29" s="29" t="str">
        <f aca="false">IF(I29="FLAG",COUNTIF($I$5:I29,"FLAG"),"")</f>
        <v/>
      </c>
    </row>
    <row r="30" customFormat="false" ht="15" hidden="false" customHeight="false" outlineLevel="0" collapsed="false">
      <c r="A30" s="27" t="n">
        <v>26</v>
      </c>
      <c r="B30" s="28"/>
      <c r="C30" s="22"/>
      <c r="D30" s="10" t="str">
        <f aca="false">IF(B30="","",SUMIFS('Issue Log'!$D$5:$D$1004,'Issue Log'!$B$5:$B$1004,B30))</f>
        <v/>
      </c>
      <c r="E30" s="20" t="str">
        <f aca="false">IF(OR(B30="",N(D30)&lt;1),"",_xlfn.MINIFS('Issue Log'!$A$5:$A$1004,'Issue Log'!$B$5:$B$1004,B30,'Issue Log'!$F$5:$F$1004,"&gt;="&amp;1))</f>
        <v/>
      </c>
      <c r="F30" s="20" t="str">
        <f aca="false">IF(OR(B30="",N(D30)&lt;2),"",_xlfn.MINIFS('Issue Log'!$A$5:$A$1004,'Issue Log'!$B$5:$B$1004,B30,'Issue Log'!$F$5:$F$1004,"&gt;="&amp;2))</f>
        <v/>
      </c>
      <c r="G30" s="20" t="str">
        <f aca="false">IF(OR(B30="",N(D30)&lt;3),"",_xlfn.MINIFS('Issue Log'!$A$5:$A$1004,'Issue Log'!$B$5:$B$1004,B30,'Issue Log'!$F$5:$F$1004,"&gt;="&amp;3))</f>
        <v/>
      </c>
      <c r="H30" s="20" t="str">
        <f aca="false">IF(N(D30)=0,"",_xlfn.MAXIFS('Issue Log'!$A$5:$A$1004,'Issue Log'!$B$5:$B$1004,B30))</f>
        <v/>
      </c>
      <c r="I30" s="10" t="str">
        <f aca="false">IF(B30="","",IF(D30&gt;=3,"FLAG",IF(D30=0,"Not issued","OK")))</f>
        <v/>
      </c>
      <c r="J30" s="29" t="str">
        <f aca="false">IF(I30="FLAG",COUNTIF($I$5:I30,"FLAG"),"")</f>
        <v/>
      </c>
    </row>
    <row r="31" customFormat="false" ht="15" hidden="false" customHeight="false" outlineLevel="0" collapsed="false">
      <c r="A31" s="27" t="n">
        <v>27</v>
      </c>
      <c r="B31" s="28"/>
      <c r="C31" s="22"/>
      <c r="D31" s="10" t="str">
        <f aca="false">IF(B31="","",SUMIFS('Issue Log'!$D$5:$D$1004,'Issue Log'!$B$5:$B$1004,B31))</f>
        <v/>
      </c>
      <c r="E31" s="20" t="str">
        <f aca="false">IF(OR(B31="",N(D31)&lt;1),"",_xlfn.MINIFS('Issue Log'!$A$5:$A$1004,'Issue Log'!$B$5:$B$1004,B31,'Issue Log'!$F$5:$F$1004,"&gt;="&amp;1))</f>
        <v/>
      </c>
      <c r="F31" s="20" t="str">
        <f aca="false">IF(OR(B31="",N(D31)&lt;2),"",_xlfn.MINIFS('Issue Log'!$A$5:$A$1004,'Issue Log'!$B$5:$B$1004,B31,'Issue Log'!$F$5:$F$1004,"&gt;="&amp;2))</f>
        <v/>
      </c>
      <c r="G31" s="20" t="str">
        <f aca="false">IF(OR(B31="",N(D31)&lt;3),"",_xlfn.MINIFS('Issue Log'!$A$5:$A$1004,'Issue Log'!$B$5:$B$1004,B31,'Issue Log'!$F$5:$F$1004,"&gt;="&amp;3))</f>
        <v/>
      </c>
      <c r="H31" s="20" t="str">
        <f aca="false">IF(N(D31)=0,"",_xlfn.MAXIFS('Issue Log'!$A$5:$A$1004,'Issue Log'!$B$5:$B$1004,B31))</f>
        <v/>
      </c>
      <c r="I31" s="10" t="str">
        <f aca="false">IF(B31="","",IF(D31&gt;=3,"FLAG",IF(D31=0,"Not issued","OK")))</f>
        <v/>
      </c>
      <c r="J31" s="29" t="str">
        <f aca="false">IF(I31="FLAG",COUNTIF($I$5:I31,"FLAG"),"")</f>
        <v/>
      </c>
    </row>
    <row r="32" customFormat="false" ht="15" hidden="false" customHeight="false" outlineLevel="0" collapsed="false">
      <c r="A32" s="27" t="n">
        <v>28</v>
      </c>
      <c r="B32" s="28"/>
      <c r="C32" s="22"/>
      <c r="D32" s="10" t="str">
        <f aca="false">IF(B32="","",SUMIFS('Issue Log'!$D$5:$D$1004,'Issue Log'!$B$5:$B$1004,B32))</f>
        <v/>
      </c>
      <c r="E32" s="20" t="str">
        <f aca="false">IF(OR(B32="",N(D32)&lt;1),"",_xlfn.MINIFS('Issue Log'!$A$5:$A$1004,'Issue Log'!$B$5:$B$1004,B32,'Issue Log'!$F$5:$F$1004,"&gt;="&amp;1))</f>
        <v/>
      </c>
      <c r="F32" s="20" t="str">
        <f aca="false">IF(OR(B32="",N(D32)&lt;2),"",_xlfn.MINIFS('Issue Log'!$A$5:$A$1004,'Issue Log'!$B$5:$B$1004,B32,'Issue Log'!$F$5:$F$1004,"&gt;="&amp;2))</f>
        <v/>
      </c>
      <c r="G32" s="20" t="str">
        <f aca="false">IF(OR(B32="",N(D32)&lt;3),"",_xlfn.MINIFS('Issue Log'!$A$5:$A$1004,'Issue Log'!$B$5:$B$1004,B32,'Issue Log'!$F$5:$F$1004,"&gt;="&amp;3))</f>
        <v/>
      </c>
      <c r="H32" s="20" t="str">
        <f aca="false">IF(N(D32)=0,"",_xlfn.MAXIFS('Issue Log'!$A$5:$A$1004,'Issue Log'!$B$5:$B$1004,B32))</f>
        <v/>
      </c>
      <c r="I32" s="10" t="str">
        <f aca="false">IF(B32="","",IF(D32&gt;=3,"FLAG",IF(D32=0,"Not issued","OK")))</f>
        <v/>
      </c>
      <c r="J32" s="29" t="str">
        <f aca="false">IF(I32="FLAG",COUNTIF($I$5:I32,"FLAG"),"")</f>
        <v/>
      </c>
    </row>
    <row r="33" customFormat="false" ht="15" hidden="false" customHeight="false" outlineLevel="0" collapsed="false">
      <c r="A33" s="27" t="n">
        <v>29</v>
      </c>
      <c r="B33" s="28"/>
      <c r="C33" s="22"/>
      <c r="D33" s="10" t="str">
        <f aca="false">IF(B33="","",SUMIFS('Issue Log'!$D$5:$D$1004,'Issue Log'!$B$5:$B$1004,B33))</f>
        <v/>
      </c>
      <c r="E33" s="20" t="str">
        <f aca="false">IF(OR(B33="",N(D33)&lt;1),"",_xlfn.MINIFS('Issue Log'!$A$5:$A$1004,'Issue Log'!$B$5:$B$1004,B33,'Issue Log'!$F$5:$F$1004,"&gt;="&amp;1))</f>
        <v/>
      </c>
      <c r="F33" s="20" t="str">
        <f aca="false">IF(OR(B33="",N(D33)&lt;2),"",_xlfn.MINIFS('Issue Log'!$A$5:$A$1004,'Issue Log'!$B$5:$B$1004,B33,'Issue Log'!$F$5:$F$1004,"&gt;="&amp;2))</f>
        <v/>
      </c>
      <c r="G33" s="20" t="str">
        <f aca="false">IF(OR(B33="",N(D33)&lt;3),"",_xlfn.MINIFS('Issue Log'!$A$5:$A$1004,'Issue Log'!$B$5:$B$1004,B33,'Issue Log'!$F$5:$F$1004,"&gt;="&amp;3))</f>
        <v/>
      </c>
      <c r="H33" s="20" t="str">
        <f aca="false">IF(N(D33)=0,"",_xlfn.MAXIFS('Issue Log'!$A$5:$A$1004,'Issue Log'!$B$5:$B$1004,B33))</f>
        <v/>
      </c>
      <c r="I33" s="10" t="str">
        <f aca="false">IF(B33="","",IF(D33&gt;=3,"FLAG",IF(D33=0,"Not issued","OK")))</f>
        <v/>
      </c>
      <c r="J33" s="29" t="str">
        <f aca="false">IF(I33="FLAG",COUNTIF($I$5:I33,"FLAG"),"")</f>
        <v/>
      </c>
    </row>
    <row r="34" customFormat="false" ht="15" hidden="false" customHeight="false" outlineLevel="0" collapsed="false">
      <c r="A34" s="27" t="n">
        <v>30</v>
      </c>
      <c r="B34" s="28"/>
      <c r="C34" s="22"/>
      <c r="D34" s="10" t="str">
        <f aca="false">IF(B34="","",SUMIFS('Issue Log'!$D$5:$D$1004,'Issue Log'!$B$5:$B$1004,B34))</f>
        <v/>
      </c>
      <c r="E34" s="20" t="str">
        <f aca="false">IF(OR(B34="",N(D34)&lt;1),"",_xlfn.MINIFS('Issue Log'!$A$5:$A$1004,'Issue Log'!$B$5:$B$1004,B34,'Issue Log'!$F$5:$F$1004,"&gt;="&amp;1))</f>
        <v/>
      </c>
      <c r="F34" s="20" t="str">
        <f aca="false">IF(OR(B34="",N(D34)&lt;2),"",_xlfn.MINIFS('Issue Log'!$A$5:$A$1004,'Issue Log'!$B$5:$B$1004,B34,'Issue Log'!$F$5:$F$1004,"&gt;="&amp;2))</f>
        <v/>
      </c>
      <c r="G34" s="20" t="str">
        <f aca="false">IF(OR(B34="",N(D34)&lt;3),"",_xlfn.MINIFS('Issue Log'!$A$5:$A$1004,'Issue Log'!$B$5:$B$1004,B34,'Issue Log'!$F$5:$F$1004,"&gt;="&amp;3))</f>
        <v/>
      </c>
      <c r="H34" s="20" t="str">
        <f aca="false">IF(N(D34)=0,"",_xlfn.MAXIFS('Issue Log'!$A$5:$A$1004,'Issue Log'!$B$5:$B$1004,B34))</f>
        <v/>
      </c>
      <c r="I34" s="10" t="str">
        <f aca="false">IF(B34="","",IF(D34&gt;=3,"FLAG",IF(D34=0,"Not issued","OK")))</f>
        <v/>
      </c>
      <c r="J34" s="29" t="str">
        <f aca="false">IF(I34="FLAG",COUNTIF($I$5:I34,"FLAG"),"")</f>
        <v/>
      </c>
    </row>
    <row r="35" customFormat="false" ht="15" hidden="false" customHeight="false" outlineLevel="0" collapsed="false">
      <c r="A35" s="27" t="n">
        <v>31</v>
      </c>
      <c r="B35" s="28"/>
      <c r="C35" s="22"/>
      <c r="D35" s="10" t="str">
        <f aca="false">IF(B35="","",SUMIFS('Issue Log'!$D$5:$D$1004,'Issue Log'!$B$5:$B$1004,B35))</f>
        <v/>
      </c>
      <c r="E35" s="20" t="str">
        <f aca="false">IF(OR(B35="",N(D35)&lt;1),"",_xlfn.MINIFS('Issue Log'!$A$5:$A$1004,'Issue Log'!$B$5:$B$1004,B35,'Issue Log'!$F$5:$F$1004,"&gt;="&amp;1))</f>
        <v/>
      </c>
      <c r="F35" s="20" t="str">
        <f aca="false">IF(OR(B35="",N(D35)&lt;2),"",_xlfn.MINIFS('Issue Log'!$A$5:$A$1004,'Issue Log'!$B$5:$B$1004,B35,'Issue Log'!$F$5:$F$1004,"&gt;="&amp;2))</f>
        <v/>
      </c>
      <c r="G35" s="20" t="str">
        <f aca="false">IF(OR(B35="",N(D35)&lt;3),"",_xlfn.MINIFS('Issue Log'!$A$5:$A$1004,'Issue Log'!$B$5:$B$1004,B35,'Issue Log'!$F$5:$F$1004,"&gt;="&amp;3))</f>
        <v/>
      </c>
      <c r="H35" s="20" t="str">
        <f aca="false">IF(N(D35)=0,"",_xlfn.MAXIFS('Issue Log'!$A$5:$A$1004,'Issue Log'!$B$5:$B$1004,B35))</f>
        <v/>
      </c>
      <c r="I35" s="10" t="str">
        <f aca="false">IF(B35="","",IF(D35&gt;=3,"FLAG",IF(D35=0,"Not issued","OK")))</f>
        <v/>
      </c>
      <c r="J35" s="29" t="str">
        <f aca="false">IF(I35="FLAG",COUNTIF($I$5:I35,"FLAG"),"")</f>
        <v/>
      </c>
    </row>
    <row r="36" customFormat="false" ht="15" hidden="false" customHeight="false" outlineLevel="0" collapsed="false">
      <c r="A36" s="27" t="n">
        <v>32</v>
      </c>
      <c r="B36" s="28"/>
      <c r="C36" s="22"/>
      <c r="D36" s="10" t="str">
        <f aca="false">IF(B36="","",SUMIFS('Issue Log'!$D$5:$D$1004,'Issue Log'!$B$5:$B$1004,B36))</f>
        <v/>
      </c>
      <c r="E36" s="20" t="str">
        <f aca="false">IF(OR(B36="",N(D36)&lt;1),"",_xlfn.MINIFS('Issue Log'!$A$5:$A$1004,'Issue Log'!$B$5:$B$1004,B36,'Issue Log'!$F$5:$F$1004,"&gt;="&amp;1))</f>
        <v/>
      </c>
      <c r="F36" s="20" t="str">
        <f aca="false">IF(OR(B36="",N(D36)&lt;2),"",_xlfn.MINIFS('Issue Log'!$A$5:$A$1004,'Issue Log'!$B$5:$B$1004,B36,'Issue Log'!$F$5:$F$1004,"&gt;="&amp;2))</f>
        <v/>
      </c>
      <c r="G36" s="20" t="str">
        <f aca="false">IF(OR(B36="",N(D36)&lt;3),"",_xlfn.MINIFS('Issue Log'!$A$5:$A$1004,'Issue Log'!$B$5:$B$1004,B36,'Issue Log'!$F$5:$F$1004,"&gt;="&amp;3))</f>
        <v/>
      </c>
      <c r="H36" s="20" t="str">
        <f aca="false">IF(N(D36)=0,"",_xlfn.MAXIFS('Issue Log'!$A$5:$A$1004,'Issue Log'!$B$5:$B$1004,B36))</f>
        <v/>
      </c>
      <c r="I36" s="10" t="str">
        <f aca="false">IF(B36="","",IF(D36&gt;=3,"FLAG",IF(D36=0,"Not issued","OK")))</f>
        <v/>
      </c>
      <c r="J36" s="29" t="str">
        <f aca="false">IF(I36="FLAG",COUNTIF($I$5:I36,"FLAG"),"")</f>
        <v/>
      </c>
    </row>
    <row r="37" customFormat="false" ht="15" hidden="false" customHeight="false" outlineLevel="0" collapsed="false">
      <c r="A37" s="27" t="n">
        <v>33</v>
      </c>
      <c r="B37" s="28"/>
      <c r="C37" s="22"/>
      <c r="D37" s="10" t="str">
        <f aca="false">IF(B37="","",SUMIFS('Issue Log'!$D$5:$D$1004,'Issue Log'!$B$5:$B$1004,B37))</f>
        <v/>
      </c>
      <c r="E37" s="20" t="str">
        <f aca="false">IF(OR(B37="",N(D37)&lt;1),"",_xlfn.MINIFS('Issue Log'!$A$5:$A$1004,'Issue Log'!$B$5:$B$1004,B37,'Issue Log'!$F$5:$F$1004,"&gt;="&amp;1))</f>
        <v/>
      </c>
      <c r="F37" s="20" t="str">
        <f aca="false">IF(OR(B37="",N(D37)&lt;2),"",_xlfn.MINIFS('Issue Log'!$A$5:$A$1004,'Issue Log'!$B$5:$B$1004,B37,'Issue Log'!$F$5:$F$1004,"&gt;="&amp;2))</f>
        <v/>
      </c>
      <c r="G37" s="20" t="str">
        <f aca="false">IF(OR(B37="",N(D37)&lt;3),"",_xlfn.MINIFS('Issue Log'!$A$5:$A$1004,'Issue Log'!$B$5:$B$1004,B37,'Issue Log'!$F$5:$F$1004,"&gt;="&amp;3))</f>
        <v/>
      </c>
      <c r="H37" s="20" t="str">
        <f aca="false">IF(N(D37)=0,"",_xlfn.MAXIFS('Issue Log'!$A$5:$A$1004,'Issue Log'!$B$5:$B$1004,B37))</f>
        <v/>
      </c>
      <c r="I37" s="10" t="str">
        <f aca="false">IF(B37="","",IF(D37&gt;=3,"FLAG",IF(D37=0,"Not issued","OK")))</f>
        <v/>
      </c>
      <c r="J37" s="29" t="str">
        <f aca="false">IF(I37="FLAG",COUNTIF($I$5:I37,"FLAG"),"")</f>
        <v/>
      </c>
    </row>
    <row r="38" customFormat="false" ht="15" hidden="false" customHeight="false" outlineLevel="0" collapsed="false">
      <c r="A38" s="27" t="n">
        <v>34</v>
      </c>
      <c r="B38" s="28"/>
      <c r="C38" s="22"/>
      <c r="D38" s="10" t="str">
        <f aca="false">IF(B38="","",SUMIFS('Issue Log'!$D$5:$D$1004,'Issue Log'!$B$5:$B$1004,B38))</f>
        <v/>
      </c>
      <c r="E38" s="20" t="str">
        <f aca="false">IF(OR(B38="",N(D38)&lt;1),"",_xlfn.MINIFS('Issue Log'!$A$5:$A$1004,'Issue Log'!$B$5:$B$1004,B38,'Issue Log'!$F$5:$F$1004,"&gt;="&amp;1))</f>
        <v/>
      </c>
      <c r="F38" s="20" t="str">
        <f aca="false">IF(OR(B38="",N(D38)&lt;2),"",_xlfn.MINIFS('Issue Log'!$A$5:$A$1004,'Issue Log'!$B$5:$B$1004,B38,'Issue Log'!$F$5:$F$1004,"&gt;="&amp;2))</f>
        <v/>
      </c>
      <c r="G38" s="20" t="str">
        <f aca="false">IF(OR(B38="",N(D38)&lt;3),"",_xlfn.MINIFS('Issue Log'!$A$5:$A$1004,'Issue Log'!$B$5:$B$1004,B38,'Issue Log'!$F$5:$F$1004,"&gt;="&amp;3))</f>
        <v/>
      </c>
      <c r="H38" s="20" t="str">
        <f aca="false">IF(N(D38)=0,"",_xlfn.MAXIFS('Issue Log'!$A$5:$A$1004,'Issue Log'!$B$5:$B$1004,B38))</f>
        <v/>
      </c>
      <c r="I38" s="10" t="str">
        <f aca="false">IF(B38="","",IF(D38&gt;=3,"FLAG",IF(D38=0,"Not issued","OK")))</f>
        <v/>
      </c>
      <c r="J38" s="29" t="str">
        <f aca="false">IF(I38="FLAG",COUNTIF($I$5:I38,"FLAG"),"")</f>
        <v/>
      </c>
    </row>
    <row r="39" customFormat="false" ht="15" hidden="false" customHeight="false" outlineLevel="0" collapsed="false">
      <c r="A39" s="27" t="n">
        <v>35</v>
      </c>
      <c r="B39" s="28"/>
      <c r="C39" s="22"/>
      <c r="D39" s="10" t="str">
        <f aca="false">IF(B39="","",SUMIFS('Issue Log'!$D$5:$D$1004,'Issue Log'!$B$5:$B$1004,B39))</f>
        <v/>
      </c>
      <c r="E39" s="20" t="str">
        <f aca="false">IF(OR(B39="",N(D39)&lt;1),"",_xlfn.MINIFS('Issue Log'!$A$5:$A$1004,'Issue Log'!$B$5:$B$1004,B39,'Issue Log'!$F$5:$F$1004,"&gt;="&amp;1))</f>
        <v/>
      </c>
      <c r="F39" s="20" t="str">
        <f aca="false">IF(OR(B39="",N(D39)&lt;2),"",_xlfn.MINIFS('Issue Log'!$A$5:$A$1004,'Issue Log'!$B$5:$B$1004,B39,'Issue Log'!$F$5:$F$1004,"&gt;="&amp;2))</f>
        <v/>
      </c>
      <c r="G39" s="20" t="str">
        <f aca="false">IF(OR(B39="",N(D39)&lt;3),"",_xlfn.MINIFS('Issue Log'!$A$5:$A$1004,'Issue Log'!$B$5:$B$1004,B39,'Issue Log'!$F$5:$F$1004,"&gt;="&amp;3))</f>
        <v/>
      </c>
      <c r="H39" s="20" t="str">
        <f aca="false">IF(N(D39)=0,"",_xlfn.MAXIFS('Issue Log'!$A$5:$A$1004,'Issue Log'!$B$5:$B$1004,B39))</f>
        <v/>
      </c>
      <c r="I39" s="10" t="str">
        <f aca="false">IF(B39="","",IF(D39&gt;=3,"FLAG",IF(D39=0,"Not issued","OK")))</f>
        <v/>
      </c>
      <c r="J39" s="29" t="str">
        <f aca="false">IF(I39="FLAG",COUNTIF($I$5:I39,"FLAG"),"")</f>
        <v/>
      </c>
    </row>
    <row r="40" customFormat="false" ht="15" hidden="false" customHeight="false" outlineLevel="0" collapsed="false">
      <c r="A40" s="27" t="n">
        <v>36</v>
      </c>
      <c r="B40" s="28"/>
      <c r="C40" s="22"/>
      <c r="D40" s="10" t="str">
        <f aca="false">IF(B40="","",SUMIFS('Issue Log'!$D$5:$D$1004,'Issue Log'!$B$5:$B$1004,B40))</f>
        <v/>
      </c>
      <c r="E40" s="20" t="str">
        <f aca="false">IF(OR(B40="",N(D40)&lt;1),"",_xlfn.MINIFS('Issue Log'!$A$5:$A$1004,'Issue Log'!$B$5:$B$1004,B40,'Issue Log'!$F$5:$F$1004,"&gt;="&amp;1))</f>
        <v/>
      </c>
      <c r="F40" s="20" t="str">
        <f aca="false">IF(OR(B40="",N(D40)&lt;2),"",_xlfn.MINIFS('Issue Log'!$A$5:$A$1004,'Issue Log'!$B$5:$B$1004,B40,'Issue Log'!$F$5:$F$1004,"&gt;="&amp;2))</f>
        <v/>
      </c>
      <c r="G40" s="20" t="str">
        <f aca="false">IF(OR(B40="",N(D40)&lt;3),"",_xlfn.MINIFS('Issue Log'!$A$5:$A$1004,'Issue Log'!$B$5:$B$1004,B40,'Issue Log'!$F$5:$F$1004,"&gt;="&amp;3))</f>
        <v/>
      </c>
      <c r="H40" s="20" t="str">
        <f aca="false">IF(N(D40)=0,"",_xlfn.MAXIFS('Issue Log'!$A$5:$A$1004,'Issue Log'!$B$5:$B$1004,B40))</f>
        <v/>
      </c>
      <c r="I40" s="10" t="str">
        <f aca="false">IF(B40="","",IF(D40&gt;=3,"FLAG",IF(D40=0,"Not issued","OK")))</f>
        <v/>
      </c>
      <c r="J40" s="29" t="str">
        <f aca="false">IF(I40="FLAG",COUNTIF($I$5:I40,"FLAG"),"")</f>
        <v/>
      </c>
    </row>
    <row r="41" customFormat="false" ht="15" hidden="false" customHeight="false" outlineLevel="0" collapsed="false">
      <c r="A41" s="27" t="n">
        <v>37</v>
      </c>
      <c r="B41" s="28"/>
      <c r="C41" s="22"/>
      <c r="D41" s="10" t="str">
        <f aca="false">IF(B41="","",SUMIFS('Issue Log'!$D$5:$D$1004,'Issue Log'!$B$5:$B$1004,B41))</f>
        <v/>
      </c>
      <c r="E41" s="20" t="str">
        <f aca="false">IF(OR(B41="",N(D41)&lt;1),"",_xlfn.MINIFS('Issue Log'!$A$5:$A$1004,'Issue Log'!$B$5:$B$1004,B41,'Issue Log'!$F$5:$F$1004,"&gt;="&amp;1))</f>
        <v/>
      </c>
      <c r="F41" s="20" t="str">
        <f aca="false">IF(OR(B41="",N(D41)&lt;2),"",_xlfn.MINIFS('Issue Log'!$A$5:$A$1004,'Issue Log'!$B$5:$B$1004,B41,'Issue Log'!$F$5:$F$1004,"&gt;="&amp;2))</f>
        <v/>
      </c>
      <c r="G41" s="20" t="str">
        <f aca="false">IF(OR(B41="",N(D41)&lt;3),"",_xlfn.MINIFS('Issue Log'!$A$5:$A$1004,'Issue Log'!$B$5:$B$1004,B41,'Issue Log'!$F$5:$F$1004,"&gt;="&amp;3))</f>
        <v/>
      </c>
      <c r="H41" s="20" t="str">
        <f aca="false">IF(N(D41)=0,"",_xlfn.MAXIFS('Issue Log'!$A$5:$A$1004,'Issue Log'!$B$5:$B$1004,B41))</f>
        <v/>
      </c>
      <c r="I41" s="10" t="str">
        <f aca="false">IF(B41="","",IF(D41&gt;=3,"FLAG",IF(D41=0,"Not issued","OK")))</f>
        <v/>
      </c>
      <c r="J41" s="29" t="str">
        <f aca="false">IF(I41="FLAG",COUNTIF($I$5:I41,"FLAG"),"")</f>
        <v/>
      </c>
    </row>
    <row r="42" customFormat="false" ht="15" hidden="false" customHeight="false" outlineLevel="0" collapsed="false">
      <c r="A42" s="27" t="n">
        <v>38</v>
      </c>
      <c r="B42" s="28"/>
      <c r="C42" s="22"/>
      <c r="D42" s="10" t="str">
        <f aca="false">IF(B42="","",SUMIFS('Issue Log'!$D$5:$D$1004,'Issue Log'!$B$5:$B$1004,B42))</f>
        <v/>
      </c>
      <c r="E42" s="20" t="str">
        <f aca="false">IF(OR(B42="",N(D42)&lt;1),"",_xlfn.MINIFS('Issue Log'!$A$5:$A$1004,'Issue Log'!$B$5:$B$1004,B42,'Issue Log'!$F$5:$F$1004,"&gt;="&amp;1))</f>
        <v/>
      </c>
      <c r="F42" s="20" t="str">
        <f aca="false">IF(OR(B42="",N(D42)&lt;2),"",_xlfn.MINIFS('Issue Log'!$A$5:$A$1004,'Issue Log'!$B$5:$B$1004,B42,'Issue Log'!$F$5:$F$1004,"&gt;="&amp;2))</f>
        <v/>
      </c>
      <c r="G42" s="20" t="str">
        <f aca="false">IF(OR(B42="",N(D42)&lt;3),"",_xlfn.MINIFS('Issue Log'!$A$5:$A$1004,'Issue Log'!$B$5:$B$1004,B42,'Issue Log'!$F$5:$F$1004,"&gt;="&amp;3))</f>
        <v/>
      </c>
      <c r="H42" s="20" t="str">
        <f aca="false">IF(N(D42)=0,"",_xlfn.MAXIFS('Issue Log'!$A$5:$A$1004,'Issue Log'!$B$5:$B$1004,B42))</f>
        <v/>
      </c>
      <c r="I42" s="10" t="str">
        <f aca="false">IF(B42="","",IF(D42&gt;=3,"FLAG",IF(D42=0,"Not issued","OK")))</f>
        <v/>
      </c>
      <c r="J42" s="29" t="str">
        <f aca="false">IF(I42="FLAG",COUNTIF($I$5:I42,"FLAG"),"")</f>
        <v/>
      </c>
    </row>
    <row r="43" customFormat="false" ht="15" hidden="false" customHeight="false" outlineLevel="0" collapsed="false">
      <c r="A43" s="27" t="n">
        <v>39</v>
      </c>
      <c r="B43" s="28"/>
      <c r="C43" s="22"/>
      <c r="D43" s="10" t="str">
        <f aca="false">IF(B43="","",SUMIFS('Issue Log'!$D$5:$D$1004,'Issue Log'!$B$5:$B$1004,B43))</f>
        <v/>
      </c>
      <c r="E43" s="20" t="str">
        <f aca="false">IF(OR(B43="",N(D43)&lt;1),"",_xlfn.MINIFS('Issue Log'!$A$5:$A$1004,'Issue Log'!$B$5:$B$1004,B43,'Issue Log'!$F$5:$F$1004,"&gt;="&amp;1))</f>
        <v/>
      </c>
      <c r="F43" s="20" t="str">
        <f aca="false">IF(OR(B43="",N(D43)&lt;2),"",_xlfn.MINIFS('Issue Log'!$A$5:$A$1004,'Issue Log'!$B$5:$B$1004,B43,'Issue Log'!$F$5:$F$1004,"&gt;="&amp;2))</f>
        <v/>
      </c>
      <c r="G43" s="20" t="str">
        <f aca="false">IF(OR(B43="",N(D43)&lt;3),"",_xlfn.MINIFS('Issue Log'!$A$5:$A$1004,'Issue Log'!$B$5:$B$1004,B43,'Issue Log'!$F$5:$F$1004,"&gt;="&amp;3))</f>
        <v/>
      </c>
      <c r="H43" s="20" t="str">
        <f aca="false">IF(N(D43)=0,"",_xlfn.MAXIFS('Issue Log'!$A$5:$A$1004,'Issue Log'!$B$5:$B$1004,B43))</f>
        <v/>
      </c>
      <c r="I43" s="10" t="str">
        <f aca="false">IF(B43="","",IF(D43&gt;=3,"FLAG",IF(D43=0,"Not issued","OK")))</f>
        <v/>
      </c>
      <c r="J43" s="29" t="str">
        <f aca="false">IF(I43="FLAG",COUNTIF($I$5:I43,"FLAG"),"")</f>
        <v/>
      </c>
    </row>
    <row r="44" customFormat="false" ht="15" hidden="false" customHeight="false" outlineLevel="0" collapsed="false">
      <c r="A44" s="27" t="n">
        <v>40</v>
      </c>
      <c r="B44" s="28"/>
      <c r="C44" s="22"/>
      <c r="D44" s="10" t="str">
        <f aca="false">IF(B44="","",SUMIFS('Issue Log'!$D$5:$D$1004,'Issue Log'!$B$5:$B$1004,B44))</f>
        <v/>
      </c>
      <c r="E44" s="20" t="str">
        <f aca="false">IF(OR(B44="",N(D44)&lt;1),"",_xlfn.MINIFS('Issue Log'!$A$5:$A$1004,'Issue Log'!$B$5:$B$1004,B44,'Issue Log'!$F$5:$F$1004,"&gt;="&amp;1))</f>
        <v/>
      </c>
      <c r="F44" s="20" t="str">
        <f aca="false">IF(OR(B44="",N(D44)&lt;2),"",_xlfn.MINIFS('Issue Log'!$A$5:$A$1004,'Issue Log'!$B$5:$B$1004,B44,'Issue Log'!$F$5:$F$1004,"&gt;="&amp;2))</f>
        <v/>
      </c>
      <c r="G44" s="20" t="str">
        <f aca="false">IF(OR(B44="",N(D44)&lt;3),"",_xlfn.MINIFS('Issue Log'!$A$5:$A$1004,'Issue Log'!$B$5:$B$1004,B44,'Issue Log'!$F$5:$F$1004,"&gt;="&amp;3))</f>
        <v/>
      </c>
      <c r="H44" s="20" t="str">
        <f aca="false">IF(N(D44)=0,"",_xlfn.MAXIFS('Issue Log'!$A$5:$A$1004,'Issue Log'!$B$5:$B$1004,B44))</f>
        <v/>
      </c>
      <c r="I44" s="10" t="str">
        <f aca="false">IF(B44="","",IF(D44&gt;=3,"FLAG",IF(D44=0,"Not issued","OK")))</f>
        <v/>
      </c>
      <c r="J44" s="29" t="str">
        <f aca="false">IF(I44="FLAG",COUNTIF($I$5:I44,"FLAG"),"")</f>
        <v/>
      </c>
    </row>
    <row r="45" customFormat="false" ht="15" hidden="false" customHeight="false" outlineLevel="0" collapsed="false">
      <c r="A45" s="27" t="n">
        <v>41</v>
      </c>
      <c r="B45" s="28"/>
      <c r="C45" s="22"/>
      <c r="D45" s="10" t="str">
        <f aca="false">IF(B45="","",SUMIFS('Issue Log'!$D$5:$D$1004,'Issue Log'!$B$5:$B$1004,B45))</f>
        <v/>
      </c>
      <c r="E45" s="20" t="str">
        <f aca="false">IF(OR(B45="",N(D45)&lt;1),"",_xlfn.MINIFS('Issue Log'!$A$5:$A$1004,'Issue Log'!$B$5:$B$1004,B45,'Issue Log'!$F$5:$F$1004,"&gt;="&amp;1))</f>
        <v/>
      </c>
      <c r="F45" s="20" t="str">
        <f aca="false">IF(OR(B45="",N(D45)&lt;2),"",_xlfn.MINIFS('Issue Log'!$A$5:$A$1004,'Issue Log'!$B$5:$B$1004,B45,'Issue Log'!$F$5:$F$1004,"&gt;="&amp;2))</f>
        <v/>
      </c>
      <c r="G45" s="20" t="str">
        <f aca="false">IF(OR(B45="",N(D45)&lt;3),"",_xlfn.MINIFS('Issue Log'!$A$5:$A$1004,'Issue Log'!$B$5:$B$1004,B45,'Issue Log'!$F$5:$F$1004,"&gt;="&amp;3))</f>
        <v/>
      </c>
      <c r="H45" s="20" t="str">
        <f aca="false">IF(N(D45)=0,"",_xlfn.MAXIFS('Issue Log'!$A$5:$A$1004,'Issue Log'!$B$5:$B$1004,B45))</f>
        <v/>
      </c>
      <c r="I45" s="10" t="str">
        <f aca="false">IF(B45="","",IF(D45&gt;=3,"FLAG",IF(D45=0,"Not issued","OK")))</f>
        <v/>
      </c>
      <c r="J45" s="29" t="str">
        <f aca="false">IF(I45="FLAG",COUNTIF($I$5:I45,"FLAG"),"")</f>
        <v/>
      </c>
    </row>
    <row r="46" customFormat="false" ht="15" hidden="false" customHeight="false" outlineLevel="0" collapsed="false">
      <c r="A46" s="27" t="n">
        <v>42</v>
      </c>
      <c r="B46" s="28"/>
      <c r="C46" s="22"/>
      <c r="D46" s="10" t="str">
        <f aca="false">IF(B46="","",SUMIFS('Issue Log'!$D$5:$D$1004,'Issue Log'!$B$5:$B$1004,B46))</f>
        <v/>
      </c>
      <c r="E46" s="20" t="str">
        <f aca="false">IF(OR(B46="",N(D46)&lt;1),"",_xlfn.MINIFS('Issue Log'!$A$5:$A$1004,'Issue Log'!$B$5:$B$1004,B46,'Issue Log'!$F$5:$F$1004,"&gt;="&amp;1))</f>
        <v/>
      </c>
      <c r="F46" s="20" t="str">
        <f aca="false">IF(OR(B46="",N(D46)&lt;2),"",_xlfn.MINIFS('Issue Log'!$A$5:$A$1004,'Issue Log'!$B$5:$B$1004,B46,'Issue Log'!$F$5:$F$1004,"&gt;="&amp;2))</f>
        <v/>
      </c>
      <c r="G46" s="20" t="str">
        <f aca="false">IF(OR(B46="",N(D46)&lt;3),"",_xlfn.MINIFS('Issue Log'!$A$5:$A$1004,'Issue Log'!$B$5:$B$1004,B46,'Issue Log'!$F$5:$F$1004,"&gt;="&amp;3))</f>
        <v/>
      </c>
      <c r="H46" s="20" t="str">
        <f aca="false">IF(N(D46)=0,"",_xlfn.MAXIFS('Issue Log'!$A$5:$A$1004,'Issue Log'!$B$5:$B$1004,B46))</f>
        <v/>
      </c>
      <c r="I46" s="10" t="str">
        <f aca="false">IF(B46="","",IF(D46&gt;=3,"FLAG",IF(D46=0,"Not issued","OK")))</f>
        <v/>
      </c>
      <c r="J46" s="29" t="str">
        <f aca="false">IF(I46="FLAG",COUNTIF($I$5:I46,"FLAG"),"")</f>
        <v/>
      </c>
    </row>
    <row r="47" customFormat="false" ht="15" hidden="false" customHeight="false" outlineLevel="0" collapsed="false">
      <c r="A47" s="27" t="n">
        <v>43</v>
      </c>
      <c r="B47" s="28"/>
      <c r="C47" s="22"/>
      <c r="D47" s="10" t="str">
        <f aca="false">IF(B47="","",SUMIFS('Issue Log'!$D$5:$D$1004,'Issue Log'!$B$5:$B$1004,B47))</f>
        <v/>
      </c>
      <c r="E47" s="20" t="str">
        <f aca="false">IF(OR(B47="",N(D47)&lt;1),"",_xlfn.MINIFS('Issue Log'!$A$5:$A$1004,'Issue Log'!$B$5:$B$1004,B47,'Issue Log'!$F$5:$F$1004,"&gt;="&amp;1))</f>
        <v/>
      </c>
      <c r="F47" s="20" t="str">
        <f aca="false">IF(OR(B47="",N(D47)&lt;2),"",_xlfn.MINIFS('Issue Log'!$A$5:$A$1004,'Issue Log'!$B$5:$B$1004,B47,'Issue Log'!$F$5:$F$1004,"&gt;="&amp;2))</f>
        <v/>
      </c>
      <c r="G47" s="20" t="str">
        <f aca="false">IF(OR(B47="",N(D47)&lt;3),"",_xlfn.MINIFS('Issue Log'!$A$5:$A$1004,'Issue Log'!$B$5:$B$1004,B47,'Issue Log'!$F$5:$F$1004,"&gt;="&amp;3))</f>
        <v/>
      </c>
      <c r="H47" s="20" t="str">
        <f aca="false">IF(N(D47)=0,"",_xlfn.MAXIFS('Issue Log'!$A$5:$A$1004,'Issue Log'!$B$5:$B$1004,B47))</f>
        <v/>
      </c>
      <c r="I47" s="10" t="str">
        <f aca="false">IF(B47="","",IF(D47&gt;=3,"FLAG",IF(D47=0,"Not issued","OK")))</f>
        <v/>
      </c>
      <c r="J47" s="29" t="str">
        <f aca="false">IF(I47="FLAG",COUNTIF($I$5:I47,"FLAG"),"")</f>
        <v/>
      </c>
    </row>
    <row r="48" customFormat="false" ht="15" hidden="false" customHeight="false" outlineLevel="0" collapsed="false">
      <c r="A48" s="27" t="n">
        <v>44</v>
      </c>
      <c r="B48" s="28"/>
      <c r="C48" s="22"/>
      <c r="D48" s="10" t="str">
        <f aca="false">IF(B48="","",SUMIFS('Issue Log'!$D$5:$D$1004,'Issue Log'!$B$5:$B$1004,B48))</f>
        <v/>
      </c>
      <c r="E48" s="20" t="str">
        <f aca="false">IF(OR(B48="",N(D48)&lt;1),"",_xlfn.MINIFS('Issue Log'!$A$5:$A$1004,'Issue Log'!$B$5:$B$1004,B48,'Issue Log'!$F$5:$F$1004,"&gt;="&amp;1))</f>
        <v/>
      </c>
      <c r="F48" s="20" t="str">
        <f aca="false">IF(OR(B48="",N(D48)&lt;2),"",_xlfn.MINIFS('Issue Log'!$A$5:$A$1004,'Issue Log'!$B$5:$B$1004,B48,'Issue Log'!$F$5:$F$1004,"&gt;="&amp;2))</f>
        <v/>
      </c>
      <c r="G48" s="20" t="str">
        <f aca="false">IF(OR(B48="",N(D48)&lt;3),"",_xlfn.MINIFS('Issue Log'!$A$5:$A$1004,'Issue Log'!$B$5:$B$1004,B48,'Issue Log'!$F$5:$F$1004,"&gt;="&amp;3))</f>
        <v/>
      </c>
      <c r="H48" s="20" t="str">
        <f aca="false">IF(N(D48)=0,"",_xlfn.MAXIFS('Issue Log'!$A$5:$A$1004,'Issue Log'!$B$5:$B$1004,B48))</f>
        <v/>
      </c>
      <c r="I48" s="10" t="str">
        <f aca="false">IF(B48="","",IF(D48&gt;=3,"FLAG",IF(D48=0,"Not issued","OK")))</f>
        <v/>
      </c>
      <c r="J48" s="29" t="str">
        <f aca="false">IF(I48="FLAG",COUNTIF($I$5:I48,"FLAG"),"")</f>
        <v/>
      </c>
    </row>
    <row r="49" customFormat="false" ht="15" hidden="false" customHeight="false" outlineLevel="0" collapsed="false">
      <c r="A49" s="27" t="n">
        <v>45</v>
      </c>
      <c r="B49" s="28"/>
      <c r="C49" s="22"/>
      <c r="D49" s="10" t="str">
        <f aca="false">IF(B49="","",SUMIFS('Issue Log'!$D$5:$D$1004,'Issue Log'!$B$5:$B$1004,B49))</f>
        <v/>
      </c>
      <c r="E49" s="20" t="str">
        <f aca="false">IF(OR(B49="",N(D49)&lt;1),"",_xlfn.MINIFS('Issue Log'!$A$5:$A$1004,'Issue Log'!$B$5:$B$1004,B49,'Issue Log'!$F$5:$F$1004,"&gt;="&amp;1))</f>
        <v/>
      </c>
      <c r="F49" s="20" t="str">
        <f aca="false">IF(OR(B49="",N(D49)&lt;2),"",_xlfn.MINIFS('Issue Log'!$A$5:$A$1004,'Issue Log'!$B$5:$B$1004,B49,'Issue Log'!$F$5:$F$1004,"&gt;="&amp;2))</f>
        <v/>
      </c>
      <c r="G49" s="20" t="str">
        <f aca="false">IF(OR(B49="",N(D49)&lt;3),"",_xlfn.MINIFS('Issue Log'!$A$5:$A$1004,'Issue Log'!$B$5:$B$1004,B49,'Issue Log'!$F$5:$F$1004,"&gt;="&amp;3))</f>
        <v/>
      </c>
      <c r="H49" s="20" t="str">
        <f aca="false">IF(N(D49)=0,"",_xlfn.MAXIFS('Issue Log'!$A$5:$A$1004,'Issue Log'!$B$5:$B$1004,B49))</f>
        <v/>
      </c>
      <c r="I49" s="10" t="str">
        <f aca="false">IF(B49="","",IF(D49&gt;=3,"FLAG",IF(D49=0,"Not issued","OK")))</f>
        <v/>
      </c>
      <c r="J49" s="29" t="str">
        <f aca="false">IF(I49="FLAG",COUNTIF($I$5:I49,"FLAG"),"")</f>
        <v/>
      </c>
    </row>
    <row r="50" customFormat="false" ht="15" hidden="false" customHeight="false" outlineLevel="0" collapsed="false">
      <c r="A50" s="27" t="n">
        <v>46</v>
      </c>
      <c r="B50" s="28"/>
      <c r="C50" s="22"/>
      <c r="D50" s="10" t="str">
        <f aca="false">IF(B50="","",SUMIFS('Issue Log'!$D$5:$D$1004,'Issue Log'!$B$5:$B$1004,B50))</f>
        <v/>
      </c>
      <c r="E50" s="20" t="str">
        <f aca="false">IF(OR(B50="",N(D50)&lt;1),"",_xlfn.MINIFS('Issue Log'!$A$5:$A$1004,'Issue Log'!$B$5:$B$1004,B50,'Issue Log'!$F$5:$F$1004,"&gt;="&amp;1))</f>
        <v/>
      </c>
      <c r="F50" s="20" t="str">
        <f aca="false">IF(OR(B50="",N(D50)&lt;2),"",_xlfn.MINIFS('Issue Log'!$A$5:$A$1004,'Issue Log'!$B$5:$B$1004,B50,'Issue Log'!$F$5:$F$1004,"&gt;="&amp;2))</f>
        <v/>
      </c>
      <c r="G50" s="20" t="str">
        <f aca="false">IF(OR(B50="",N(D50)&lt;3),"",_xlfn.MINIFS('Issue Log'!$A$5:$A$1004,'Issue Log'!$B$5:$B$1004,B50,'Issue Log'!$F$5:$F$1004,"&gt;="&amp;3))</f>
        <v/>
      </c>
      <c r="H50" s="20" t="str">
        <f aca="false">IF(N(D50)=0,"",_xlfn.MAXIFS('Issue Log'!$A$5:$A$1004,'Issue Log'!$B$5:$B$1004,B50))</f>
        <v/>
      </c>
      <c r="I50" s="10" t="str">
        <f aca="false">IF(B50="","",IF(D50&gt;=3,"FLAG",IF(D50=0,"Not issued","OK")))</f>
        <v/>
      </c>
      <c r="J50" s="29" t="str">
        <f aca="false">IF(I50="FLAG",COUNTIF($I$5:I50,"FLAG"),"")</f>
        <v/>
      </c>
    </row>
    <row r="51" customFormat="false" ht="15" hidden="false" customHeight="false" outlineLevel="0" collapsed="false">
      <c r="A51" s="27" t="n">
        <v>47</v>
      </c>
      <c r="B51" s="28"/>
      <c r="C51" s="22"/>
      <c r="D51" s="10" t="str">
        <f aca="false">IF(B51="","",SUMIFS('Issue Log'!$D$5:$D$1004,'Issue Log'!$B$5:$B$1004,B51))</f>
        <v/>
      </c>
      <c r="E51" s="20" t="str">
        <f aca="false">IF(OR(B51="",N(D51)&lt;1),"",_xlfn.MINIFS('Issue Log'!$A$5:$A$1004,'Issue Log'!$B$5:$B$1004,B51,'Issue Log'!$F$5:$F$1004,"&gt;="&amp;1))</f>
        <v/>
      </c>
      <c r="F51" s="20" t="str">
        <f aca="false">IF(OR(B51="",N(D51)&lt;2),"",_xlfn.MINIFS('Issue Log'!$A$5:$A$1004,'Issue Log'!$B$5:$B$1004,B51,'Issue Log'!$F$5:$F$1004,"&gt;="&amp;2))</f>
        <v/>
      </c>
      <c r="G51" s="20" t="str">
        <f aca="false">IF(OR(B51="",N(D51)&lt;3),"",_xlfn.MINIFS('Issue Log'!$A$5:$A$1004,'Issue Log'!$B$5:$B$1004,B51,'Issue Log'!$F$5:$F$1004,"&gt;="&amp;3))</f>
        <v/>
      </c>
      <c r="H51" s="20" t="str">
        <f aca="false">IF(N(D51)=0,"",_xlfn.MAXIFS('Issue Log'!$A$5:$A$1004,'Issue Log'!$B$5:$B$1004,B51))</f>
        <v/>
      </c>
      <c r="I51" s="10" t="str">
        <f aca="false">IF(B51="","",IF(D51&gt;=3,"FLAG",IF(D51=0,"Not issued","OK")))</f>
        <v/>
      </c>
      <c r="J51" s="29" t="str">
        <f aca="false">IF(I51="FLAG",COUNTIF($I$5:I51,"FLAG"),"")</f>
        <v/>
      </c>
    </row>
    <row r="52" customFormat="false" ht="15" hidden="false" customHeight="false" outlineLevel="0" collapsed="false">
      <c r="A52" s="27" t="n">
        <v>48</v>
      </c>
      <c r="B52" s="28"/>
      <c r="C52" s="22"/>
      <c r="D52" s="10" t="str">
        <f aca="false">IF(B52="","",SUMIFS('Issue Log'!$D$5:$D$1004,'Issue Log'!$B$5:$B$1004,B52))</f>
        <v/>
      </c>
      <c r="E52" s="20" t="str">
        <f aca="false">IF(OR(B52="",N(D52)&lt;1),"",_xlfn.MINIFS('Issue Log'!$A$5:$A$1004,'Issue Log'!$B$5:$B$1004,B52,'Issue Log'!$F$5:$F$1004,"&gt;="&amp;1))</f>
        <v/>
      </c>
      <c r="F52" s="20" t="str">
        <f aca="false">IF(OR(B52="",N(D52)&lt;2),"",_xlfn.MINIFS('Issue Log'!$A$5:$A$1004,'Issue Log'!$B$5:$B$1004,B52,'Issue Log'!$F$5:$F$1004,"&gt;="&amp;2))</f>
        <v/>
      </c>
      <c r="G52" s="20" t="str">
        <f aca="false">IF(OR(B52="",N(D52)&lt;3),"",_xlfn.MINIFS('Issue Log'!$A$5:$A$1004,'Issue Log'!$B$5:$B$1004,B52,'Issue Log'!$F$5:$F$1004,"&gt;="&amp;3))</f>
        <v/>
      </c>
      <c r="H52" s="20" t="str">
        <f aca="false">IF(N(D52)=0,"",_xlfn.MAXIFS('Issue Log'!$A$5:$A$1004,'Issue Log'!$B$5:$B$1004,B52))</f>
        <v/>
      </c>
      <c r="I52" s="10" t="str">
        <f aca="false">IF(B52="","",IF(D52&gt;=3,"FLAG",IF(D52=0,"Not issued","OK")))</f>
        <v/>
      </c>
      <c r="J52" s="29" t="str">
        <f aca="false">IF(I52="FLAG",COUNTIF($I$5:I52,"FLAG"),"")</f>
        <v/>
      </c>
    </row>
    <row r="53" customFormat="false" ht="15" hidden="false" customHeight="false" outlineLevel="0" collapsed="false">
      <c r="A53" s="27" t="n">
        <v>49</v>
      </c>
      <c r="B53" s="28"/>
      <c r="C53" s="22"/>
      <c r="D53" s="10" t="str">
        <f aca="false">IF(B53="","",SUMIFS('Issue Log'!$D$5:$D$1004,'Issue Log'!$B$5:$B$1004,B53))</f>
        <v/>
      </c>
      <c r="E53" s="20" t="str">
        <f aca="false">IF(OR(B53="",N(D53)&lt;1),"",_xlfn.MINIFS('Issue Log'!$A$5:$A$1004,'Issue Log'!$B$5:$B$1004,B53,'Issue Log'!$F$5:$F$1004,"&gt;="&amp;1))</f>
        <v/>
      </c>
      <c r="F53" s="20" t="str">
        <f aca="false">IF(OR(B53="",N(D53)&lt;2),"",_xlfn.MINIFS('Issue Log'!$A$5:$A$1004,'Issue Log'!$B$5:$B$1004,B53,'Issue Log'!$F$5:$F$1004,"&gt;="&amp;2))</f>
        <v/>
      </c>
      <c r="G53" s="20" t="str">
        <f aca="false">IF(OR(B53="",N(D53)&lt;3),"",_xlfn.MINIFS('Issue Log'!$A$5:$A$1004,'Issue Log'!$B$5:$B$1004,B53,'Issue Log'!$F$5:$F$1004,"&gt;="&amp;3))</f>
        <v/>
      </c>
      <c r="H53" s="20" t="str">
        <f aca="false">IF(N(D53)=0,"",_xlfn.MAXIFS('Issue Log'!$A$5:$A$1004,'Issue Log'!$B$5:$B$1004,B53))</f>
        <v/>
      </c>
      <c r="I53" s="10" t="str">
        <f aca="false">IF(B53="","",IF(D53&gt;=3,"FLAG",IF(D53=0,"Not issued","OK")))</f>
        <v/>
      </c>
      <c r="J53" s="29" t="str">
        <f aca="false">IF(I53="FLAG",COUNTIF($I$5:I53,"FLAG"),"")</f>
        <v/>
      </c>
    </row>
    <row r="54" customFormat="false" ht="15" hidden="false" customHeight="false" outlineLevel="0" collapsed="false">
      <c r="A54" s="27" t="n">
        <v>50</v>
      </c>
      <c r="B54" s="28"/>
      <c r="C54" s="22"/>
      <c r="D54" s="10" t="str">
        <f aca="false">IF(B54="","",SUMIFS('Issue Log'!$D$5:$D$1004,'Issue Log'!$B$5:$B$1004,B54))</f>
        <v/>
      </c>
      <c r="E54" s="20" t="str">
        <f aca="false">IF(OR(B54="",N(D54)&lt;1),"",_xlfn.MINIFS('Issue Log'!$A$5:$A$1004,'Issue Log'!$B$5:$B$1004,B54,'Issue Log'!$F$5:$F$1004,"&gt;="&amp;1))</f>
        <v/>
      </c>
      <c r="F54" s="20" t="str">
        <f aca="false">IF(OR(B54="",N(D54)&lt;2),"",_xlfn.MINIFS('Issue Log'!$A$5:$A$1004,'Issue Log'!$B$5:$B$1004,B54,'Issue Log'!$F$5:$F$1004,"&gt;="&amp;2))</f>
        <v/>
      </c>
      <c r="G54" s="20" t="str">
        <f aca="false">IF(OR(B54="",N(D54)&lt;3),"",_xlfn.MINIFS('Issue Log'!$A$5:$A$1004,'Issue Log'!$B$5:$B$1004,B54,'Issue Log'!$F$5:$F$1004,"&gt;="&amp;3))</f>
        <v/>
      </c>
      <c r="H54" s="20" t="str">
        <f aca="false">IF(N(D54)=0,"",_xlfn.MAXIFS('Issue Log'!$A$5:$A$1004,'Issue Log'!$B$5:$B$1004,B54))</f>
        <v/>
      </c>
      <c r="I54" s="10" t="str">
        <f aca="false">IF(B54="","",IF(D54&gt;=3,"FLAG",IF(D54=0,"Not issued","OK")))</f>
        <v/>
      </c>
      <c r="J54" s="29" t="str">
        <f aca="false">IF(I54="FLAG",COUNTIF($I$5:I54,"FLAG"),"")</f>
        <v/>
      </c>
    </row>
    <row r="55" customFormat="false" ht="15" hidden="false" customHeight="false" outlineLevel="0" collapsed="false">
      <c r="A55" s="27" t="n">
        <v>51</v>
      </c>
      <c r="B55" s="28"/>
      <c r="C55" s="22"/>
      <c r="D55" s="10" t="str">
        <f aca="false">IF(B55="","",SUMIFS('Issue Log'!$D$5:$D$1004,'Issue Log'!$B$5:$B$1004,B55))</f>
        <v/>
      </c>
      <c r="E55" s="20" t="str">
        <f aca="false">IF(OR(B55="",N(D55)&lt;1),"",_xlfn.MINIFS('Issue Log'!$A$5:$A$1004,'Issue Log'!$B$5:$B$1004,B55,'Issue Log'!$F$5:$F$1004,"&gt;="&amp;1))</f>
        <v/>
      </c>
      <c r="F55" s="20" t="str">
        <f aca="false">IF(OR(B55="",N(D55)&lt;2),"",_xlfn.MINIFS('Issue Log'!$A$5:$A$1004,'Issue Log'!$B$5:$B$1004,B55,'Issue Log'!$F$5:$F$1004,"&gt;="&amp;2))</f>
        <v/>
      </c>
      <c r="G55" s="20" t="str">
        <f aca="false">IF(OR(B55="",N(D55)&lt;3),"",_xlfn.MINIFS('Issue Log'!$A$5:$A$1004,'Issue Log'!$B$5:$B$1004,B55,'Issue Log'!$F$5:$F$1004,"&gt;="&amp;3))</f>
        <v/>
      </c>
      <c r="H55" s="20" t="str">
        <f aca="false">IF(N(D55)=0,"",_xlfn.MAXIFS('Issue Log'!$A$5:$A$1004,'Issue Log'!$B$5:$B$1004,B55))</f>
        <v/>
      </c>
      <c r="I55" s="10" t="str">
        <f aca="false">IF(B55="","",IF(D55&gt;=3,"FLAG",IF(D55=0,"Not issued","OK")))</f>
        <v/>
      </c>
      <c r="J55" s="29" t="str">
        <f aca="false">IF(I55="FLAG",COUNTIF($I$5:I55,"FLAG"),"")</f>
        <v/>
      </c>
    </row>
    <row r="56" customFormat="false" ht="15" hidden="false" customHeight="false" outlineLevel="0" collapsed="false">
      <c r="A56" s="27" t="n">
        <v>52</v>
      </c>
      <c r="B56" s="28"/>
      <c r="C56" s="22"/>
      <c r="D56" s="10" t="str">
        <f aca="false">IF(B56="","",SUMIFS('Issue Log'!$D$5:$D$1004,'Issue Log'!$B$5:$B$1004,B56))</f>
        <v/>
      </c>
      <c r="E56" s="20" t="str">
        <f aca="false">IF(OR(B56="",N(D56)&lt;1),"",_xlfn.MINIFS('Issue Log'!$A$5:$A$1004,'Issue Log'!$B$5:$B$1004,B56,'Issue Log'!$F$5:$F$1004,"&gt;="&amp;1))</f>
        <v/>
      </c>
      <c r="F56" s="20" t="str">
        <f aca="false">IF(OR(B56="",N(D56)&lt;2),"",_xlfn.MINIFS('Issue Log'!$A$5:$A$1004,'Issue Log'!$B$5:$B$1004,B56,'Issue Log'!$F$5:$F$1004,"&gt;="&amp;2))</f>
        <v/>
      </c>
      <c r="G56" s="20" t="str">
        <f aca="false">IF(OR(B56="",N(D56)&lt;3),"",_xlfn.MINIFS('Issue Log'!$A$5:$A$1004,'Issue Log'!$B$5:$B$1004,B56,'Issue Log'!$F$5:$F$1004,"&gt;="&amp;3))</f>
        <v/>
      </c>
      <c r="H56" s="20" t="str">
        <f aca="false">IF(N(D56)=0,"",_xlfn.MAXIFS('Issue Log'!$A$5:$A$1004,'Issue Log'!$B$5:$B$1004,B56))</f>
        <v/>
      </c>
      <c r="I56" s="10" t="str">
        <f aca="false">IF(B56="","",IF(D56&gt;=3,"FLAG",IF(D56=0,"Not issued","OK")))</f>
        <v/>
      </c>
      <c r="J56" s="29" t="str">
        <f aca="false">IF(I56="FLAG",COUNTIF($I$5:I56,"FLAG"),"")</f>
        <v/>
      </c>
    </row>
    <row r="57" customFormat="false" ht="15" hidden="false" customHeight="false" outlineLevel="0" collapsed="false">
      <c r="A57" s="27" t="n">
        <v>53</v>
      </c>
      <c r="B57" s="28"/>
      <c r="C57" s="22"/>
      <c r="D57" s="10" t="str">
        <f aca="false">IF(B57="","",SUMIFS('Issue Log'!$D$5:$D$1004,'Issue Log'!$B$5:$B$1004,B57))</f>
        <v/>
      </c>
      <c r="E57" s="20" t="str">
        <f aca="false">IF(OR(B57="",N(D57)&lt;1),"",_xlfn.MINIFS('Issue Log'!$A$5:$A$1004,'Issue Log'!$B$5:$B$1004,B57,'Issue Log'!$F$5:$F$1004,"&gt;="&amp;1))</f>
        <v/>
      </c>
      <c r="F57" s="20" t="str">
        <f aca="false">IF(OR(B57="",N(D57)&lt;2),"",_xlfn.MINIFS('Issue Log'!$A$5:$A$1004,'Issue Log'!$B$5:$B$1004,B57,'Issue Log'!$F$5:$F$1004,"&gt;="&amp;2))</f>
        <v/>
      </c>
      <c r="G57" s="20" t="str">
        <f aca="false">IF(OR(B57="",N(D57)&lt;3),"",_xlfn.MINIFS('Issue Log'!$A$5:$A$1004,'Issue Log'!$B$5:$B$1004,B57,'Issue Log'!$F$5:$F$1004,"&gt;="&amp;3))</f>
        <v/>
      </c>
      <c r="H57" s="20" t="str">
        <f aca="false">IF(N(D57)=0,"",_xlfn.MAXIFS('Issue Log'!$A$5:$A$1004,'Issue Log'!$B$5:$B$1004,B57))</f>
        <v/>
      </c>
      <c r="I57" s="10" t="str">
        <f aca="false">IF(B57="","",IF(D57&gt;=3,"FLAG",IF(D57=0,"Not issued","OK")))</f>
        <v/>
      </c>
      <c r="J57" s="29" t="str">
        <f aca="false">IF(I57="FLAG",COUNTIF($I$5:I57,"FLAG"),"")</f>
        <v/>
      </c>
    </row>
    <row r="58" customFormat="false" ht="15" hidden="false" customHeight="false" outlineLevel="0" collapsed="false">
      <c r="A58" s="27" t="n">
        <v>54</v>
      </c>
      <c r="B58" s="28"/>
      <c r="C58" s="22"/>
      <c r="D58" s="10" t="str">
        <f aca="false">IF(B58="","",SUMIFS('Issue Log'!$D$5:$D$1004,'Issue Log'!$B$5:$B$1004,B58))</f>
        <v/>
      </c>
      <c r="E58" s="20" t="str">
        <f aca="false">IF(OR(B58="",N(D58)&lt;1),"",_xlfn.MINIFS('Issue Log'!$A$5:$A$1004,'Issue Log'!$B$5:$B$1004,B58,'Issue Log'!$F$5:$F$1004,"&gt;="&amp;1))</f>
        <v/>
      </c>
      <c r="F58" s="20" t="str">
        <f aca="false">IF(OR(B58="",N(D58)&lt;2),"",_xlfn.MINIFS('Issue Log'!$A$5:$A$1004,'Issue Log'!$B$5:$B$1004,B58,'Issue Log'!$F$5:$F$1004,"&gt;="&amp;2))</f>
        <v/>
      </c>
      <c r="G58" s="20" t="str">
        <f aca="false">IF(OR(B58="",N(D58)&lt;3),"",_xlfn.MINIFS('Issue Log'!$A$5:$A$1004,'Issue Log'!$B$5:$B$1004,B58,'Issue Log'!$F$5:$F$1004,"&gt;="&amp;3))</f>
        <v/>
      </c>
      <c r="H58" s="20" t="str">
        <f aca="false">IF(N(D58)=0,"",_xlfn.MAXIFS('Issue Log'!$A$5:$A$1004,'Issue Log'!$B$5:$B$1004,B58))</f>
        <v/>
      </c>
      <c r="I58" s="10" t="str">
        <f aca="false">IF(B58="","",IF(D58&gt;=3,"FLAG",IF(D58=0,"Not issued","OK")))</f>
        <v/>
      </c>
      <c r="J58" s="29" t="str">
        <f aca="false">IF(I58="FLAG",COUNTIF($I$5:I58,"FLAG"),"")</f>
        <v/>
      </c>
    </row>
    <row r="59" customFormat="false" ht="15" hidden="false" customHeight="false" outlineLevel="0" collapsed="false">
      <c r="A59" s="27" t="n">
        <v>55</v>
      </c>
      <c r="B59" s="28"/>
      <c r="C59" s="22"/>
      <c r="D59" s="10" t="str">
        <f aca="false">IF(B59="","",SUMIFS('Issue Log'!$D$5:$D$1004,'Issue Log'!$B$5:$B$1004,B59))</f>
        <v/>
      </c>
      <c r="E59" s="20" t="str">
        <f aca="false">IF(OR(B59="",N(D59)&lt;1),"",_xlfn.MINIFS('Issue Log'!$A$5:$A$1004,'Issue Log'!$B$5:$B$1004,B59,'Issue Log'!$F$5:$F$1004,"&gt;="&amp;1))</f>
        <v/>
      </c>
      <c r="F59" s="20" t="str">
        <f aca="false">IF(OR(B59="",N(D59)&lt;2),"",_xlfn.MINIFS('Issue Log'!$A$5:$A$1004,'Issue Log'!$B$5:$B$1004,B59,'Issue Log'!$F$5:$F$1004,"&gt;="&amp;2))</f>
        <v/>
      </c>
      <c r="G59" s="20" t="str">
        <f aca="false">IF(OR(B59="",N(D59)&lt;3),"",_xlfn.MINIFS('Issue Log'!$A$5:$A$1004,'Issue Log'!$B$5:$B$1004,B59,'Issue Log'!$F$5:$F$1004,"&gt;="&amp;3))</f>
        <v/>
      </c>
      <c r="H59" s="20" t="str">
        <f aca="false">IF(N(D59)=0,"",_xlfn.MAXIFS('Issue Log'!$A$5:$A$1004,'Issue Log'!$B$5:$B$1004,B59))</f>
        <v/>
      </c>
      <c r="I59" s="10" t="str">
        <f aca="false">IF(B59="","",IF(D59&gt;=3,"FLAG",IF(D59=0,"Not issued","OK")))</f>
        <v/>
      </c>
      <c r="J59" s="29" t="str">
        <f aca="false">IF(I59="FLAG",COUNTIF($I$5:I59,"FLAG"),"")</f>
        <v/>
      </c>
    </row>
    <row r="60" customFormat="false" ht="15" hidden="false" customHeight="false" outlineLevel="0" collapsed="false">
      <c r="A60" s="27" t="n">
        <v>56</v>
      </c>
      <c r="B60" s="28"/>
      <c r="C60" s="22"/>
      <c r="D60" s="10" t="str">
        <f aca="false">IF(B60="","",SUMIFS('Issue Log'!$D$5:$D$1004,'Issue Log'!$B$5:$B$1004,B60))</f>
        <v/>
      </c>
      <c r="E60" s="20" t="str">
        <f aca="false">IF(OR(B60="",N(D60)&lt;1),"",_xlfn.MINIFS('Issue Log'!$A$5:$A$1004,'Issue Log'!$B$5:$B$1004,B60,'Issue Log'!$F$5:$F$1004,"&gt;="&amp;1))</f>
        <v/>
      </c>
      <c r="F60" s="20" t="str">
        <f aca="false">IF(OR(B60="",N(D60)&lt;2),"",_xlfn.MINIFS('Issue Log'!$A$5:$A$1004,'Issue Log'!$B$5:$B$1004,B60,'Issue Log'!$F$5:$F$1004,"&gt;="&amp;2))</f>
        <v/>
      </c>
      <c r="G60" s="20" t="str">
        <f aca="false">IF(OR(B60="",N(D60)&lt;3),"",_xlfn.MINIFS('Issue Log'!$A$5:$A$1004,'Issue Log'!$B$5:$B$1004,B60,'Issue Log'!$F$5:$F$1004,"&gt;="&amp;3))</f>
        <v/>
      </c>
      <c r="H60" s="20" t="str">
        <f aca="false">IF(N(D60)=0,"",_xlfn.MAXIFS('Issue Log'!$A$5:$A$1004,'Issue Log'!$B$5:$B$1004,B60))</f>
        <v/>
      </c>
      <c r="I60" s="10" t="str">
        <f aca="false">IF(B60="","",IF(D60&gt;=3,"FLAG",IF(D60=0,"Not issued","OK")))</f>
        <v/>
      </c>
      <c r="J60" s="29" t="str">
        <f aca="false">IF(I60="FLAG",COUNTIF($I$5:I60,"FLAG"),"")</f>
        <v/>
      </c>
    </row>
    <row r="61" customFormat="false" ht="15" hidden="false" customHeight="false" outlineLevel="0" collapsed="false">
      <c r="A61" s="27" t="n">
        <v>57</v>
      </c>
      <c r="B61" s="28"/>
      <c r="C61" s="22"/>
      <c r="D61" s="10" t="str">
        <f aca="false">IF(B61="","",SUMIFS('Issue Log'!$D$5:$D$1004,'Issue Log'!$B$5:$B$1004,B61))</f>
        <v/>
      </c>
      <c r="E61" s="20" t="str">
        <f aca="false">IF(OR(B61="",N(D61)&lt;1),"",_xlfn.MINIFS('Issue Log'!$A$5:$A$1004,'Issue Log'!$B$5:$B$1004,B61,'Issue Log'!$F$5:$F$1004,"&gt;="&amp;1))</f>
        <v/>
      </c>
      <c r="F61" s="20" t="str">
        <f aca="false">IF(OR(B61="",N(D61)&lt;2),"",_xlfn.MINIFS('Issue Log'!$A$5:$A$1004,'Issue Log'!$B$5:$B$1004,B61,'Issue Log'!$F$5:$F$1004,"&gt;="&amp;2))</f>
        <v/>
      </c>
      <c r="G61" s="20" t="str">
        <f aca="false">IF(OR(B61="",N(D61)&lt;3),"",_xlfn.MINIFS('Issue Log'!$A$5:$A$1004,'Issue Log'!$B$5:$B$1004,B61,'Issue Log'!$F$5:$F$1004,"&gt;="&amp;3))</f>
        <v/>
      </c>
      <c r="H61" s="20" t="str">
        <f aca="false">IF(N(D61)=0,"",_xlfn.MAXIFS('Issue Log'!$A$5:$A$1004,'Issue Log'!$B$5:$B$1004,B61))</f>
        <v/>
      </c>
      <c r="I61" s="10" t="str">
        <f aca="false">IF(B61="","",IF(D61&gt;=3,"FLAG",IF(D61=0,"Not issued","OK")))</f>
        <v/>
      </c>
      <c r="J61" s="29" t="str">
        <f aca="false">IF(I61="FLAG",COUNTIF($I$5:I61,"FLAG"),"")</f>
        <v/>
      </c>
    </row>
    <row r="62" customFormat="false" ht="15" hidden="false" customHeight="false" outlineLevel="0" collapsed="false">
      <c r="A62" s="27" t="n">
        <v>58</v>
      </c>
      <c r="B62" s="28"/>
      <c r="C62" s="22"/>
      <c r="D62" s="10" t="str">
        <f aca="false">IF(B62="","",SUMIFS('Issue Log'!$D$5:$D$1004,'Issue Log'!$B$5:$B$1004,B62))</f>
        <v/>
      </c>
      <c r="E62" s="20" t="str">
        <f aca="false">IF(OR(B62="",N(D62)&lt;1),"",_xlfn.MINIFS('Issue Log'!$A$5:$A$1004,'Issue Log'!$B$5:$B$1004,B62,'Issue Log'!$F$5:$F$1004,"&gt;="&amp;1))</f>
        <v/>
      </c>
      <c r="F62" s="20" t="str">
        <f aca="false">IF(OR(B62="",N(D62)&lt;2),"",_xlfn.MINIFS('Issue Log'!$A$5:$A$1004,'Issue Log'!$B$5:$B$1004,B62,'Issue Log'!$F$5:$F$1004,"&gt;="&amp;2))</f>
        <v/>
      </c>
      <c r="G62" s="20" t="str">
        <f aca="false">IF(OR(B62="",N(D62)&lt;3),"",_xlfn.MINIFS('Issue Log'!$A$5:$A$1004,'Issue Log'!$B$5:$B$1004,B62,'Issue Log'!$F$5:$F$1004,"&gt;="&amp;3))</f>
        <v/>
      </c>
      <c r="H62" s="20" t="str">
        <f aca="false">IF(N(D62)=0,"",_xlfn.MAXIFS('Issue Log'!$A$5:$A$1004,'Issue Log'!$B$5:$B$1004,B62))</f>
        <v/>
      </c>
      <c r="I62" s="10" t="str">
        <f aca="false">IF(B62="","",IF(D62&gt;=3,"FLAG",IF(D62=0,"Not issued","OK")))</f>
        <v/>
      </c>
      <c r="J62" s="29" t="str">
        <f aca="false">IF(I62="FLAG",COUNTIF($I$5:I62,"FLAG"),"")</f>
        <v/>
      </c>
    </row>
    <row r="63" customFormat="false" ht="15" hidden="false" customHeight="false" outlineLevel="0" collapsed="false">
      <c r="A63" s="27" t="n">
        <v>59</v>
      </c>
      <c r="B63" s="28"/>
      <c r="C63" s="22"/>
      <c r="D63" s="10" t="str">
        <f aca="false">IF(B63="","",SUMIFS('Issue Log'!$D$5:$D$1004,'Issue Log'!$B$5:$B$1004,B63))</f>
        <v/>
      </c>
      <c r="E63" s="20" t="str">
        <f aca="false">IF(OR(B63="",N(D63)&lt;1),"",_xlfn.MINIFS('Issue Log'!$A$5:$A$1004,'Issue Log'!$B$5:$B$1004,B63,'Issue Log'!$F$5:$F$1004,"&gt;="&amp;1))</f>
        <v/>
      </c>
      <c r="F63" s="20" t="str">
        <f aca="false">IF(OR(B63="",N(D63)&lt;2),"",_xlfn.MINIFS('Issue Log'!$A$5:$A$1004,'Issue Log'!$B$5:$B$1004,B63,'Issue Log'!$F$5:$F$1004,"&gt;="&amp;2))</f>
        <v/>
      </c>
      <c r="G63" s="20" t="str">
        <f aca="false">IF(OR(B63="",N(D63)&lt;3),"",_xlfn.MINIFS('Issue Log'!$A$5:$A$1004,'Issue Log'!$B$5:$B$1004,B63,'Issue Log'!$F$5:$F$1004,"&gt;="&amp;3))</f>
        <v/>
      </c>
      <c r="H63" s="20" t="str">
        <f aca="false">IF(N(D63)=0,"",_xlfn.MAXIFS('Issue Log'!$A$5:$A$1004,'Issue Log'!$B$5:$B$1004,B63))</f>
        <v/>
      </c>
      <c r="I63" s="10" t="str">
        <f aca="false">IF(B63="","",IF(D63&gt;=3,"FLAG",IF(D63=0,"Not issued","OK")))</f>
        <v/>
      </c>
      <c r="J63" s="29" t="str">
        <f aca="false">IF(I63="FLAG",COUNTIF($I$5:I63,"FLAG"),"")</f>
        <v/>
      </c>
    </row>
    <row r="64" customFormat="false" ht="15" hidden="false" customHeight="false" outlineLevel="0" collapsed="false">
      <c r="A64" s="27" t="n">
        <v>60</v>
      </c>
      <c r="B64" s="28"/>
      <c r="C64" s="22"/>
      <c r="D64" s="10" t="str">
        <f aca="false">IF(B64="","",SUMIFS('Issue Log'!$D$5:$D$1004,'Issue Log'!$B$5:$B$1004,B64))</f>
        <v/>
      </c>
      <c r="E64" s="20" t="str">
        <f aca="false">IF(OR(B64="",N(D64)&lt;1),"",_xlfn.MINIFS('Issue Log'!$A$5:$A$1004,'Issue Log'!$B$5:$B$1004,B64,'Issue Log'!$F$5:$F$1004,"&gt;="&amp;1))</f>
        <v/>
      </c>
      <c r="F64" s="20" t="str">
        <f aca="false">IF(OR(B64="",N(D64)&lt;2),"",_xlfn.MINIFS('Issue Log'!$A$5:$A$1004,'Issue Log'!$B$5:$B$1004,B64,'Issue Log'!$F$5:$F$1004,"&gt;="&amp;2))</f>
        <v/>
      </c>
      <c r="G64" s="20" t="str">
        <f aca="false">IF(OR(B64="",N(D64)&lt;3),"",_xlfn.MINIFS('Issue Log'!$A$5:$A$1004,'Issue Log'!$B$5:$B$1004,B64,'Issue Log'!$F$5:$F$1004,"&gt;="&amp;3))</f>
        <v/>
      </c>
      <c r="H64" s="20" t="str">
        <f aca="false">IF(N(D64)=0,"",_xlfn.MAXIFS('Issue Log'!$A$5:$A$1004,'Issue Log'!$B$5:$B$1004,B64))</f>
        <v/>
      </c>
      <c r="I64" s="10" t="str">
        <f aca="false">IF(B64="","",IF(D64&gt;=3,"FLAG",IF(D64=0,"Not issued","OK")))</f>
        <v/>
      </c>
      <c r="J64" s="29" t="str">
        <f aca="false">IF(I64="FLAG",COUNTIF($I$5:I64,"FLAG"),"")</f>
        <v/>
      </c>
    </row>
    <row r="65" customFormat="false" ht="15" hidden="false" customHeight="false" outlineLevel="0" collapsed="false">
      <c r="A65" s="27" t="n">
        <v>61</v>
      </c>
      <c r="B65" s="28"/>
      <c r="C65" s="22"/>
      <c r="D65" s="10" t="str">
        <f aca="false">IF(B65="","",SUMIFS('Issue Log'!$D$5:$D$1004,'Issue Log'!$B$5:$B$1004,B65))</f>
        <v/>
      </c>
      <c r="E65" s="20" t="str">
        <f aca="false">IF(OR(B65="",N(D65)&lt;1),"",_xlfn.MINIFS('Issue Log'!$A$5:$A$1004,'Issue Log'!$B$5:$B$1004,B65,'Issue Log'!$F$5:$F$1004,"&gt;="&amp;1))</f>
        <v/>
      </c>
      <c r="F65" s="20" t="str">
        <f aca="false">IF(OR(B65="",N(D65)&lt;2),"",_xlfn.MINIFS('Issue Log'!$A$5:$A$1004,'Issue Log'!$B$5:$B$1004,B65,'Issue Log'!$F$5:$F$1004,"&gt;="&amp;2))</f>
        <v/>
      </c>
      <c r="G65" s="20" t="str">
        <f aca="false">IF(OR(B65="",N(D65)&lt;3),"",_xlfn.MINIFS('Issue Log'!$A$5:$A$1004,'Issue Log'!$B$5:$B$1004,B65,'Issue Log'!$F$5:$F$1004,"&gt;="&amp;3))</f>
        <v/>
      </c>
      <c r="H65" s="20" t="str">
        <f aca="false">IF(N(D65)=0,"",_xlfn.MAXIFS('Issue Log'!$A$5:$A$1004,'Issue Log'!$B$5:$B$1004,B65))</f>
        <v/>
      </c>
      <c r="I65" s="10" t="str">
        <f aca="false">IF(B65="","",IF(D65&gt;=3,"FLAG",IF(D65=0,"Not issued","OK")))</f>
        <v/>
      </c>
      <c r="J65" s="29" t="str">
        <f aca="false">IF(I65="FLAG",COUNTIF($I$5:I65,"FLAG"),"")</f>
        <v/>
      </c>
    </row>
    <row r="66" customFormat="false" ht="15" hidden="false" customHeight="false" outlineLevel="0" collapsed="false">
      <c r="A66" s="27" t="n">
        <v>62</v>
      </c>
      <c r="B66" s="28"/>
      <c r="C66" s="22"/>
      <c r="D66" s="10" t="str">
        <f aca="false">IF(B66="","",SUMIFS('Issue Log'!$D$5:$D$1004,'Issue Log'!$B$5:$B$1004,B66))</f>
        <v/>
      </c>
      <c r="E66" s="20" t="str">
        <f aca="false">IF(OR(B66="",N(D66)&lt;1),"",_xlfn.MINIFS('Issue Log'!$A$5:$A$1004,'Issue Log'!$B$5:$B$1004,B66,'Issue Log'!$F$5:$F$1004,"&gt;="&amp;1))</f>
        <v/>
      </c>
      <c r="F66" s="20" t="str">
        <f aca="false">IF(OR(B66="",N(D66)&lt;2),"",_xlfn.MINIFS('Issue Log'!$A$5:$A$1004,'Issue Log'!$B$5:$B$1004,B66,'Issue Log'!$F$5:$F$1004,"&gt;="&amp;2))</f>
        <v/>
      </c>
      <c r="G66" s="20" t="str">
        <f aca="false">IF(OR(B66="",N(D66)&lt;3),"",_xlfn.MINIFS('Issue Log'!$A$5:$A$1004,'Issue Log'!$B$5:$B$1004,B66,'Issue Log'!$F$5:$F$1004,"&gt;="&amp;3))</f>
        <v/>
      </c>
      <c r="H66" s="20" t="str">
        <f aca="false">IF(N(D66)=0,"",_xlfn.MAXIFS('Issue Log'!$A$5:$A$1004,'Issue Log'!$B$5:$B$1004,B66))</f>
        <v/>
      </c>
      <c r="I66" s="10" t="str">
        <f aca="false">IF(B66="","",IF(D66&gt;=3,"FLAG",IF(D66=0,"Not issued","OK")))</f>
        <v/>
      </c>
      <c r="J66" s="29" t="str">
        <f aca="false">IF(I66="FLAG",COUNTIF($I$5:I66,"FLAG"),"")</f>
        <v/>
      </c>
    </row>
    <row r="67" customFormat="false" ht="15" hidden="false" customHeight="false" outlineLevel="0" collapsed="false">
      <c r="A67" s="27" t="n">
        <v>63</v>
      </c>
      <c r="B67" s="28"/>
      <c r="C67" s="22"/>
      <c r="D67" s="10" t="str">
        <f aca="false">IF(B67="","",SUMIFS('Issue Log'!$D$5:$D$1004,'Issue Log'!$B$5:$B$1004,B67))</f>
        <v/>
      </c>
      <c r="E67" s="20" t="str">
        <f aca="false">IF(OR(B67="",N(D67)&lt;1),"",_xlfn.MINIFS('Issue Log'!$A$5:$A$1004,'Issue Log'!$B$5:$B$1004,B67,'Issue Log'!$F$5:$F$1004,"&gt;="&amp;1))</f>
        <v/>
      </c>
      <c r="F67" s="20" t="str">
        <f aca="false">IF(OR(B67="",N(D67)&lt;2),"",_xlfn.MINIFS('Issue Log'!$A$5:$A$1004,'Issue Log'!$B$5:$B$1004,B67,'Issue Log'!$F$5:$F$1004,"&gt;="&amp;2))</f>
        <v/>
      </c>
      <c r="G67" s="20" t="str">
        <f aca="false">IF(OR(B67="",N(D67)&lt;3),"",_xlfn.MINIFS('Issue Log'!$A$5:$A$1004,'Issue Log'!$B$5:$B$1004,B67,'Issue Log'!$F$5:$F$1004,"&gt;="&amp;3))</f>
        <v/>
      </c>
      <c r="H67" s="20" t="str">
        <f aca="false">IF(N(D67)=0,"",_xlfn.MAXIFS('Issue Log'!$A$5:$A$1004,'Issue Log'!$B$5:$B$1004,B67))</f>
        <v/>
      </c>
      <c r="I67" s="10" t="str">
        <f aca="false">IF(B67="","",IF(D67&gt;=3,"FLAG",IF(D67=0,"Not issued","OK")))</f>
        <v/>
      </c>
      <c r="J67" s="29" t="str">
        <f aca="false">IF(I67="FLAG",COUNTIF($I$5:I67,"FLAG"),"")</f>
        <v/>
      </c>
    </row>
    <row r="68" customFormat="false" ht="15" hidden="false" customHeight="false" outlineLevel="0" collapsed="false">
      <c r="A68" s="27" t="n">
        <v>64</v>
      </c>
      <c r="B68" s="28"/>
      <c r="C68" s="22"/>
      <c r="D68" s="10" t="str">
        <f aca="false">IF(B68="","",SUMIFS('Issue Log'!$D$5:$D$1004,'Issue Log'!$B$5:$B$1004,B68))</f>
        <v/>
      </c>
      <c r="E68" s="20" t="str">
        <f aca="false">IF(OR(B68="",N(D68)&lt;1),"",_xlfn.MINIFS('Issue Log'!$A$5:$A$1004,'Issue Log'!$B$5:$B$1004,B68,'Issue Log'!$F$5:$F$1004,"&gt;="&amp;1))</f>
        <v/>
      </c>
      <c r="F68" s="20" t="str">
        <f aca="false">IF(OR(B68="",N(D68)&lt;2),"",_xlfn.MINIFS('Issue Log'!$A$5:$A$1004,'Issue Log'!$B$5:$B$1004,B68,'Issue Log'!$F$5:$F$1004,"&gt;="&amp;2))</f>
        <v/>
      </c>
      <c r="G68" s="20" t="str">
        <f aca="false">IF(OR(B68="",N(D68)&lt;3),"",_xlfn.MINIFS('Issue Log'!$A$5:$A$1004,'Issue Log'!$B$5:$B$1004,B68,'Issue Log'!$F$5:$F$1004,"&gt;="&amp;3))</f>
        <v/>
      </c>
      <c r="H68" s="20" t="str">
        <f aca="false">IF(N(D68)=0,"",_xlfn.MAXIFS('Issue Log'!$A$5:$A$1004,'Issue Log'!$B$5:$B$1004,B68))</f>
        <v/>
      </c>
      <c r="I68" s="10" t="str">
        <f aca="false">IF(B68="","",IF(D68&gt;=3,"FLAG",IF(D68=0,"Not issued","OK")))</f>
        <v/>
      </c>
      <c r="J68" s="29" t="str">
        <f aca="false">IF(I68="FLAG",COUNTIF($I$5:I68,"FLAG"),"")</f>
        <v/>
      </c>
    </row>
    <row r="69" customFormat="false" ht="15" hidden="false" customHeight="false" outlineLevel="0" collapsed="false">
      <c r="A69" s="27" t="n">
        <v>65</v>
      </c>
      <c r="B69" s="28"/>
      <c r="C69" s="22"/>
      <c r="D69" s="10" t="str">
        <f aca="false">IF(B69="","",SUMIFS('Issue Log'!$D$5:$D$1004,'Issue Log'!$B$5:$B$1004,B69))</f>
        <v/>
      </c>
      <c r="E69" s="20" t="str">
        <f aca="false">IF(OR(B69="",N(D69)&lt;1),"",_xlfn.MINIFS('Issue Log'!$A$5:$A$1004,'Issue Log'!$B$5:$B$1004,B69,'Issue Log'!$F$5:$F$1004,"&gt;="&amp;1))</f>
        <v/>
      </c>
      <c r="F69" s="20" t="str">
        <f aca="false">IF(OR(B69="",N(D69)&lt;2),"",_xlfn.MINIFS('Issue Log'!$A$5:$A$1004,'Issue Log'!$B$5:$B$1004,B69,'Issue Log'!$F$5:$F$1004,"&gt;="&amp;2))</f>
        <v/>
      </c>
      <c r="G69" s="20" t="str">
        <f aca="false">IF(OR(B69="",N(D69)&lt;3),"",_xlfn.MINIFS('Issue Log'!$A$5:$A$1004,'Issue Log'!$B$5:$B$1004,B69,'Issue Log'!$F$5:$F$1004,"&gt;="&amp;3))</f>
        <v/>
      </c>
      <c r="H69" s="20" t="str">
        <f aca="false">IF(N(D69)=0,"",_xlfn.MAXIFS('Issue Log'!$A$5:$A$1004,'Issue Log'!$B$5:$B$1004,B69))</f>
        <v/>
      </c>
      <c r="I69" s="10" t="str">
        <f aca="false">IF(B69="","",IF(D69&gt;=3,"FLAG",IF(D69=0,"Not issued","OK")))</f>
        <v/>
      </c>
      <c r="J69" s="29" t="str">
        <f aca="false">IF(I69="FLAG",COUNTIF($I$5:I69,"FLAG"),"")</f>
        <v/>
      </c>
    </row>
    <row r="70" customFormat="false" ht="15" hidden="false" customHeight="false" outlineLevel="0" collapsed="false">
      <c r="A70" s="27" t="n">
        <v>66</v>
      </c>
      <c r="B70" s="28"/>
      <c r="C70" s="22"/>
      <c r="D70" s="10" t="str">
        <f aca="false">IF(B70="","",SUMIFS('Issue Log'!$D$5:$D$1004,'Issue Log'!$B$5:$B$1004,B70))</f>
        <v/>
      </c>
      <c r="E70" s="20" t="str">
        <f aca="false">IF(OR(B70="",N(D70)&lt;1),"",_xlfn.MINIFS('Issue Log'!$A$5:$A$1004,'Issue Log'!$B$5:$B$1004,B70,'Issue Log'!$F$5:$F$1004,"&gt;="&amp;1))</f>
        <v/>
      </c>
      <c r="F70" s="20" t="str">
        <f aca="false">IF(OR(B70="",N(D70)&lt;2),"",_xlfn.MINIFS('Issue Log'!$A$5:$A$1004,'Issue Log'!$B$5:$B$1004,B70,'Issue Log'!$F$5:$F$1004,"&gt;="&amp;2))</f>
        <v/>
      </c>
      <c r="G70" s="20" t="str">
        <f aca="false">IF(OR(B70="",N(D70)&lt;3),"",_xlfn.MINIFS('Issue Log'!$A$5:$A$1004,'Issue Log'!$B$5:$B$1004,B70,'Issue Log'!$F$5:$F$1004,"&gt;="&amp;3))</f>
        <v/>
      </c>
      <c r="H70" s="20" t="str">
        <f aca="false">IF(N(D70)=0,"",_xlfn.MAXIFS('Issue Log'!$A$5:$A$1004,'Issue Log'!$B$5:$B$1004,B70))</f>
        <v/>
      </c>
      <c r="I70" s="10" t="str">
        <f aca="false">IF(B70="","",IF(D70&gt;=3,"FLAG",IF(D70=0,"Not issued","OK")))</f>
        <v/>
      </c>
      <c r="J70" s="29" t="str">
        <f aca="false">IF(I70="FLAG",COUNTIF($I$5:I70,"FLAG"),"")</f>
        <v/>
      </c>
    </row>
    <row r="71" customFormat="false" ht="15" hidden="false" customHeight="false" outlineLevel="0" collapsed="false">
      <c r="A71" s="27" t="n">
        <v>67</v>
      </c>
      <c r="B71" s="28"/>
      <c r="C71" s="22"/>
      <c r="D71" s="10" t="str">
        <f aca="false">IF(B71="","",SUMIFS('Issue Log'!$D$5:$D$1004,'Issue Log'!$B$5:$B$1004,B71))</f>
        <v/>
      </c>
      <c r="E71" s="20" t="str">
        <f aca="false">IF(OR(B71="",N(D71)&lt;1),"",_xlfn.MINIFS('Issue Log'!$A$5:$A$1004,'Issue Log'!$B$5:$B$1004,B71,'Issue Log'!$F$5:$F$1004,"&gt;="&amp;1))</f>
        <v/>
      </c>
      <c r="F71" s="20" t="str">
        <f aca="false">IF(OR(B71="",N(D71)&lt;2),"",_xlfn.MINIFS('Issue Log'!$A$5:$A$1004,'Issue Log'!$B$5:$B$1004,B71,'Issue Log'!$F$5:$F$1004,"&gt;="&amp;2))</f>
        <v/>
      </c>
      <c r="G71" s="20" t="str">
        <f aca="false">IF(OR(B71="",N(D71)&lt;3),"",_xlfn.MINIFS('Issue Log'!$A$5:$A$1004,'Issue Log'!$B$5:$B$1004,B71,'Issue Log'!$F$5:$F$1004,"&gt;="&amp;3))</f>
        <v/>
      </c>
      <c r="H71" s="20" t="str">
        <f aca="false">IF(N(D71)=0,"",_xlfn.MAXIFS('Issue Log'!$A$5:$A$1004,'Issue Log'!$B$5:$B$1004,B71))</f>
        <v/>
      </c>
      <c r="I71" s="10" t="str">
        <f aca="false">IF(B71="","",IF(D71&gt;=3,"FLAG",IF(D71=0,"Not issued","OK")))</f>
        <v/>
      </c>
      <c r="J71" s="29" t="str">
        <f aca="false">IF(I71="FLAG",COUNTIF($I$5:I71,"FLAG"),"")</f>
        <v/>
      </c>
    </row>
    <row r="72" customFormat="false" ht="15" hidden="false" customHeight="false" outlineLevel="0" collapsed="false">
      <c r="A72" s="27" t="n">
        <v>68</v>
      </c>
      <c r="B72" s="28"/>
      <c r="C72" s="22"/>
      <c r="D72" s="10" t="str">
        <f aca="false">IF(B72="","",SUMIFS('Issue Log'!$D$5:$D$1004,'Issue Log'!$B$5:$B$1004,B72))</f>
        <v/>
      </c>
      <c r="E72" s="20" t="str">
        <f aca="false">IF(OR(B72="",N(D72)&lt;1),"",_xlfn.MINIFS('Issue Log'!$A$5:$A$1004,'Issue Log'!$B$5:$B$1004,B72,'Issue Log'!$F$5:$F$1004,"&gt;="&amp;1))</f>
        <v/>
      </c>
      <c r="F72" s="20" t="str">
        <f aca="false">IF(OR(B72="",N(D72)&lt;2),"",_xlfn.MINIFS('Issue Log'!$A$5:$A$1004,'Issue Log'!$B$5:$B$1004,B72,'Issue Log'!$F$5:$F$1004,"&gt;="&amp;2))</f>
        <v/>
      </c>
      <c r="G72" s="20" t="str">
        <f aca="false">IF(OR(B72="",N(D72)&lt;3),"",_xlfn.MINIFS('Issue Log'!$A$5:$A$1004,'Issue Log'!$B$5:$B$1004,B72,'Issue Log'!$F$5:$F$1004,"&gt;="&amp;3))</f>
        <v/>
      </c>
      <c r="H72" s="20" t="str">
        <f aca="false">IF(N(D72)=0,"",_xlfn.MAXIFS('Issue Log'!$A$5:$A$1004,'Issue Log'!$B$5:$B$1004,B72))</f>
        <v/>
      </c>
      <c r="I72" s="10" t="str">
        <f aca="false">IF(B72="","",IF(D72&gt;=3,"FLAG",IF(D72=0,"Not issued","OK")))</f>
        <v/>
      </c>
      <c r="J72" s="29" t="str">
        <f aca="false">IF(I72="FLAG",COUNTIF($I$5:I72,"FLAG"),"")</f>
        <v/>
      </c>
    </row>
    <row r="73" customFormat="false" ht="15" hidden="false" customHeight="false" outlineLevel="0" collapsed="false">
      <c r="A73" s="27" t="n">
        <v>69</v>
      </c>
      <c r="B73" s="28"/>
      <c r="C73" s="22"/>
      <c r="D73" s="10" t="str">
        <f aca="false">IF(B73="","",SUMIFS('Issue Log'!$D$5:$D$1004,'Issue Log'!$B$5:$B$1004,B73))</f>
        <v/>
      </c>
      <c r="E73" s="20" t="str">
        <f aca="false">IF(OR(B73="",N(D73)&lt;1),"",_xlfn.MINIFS('Issue Log'!$A$5:$A$1004,'Issue Log'!$B$5:$B$1004,B73,'Issue Log'!$F$5:$F$1004,"&gt;="&amp;1))</f>
        <v/>
      </c>
      <c r="F73" s="20" t="str">
        <f aca="false">IF(OR(B73="",N(D73)&lt;2),"",_xlfn.MINIFS('Issue Log'!$A$5:$A$1004,'Issue Log'!$B$5:$B$1004,B73,'Issue Log'!$F$5:$F$1004,"&gt;="&amp;2))</f>
        <v/>
      </c>
      <c r="G73" s="20" t="str">
        <f aca="false">IF(OR(B73="",N(D73)&lt;3),"",_xlfn.MINIFS('Issue Log'!$A$5:$A$1004,'Issue Log'!$B$5:$B$1004,B73,'Issue Log'!$F$5:$F$1004,"&gt;="&amp;3))</f>
        <v/>
      </c>
      <c r="H73" s="20" t="str">
        <f aca="false">IF(N(D73)=0,"",_xlfn.MAXIFS('Issue Log'!$A$5:$A$1004,'Issue Log'!$B$5:$B$1004,B73))</f>
        <v/>
      </c>
      <c r="I73" s="10" t="str">
        <f aca="false">IF(B73="","",IF(D73&gt;=3,"FLAG",IF(D73=0,"Not issued","OK")))</f>
        <v/>
      </c>
      <c r="J73" s="29" t="str">
        <f aca="false">IF(I73="FLAG",COUNTIF($I$5:I73,"FLAG"),"")</f>
        <v/>
      </c>
    </row>
    <row r="74" customFormat="false" ht="15" hidden="false" customHeight="false" outlineLevel="0" collapsed="false">
      <c r="A74" s="27" t="n">
        <v>70</v>
      </c>
      <c r="B74" s="28"/>
      <c r="C74" s="22"/>
      <c r="D74" s="10" t="str">
        <f aca="false">IF(B74="","",SUMIFS('Issue Log'!$D$5:$D$1004,'Issue Log'!$B$5:$B$1004,B74))</f>
        <v/>
      </c>
      <c r="E74" s="20" t="str">
        <f aca="false">IF(OR(B74="",N(D74)&lt;1),"",_xlfn.MINIFS('Issue Log'!$A$5:$A$1004,'Issue Log'!$B$5:$B$1004,B74,'Issue Log'!$F$5:$F$1004,"&gt;="&amp;1))</f>
        <v/>
      </c>
      <c r="F74" s="20" t="str">
        <f aca="false">IF(OR(B74="",N(D74)&lt;2),"",_xlfn.MINIFS('Issue Log'!$A$5:$A$1004,'Issue Log'!$B$5:$B$1004,B74,'Issue Log'!$F$5:$F$1004,"&gt;="&amp;2))</f>
        <v/>
      </c>
      <c r="G74" s="20" t="str">
        <f aca="false">IF(OR(B74="",N(D74)&lt;3),"",_xlfn.MINIFS('Issue Log'!$A$5:$A$1004,'Issue Log'!$B$5:$B$1004,B74,'Issue Log'!$F$5:$F$1004,"&gt;="&amp;3))</f>
        <v/>
      </c>
      <c r="H74" s="20" t="str">
        <f aca="false">IF(N(D74)=0,"",_xlfn.MAXIFS('Issue Log'!$A$5:$A$1004,'Issue Log'!$B$5:$B$1004,B74))</f>
        <v/>
      </c>
      <c r="I74" s="10" t="str">
        <f aca="false">IF(B74="","",IF(D74&gt;=3,"FLAG",IF(D74=0,"Not issued","OK")))</f>
        <v/>
      </c>
      <c r="J74" s="29" t="str">
        <f aca="false">IF(I74="FLAG",COUNTIF($I$5:I74,"FLAG"),"")</f>
        <v/>
      </c>
    </row>
    <row r="75" customFormat="false" ht="15" hidden="false" customHeight="false" outlineLevel="0" collapsed="false">
      <c r="A75" s="27" t="n">
        <v>71</v>
      </c>
      <c r="B75" s="28"/>
      <c r="C75" s="22"/>
      <c r="D75" s="10" t="str">
        <f aca="false">IF(B75="","",SUMIFS('Issue Log'!$D$5:$D$1004,'Issue Log'!$B$5:$B$1004,B75))</f>
        <v/>
      </c>
      <c r="E75" s="20" t="str">
        <f aca="false">IF(OR(B75="",N(D75)&lt;1),"",_xlfn.MINIFS('Issue Log'!$A$5:$A$1004,'Issue Log'!$B$5:$B$1004,B75,'Issue Log'!$F$5:$F$1004,"&gt;="&amp;1))</f>
        <v/>
      </c>
      <c r="F75" s="20" t="str">
        <f aca="false">IF(OR(B75="",N(D75)&lt;2),"",_xlfn.MINIFS('Issue Log'!$A$5:$A$1004,'Issue Log'!$B$5:$B$1004,B75,'Issue Log'!$F$5:$F$1004,"&gt;="&amp;2))</f>
        <v/>
      </c>
      <c r="G75" s="20" t="str">
        <f aca="false">IF(OR(B75="",N(D75)&lt;3),"",_xlfn.MINIFS('Issue Log'!$A$5:$A$1004,'Issue Log'!$B$5:$B$1004,B75,'Issue Log'!$F$5:$F$1004,"&gt;="&amp;3))</f>
        <v/>
      </c>
      <c r="H75" s="20" t="str">
        <f aca="false">IF(N(D75)=0,"",_xlfn.MAXIFS('Issue Log'!$A$5:$A$1004,'Issue Log'!$B$5:$B$1004,B75))</f>
        <v/>
      </c>
      <c r="I75" s="10" t="str">
        <f aca="false">IF(B75="","",IF(D75&gt;=3,"FLAG",IF(D75=0,"Not issued","OK")))</f>
        <v/>
      </c>
      <c r="J75" s="29" t="str">
        <f aca="false">IF(I75="FLAG",COUNTIF($I$5:I75,"FLAG"),"")</f>
        <v/>
      </c>
    </row>
    <row r="76" customFormat="false" ht="15" hidden="false" customHeight="false" outlineLevel="0" collapsed="false">
      <c r="A76" s="27" t="n">
        <v>72</v>
      </c>
      <c r="B76" s="28"/>
      <c r="C76" s="22"/>
      <c r="D76" s="10" t="str">
        <f aca="false">IF(B76="","",SUMIFS('Issue Log'!$D$5:$D$1004,'Issue Log'!$B$5:$B$1004,B76))</f>
        <v/>
      </c>
      <c r="E76" s="20" t="str">
        <f aca="false">IF(OR(B76="",N(D76)&lt;1),"",_xlfn.MINIFS('Issue Log'!$A$5:$A$1004,'Issue Log'!$B$5:$B$1004,B76,'Issue Log'!$F$5:$F$1004,"&gt;="&amp;1))</f>
        <v/>
      </c>
      <c r="F76" s="20" t="str">
        <f aca="false">IF(OR(B76="",N(D76)&lt;2),"",_xlfn.MINIFS('Issue Log'!$A$5:$A$1004,'Issue Log'!$B$5:$B$1004,B76,'Issue Log'!$F$5:$F$1004,"&gt;="&amp;2))</f>
        <v/>
      </c>
      <c r="G76" s="20" t="str">
        <f aca="false">IF(OR(B76="",N(D76)&lt;3),"",_xlfn.MINIFS('Issue Log'!$A$5:$A$1004,'Issue Log'!$B$5:$B$1004,B76,'Issue Log'!$F$5:$F$1004,"&gt;="&amp;3))</f>
        <v/>
      </c>
      <c r="H76" s="20" t="str">
        <f aca="false">IF(N(D76)=0,"",_xlfn.MAXIFS('Issue Log'!$A$5:$A$1004,'Issue Log'!$B$5:$B$1004,B76))</f>
        <v/>
      </c>
      <c r="I76" s="10" t="str">
        <f aca="false">IF(B76="","",IF(D76&gt;=3,"FLAG",IF(D76=0,"Not issued","OK")))</f>
        <v/>
      </c>
      <c r="J76" s="29" t="str">
        <f aca="false">IF(I76="FLAG",COUNTIF($I$5:I76,"FLAG"),"")</f>
        <v/>
      </c>
    </row>
    <row r="77" customFormat="false" ht="15" hidden="false" customHeight="false" outlineLevel="0" collapsed="false">
      <c r="A77" s="27" t="n">
        <v>73</v>
      </c>
      <c r="B77" s="28"/>
      <c r="C77" s="22"/>
      <c r="D77" s="10" t="str">
        <f aca="false">IF(B77="","",SUMIFS('Issue Log'!$D$5:$D$1004,'Issue Log'!$B$5:$B$1004,B77))</f>
        <v/>
      </c>
      <c r="E77" s="20" t="str">
        <f aca="false">IF(OR(B77="",N(D77)&lt;1),"",_xlfn.MINIFS('Issue Log'!$A$5:$A$1004,'Issue Log'!$B$5:$B$1004,B77,'Issue Log'!$F$5:$F$1004,"&gt;="&amp;1))</f>
        <v/>
      </c>
      <c r="F77" s="20" t="str">
        <f aca="false">IF(OR(B77="",N(D77)&lt;2),"",_xlfn.MINIFS('Issue Log'!$A$5:$A$1004,'Issue Log'!$B$5:$B$1004,B77,'Issue Log'!$F$5:$F$1004,"&gt;="&amp;2))</f>
        <v/>
      </c>
      <c r="G77" s="20" t="str">
        <f aca="false">IF(OR(B77="",N(D77)&lt;3),"",_xlfn.MINIFS('Issue Log'!$A$5:$A$1004,'Issue Log'!$B$5:$B$1004,B77,'Issue Log'!$F$5:$F$1004,"&gt;="&amp;3))</f>
        <v/>
      </c>
      <c r="H77" s="20" t="str">
        <f aca="false">IF(N(D77)=0,"",_xlfn.MAXIFS('Issue Log'!$A$5:$A$1004,'Issue Log'!$B$5:$B$1004,B77))</f>
        <v/>
      </c>
      <c r="I77" s="10" t="str">
        <f aca="false">IF(B77="","",IF(D77&gt;=3,"FLAG",IF(D77=0,"Not issued","OK")))</f>
        <v/>
      </c>
      <c r="J77" s="29" t="str">
        <f aca="false">IF(I77="FLAG",COUNTIF($I$5:I77,"FLAG"),"")</f>
        <v/>
      </c>
    </row>
    <row r="78" customFormat="false" ht="15" hidden="false" customHeight="false" outlineLevel="0" collapsed="false">
      <c r="A78" s="27" t="n">
        <v>74</v>
      </c>
      <c r="B78" s="28"/>
      <c r="C78" s="22"/>
      <c r="D78" s="10" t="str">
        <f aca="false">IF(B78="","",SUMIFS('Issue Log'!$D$5:$D$1004,'Issue Log'!$B$5:$B$1004,B78))</f>
        <v/>
      </c>
      <c r="E78" s="20" t="str">
        <f aca="false">IF(OR(B78="",N(D78)&lt;1),"",_xlfn.MINIFS('Issue Log'!$A$5:$A$1004,'Issue Log'!$B$5:$B$1004,B78,'Issue Log'!$F$5:$F$1004,"&gt;="&amp;1))</f>
        <v/>
      </c>
      <c r="F78" s="20" t="str">
        <f aca="false">IF(OR(B78="",N(D78)&lt;2),"",_xlfn.MINIFS('Issue Log'!$A$5:$A$1004,'Issue Log'!$B$5:$B$1004,B78,'Issue Log'!$F$5:$F$1004,"&gt;="&amp;2))</f>
        <v/>
      </c>
      <c r="G78" s="20" t="str">
        <f aca="false">IF(OR(B78="",N(D78)&lt;3),"",_xlfn.MINIFS('Issue Log'!$A$5:$A$1004,'Issue Log'!$B$5:$B$1004,B78,'Issue Log'!$F$5:$F$1004,"&gt;="&amp;3))</f>
        <v/>
      </c>
      <c r="H78" s="20" t="str">
        <f aca="false">IF(N(D78)=0,"",_xlfn.MAXIFS('Issue Log'!$A$5:$A$1004,'Issue Log'!$B$5:$B$1004,B78))</f>
        <v/>
      </c>
      <c r="I78" s="10" t="str">
        <f aca="false">IF(B78="","",IF(D78&gt;=3,"FLAG",IF(D78=0,"Not issued","OK")))</f>
        <v/>
      </c>
      <c r="J78" s="29" t="str">
        <f aca="false">IF(I78="FLAG",COUNTIF($I$5:I78,"FLAG"),"")</f>
        <v/>
      </c>
    </row>
    <row r="79" customFormat="false" ht="15" hidden="false" customHeight="false" outlineLevel="0" collapsed="false">
      <c r="A79" s="27" t="n">
        <v>75</v>
      </c>
      <c r="B79" s="28"/>
      <c r="C79" s="22"/>
      <c r="D79" s="10" t="str">
        <f aca="false">IF(B79="","",SUMIFS('Issue Log'!$D$5:$D$1004,'Issue Log'!$B$5:$B$1004,B79))</f>
        <v/>
      </c>
      <c r="E79" s="20" t="str">
        <f aca="false">IF(OR(B79="",N(D79)&lt;1),"",_xlfn.MINIFS('Issue Log'!$A$5:$A$1004,'Issue Log'!$B$5:$B$1004,B79,'Issue Log'!$F$5:$F$1004,"&gt;="&amp;1))</f>
        <v/>
      </c>
      <c r="F79" s="20" t="str">
        <f aca="false">IF(OR(B79="",N(D79)&lt;2),"",_xlfn.MINIFS('Issue Log'!$A$5:$A$1004,'Issue Log'!$B$5:$B$1004,B79,'Issue Log'!$F$5:$F$1004,"&gt;="&amp;2))</f>
        <v/>
      </c>
      <c r="G79" s="20" t="str">
        <f aca="false">IF(OR(B79="",N(D79)&lt;3),"",_xlfn.MINIFS('Issue Log'!$A$5:$A$1004,'Issue Log'!$B$5:$B$1004,B79,'Issue Log'!$F$5:$F$1004,"&gt;="&amp;3))</f>
        <v/>
      </c>
      <c r="H79" s="20" t="str">
        <f aca="false">IF(N(D79)=0,"",_xlfn.MAXIFS('Issue Log'!$A$5:$A$1004,'Issue Log'!$B$5:$B$1004,B79))</f>
        <v/>
      </c>
      <c r="I79" s="10" t="str">
        <f aca="false">IF(B79="","",IF(D79&gt;=3,"FLAG",IF(D79=0,"Not issued","OK")))</f>
        <v/>
      </c>
      <c r="J79" s="29" t="str">
        <f aca="false">IF(I79="FLAG",COUNTIF($I$5:I79,"FLAG"),"")</f>
        <v/>
      </c>
    </row>
    <row r="80" customFormat="false" ht="15" hidden="false" customHeight="false" outlineLevel="0" collapsed="false">
      <c r="A80" s="27" t="n">
        <v>76</v>
      </c>
      <c r="B80" s="28"/>
      <c r="C80" s="22"/>
      <c r="D80" s="10" t="str">
        <f aca="false">IF(B80="","",SUMIFS('Issue Log'!$D$5:$D$1004,'Issue Log'!$B$5:$B$1004,B80))</f>
        <v/>
      </c>
      <c r="E80" s="20" t="str">
        <f aca="false">IF(OR(B80="",N(D80)&lt;1),"",_xlfn.MINIFS('Issue Log'!$A$5:$A$1004,'Issue Log'!$B$5:$B$1004,B80,'Issue Log'!$F$5:$F$1004,"&gt;="&amp;1))</f>
        <v/>
      </c>
      <c r="F80" s="20" t="str">
        <f aca="false">IF(OR(B80="",N(D80)&lt;2),"",_xlfn.MINIFS('Issue Log'!$A$5:$A$1004,'Issue Log'!$B$5:$B$1004,B80,'Issue Log'!$F$5:$F$1004,"&gt;="&amp;2))</f>
        <v/>
      </c>
      <c r="G80" s="20" t="str">
        <f aca="false">IF(OR(B80="",N(D80)&lt;3),"",_xlfn.MINIFS('Issue Log'!$A$5:$A$1004,'Issue Log'!$B$5:$B$1004,B80,'Issue Log'!$F$5:$F$1004,"&gt;="&amp;3))</f>
        <v/>
      </c>
      <c r="H80" s="20" t="str">
        <f aca="false">IF(N(D80)=0,"",_xlfn.MAXIFS('Issue Log'!$A$5:$A$1004,'Issue Log'!$B$5:$B$1004,B80))</f>
        <v/>
      </c>
      <c r="I80" s="10" t="str">
        <f aca="false">IF(B80="","",IF(D80&gt;=3,"FLAG",IF(D80=0,"Not issued","OK")))</f>
        <v/>
      </c>
      <c r="J80" s="29" t="str">
        <f aca="false">IF(I80="FLAG",COUNTIF($I$5:I80,"FLAG"),"")</f>
        <v/>
      </c>
    </row>
    <row r="81" customFormat="false" ht="15" hidden="false" customHeight="false" outlineLevel="0" collapsed="false">
      <c r="A81" s="27" t="n">
        <v>77</v>
      </c>
      <c r="B81" s="28"/>
      <c r="C81" s="22"/>
      <c r="D81" s="10" t="str">
        <f aca="false">IF(B81="","",SUMIFS('Issue Log'!$D$5:$D$1004,'Issue Log'!$B$5:$B$1004,B81))</f>
        <v/>
      </c>
      <c r="E81" s="20" t="str">
        <f aca="false">IF(OR(B81="",N(D81)&lt;1),"",_xlfn.MINIFS('Issue Log'!$A$5:$A$1004,'Issue Log'!$B$5:$B$1004,B81,'Issue Log'!$F$5:$F$1004,"&gt;="&amp;1))</f>
        <v/>
      </c>
      <c r="F81" s="20" t="str">
        <f aca="false">IF(OR(B81="",N(D81)&lt;2),"",_xlfn.MINIFS('Issue Log'!$A$5:$A$1004,'Issue Log'!$B$5:$B$1004,B81,'Issue Log'!$F$5:$F$1004,"&gt;="&amp;2))</f>
        <v/>
      </c>
      <c r="G81" s="20" t="str">
        <f aca="false">IF(OR(B81="",N(D81)&lt;3),"",_xlfn.MINIFS('Issue Log'!$A$5:$A$1004,'Issue Log'!$B$5:$B$1004,B81,'Issue Log'!$F$5:$F$1004,"&gt;="&amp;3))</f>
        <v/>
      </c>
      <c r="H81" s="20" t="str">
        <f aca="false">IF(N(D81)=0,"",_xlfn.MAXIFS('Issue Log'!$A$5:$A$1004,'Issue Log'!$B$5:$B$1004,B81))</f>
        <v/>
      </c>
      <c r="I81" s="10" t="str">
        <f aca="false">IF(B81="","",IF(D81&gt;=3,"FLAG",IF(D81=0,"Not issued","OK")))</f>
        <v/>
      </c>
      <c r="J81" s="29" t="str">
        <f aca="false">IF(I81="FLAG",COUNTIF($I$5:I81,"FLAG"),"")</f>
        <v/>
      </c>
    </row>
    <row r="82" customFormat="false" ht="15" hidden="false" customHeight="false" outlineLevel="0" collapsed="false">
      <c r="A82" s="27" t="n">
        <v>78</v>
      </c>
      <c r="B82" s="28"/>
      <c r="C82" s="22"/>
      <c r="D82" s="10" t="str">
        <f aca="false">IF(B82="","",SUMIFS('Issue Log'!$D$5:$D$1004,'Issue Log'!$B$5:$B$1004,B82))</f>
        <v/>
      </c>
      <c r="E82" s="20" t="str">
        <f aca="false">IF(OR(B82="",N(D82)&lt;1),"",_xlfn.MINIFS('Issue Log'!$A$5:$A$1004,'Issue Log'!$B$5:$B$1004,B82,'Issue Log'!$F$5:$F$1004,"&gt;="&amp;1))</f>
        <v/>
      </c>
      <c r="F82" s="20" t="str">
        <f aca="false">IF(OR(B82="",N(D82)&lt;2),"",_xlfn.MINIFS('Issue Log'!$A$5:$A$1004,'Issue Log'!$B$5:$B$1004,B82,'Issue Log'!$F$5:$F$1004,"&gt;="&amp;2))</f>
        <v/>
      </c>
      <c r="G82" s="20" t="str">
        <f aca="false">IF(OR(B82="",N(D82)&lt;3),"",_xlfn.MINIFS('Issue Log'!$A$5:$A$1004,'Issue Log'!$B$5:$B$1004,B82,'Issue Log'!$F$5:$F$1004,"&gt;="&amp;3))</f>
        <v/>
      </c>
      <c r="H82" s="20" t="str">
        <f aca="false">IF(N(D82)=0,"",_xlfn.MAXIFS('Issue Log'!$A$5:$A$1004,'Issue Log'!$B$5:$B$1004,B82))</f>
        <v/>
      </c>
      <c r="I82" s="10" t="str">
        <f aca="false">IF(B82="","",IF(D82&gt;=3,"FLAG",IF(D82=0,"Not issued","OK")))</f>
        <v/>
      </c>
      <c r="J82" s="29" t="str">
        <f aca="false">IF(I82="FLAG",COUNTIF($I$5:I82,"FLAG"),"")</f>
        <v/>
      </c>
    </row>
    <row r="83" customFormat="false" ht="15" hidden="false" customHeight="false" outlineLevel="0" collapsed="false">
      <c r="A83" s="27" t="n">
        <v>79</v>
      </c>
      <c r="B83" s="28"/>
      <c r="C83" s="22"/>
      <c r="D83" s="10" t="str">
        <f aca="false">IF(B83="","",SUMIFS('Issue Log'!$D$5:$D$1004,'Issue Log'!$B$5:$B$1004,B83))</f>
        <v/>
      </c>
      <c r="E83" s="20" t="str">
        <f aca="false">IF(OR(B83="",N(D83)&lt;1),"",_xlfn.MINIFS('Issue Log'!$A$5:$A$1004,'Issue Log'!$B$5:$B$1004,B83,'Issue Log'!$F$5:$F$1004,"&gt;="&amp;1))</f>
        <v/>
      </c>
      <c r="F83" s="20" t="str">
        <f aca="false">IF(OR(B83="",N(D83)&lt;2),"",_xlfn.MINIFS('Issue Log'!$A$5:$A$1004,'Issue Log'!$B$5:$B$1004,B83,'Issue Log'!$F$5:$F$1004,"&gt;="&amp;2))</f>
        <v/>
      </c>
      <c r="G83" s="20" t="str">
        <f aca="false">IF(OR(B83="",N(D83)&lt;3),"",_xlfn.MINIFS('Issue Log'!$A$5:$A$1004,'Issue Log'!$B$5:$B$1004,B83,'Issue Log'!$F$5:$F$1004,"&gt;="&amp;3))</f>
        <v/>
      </c>
      <c r="H83" s="20" t="str">
        <f aca="false">IF(N(D83)=0,"",_xlfn.MAXIFS('Issue Log'!$A$5:$A$1004,'Issue Log'!$B$5:$B$1004,B83))</f>
        <v/>
      </c>
      <c r="I83" s="10" t="str">
        <f aca="false">IF(B83="","",IF(D83&gt;=3,"FLAG",IF(D83=0,"Not issued","OK")))</f>
        <v/>
      </c>
      <c r="J83" s="29" t="str">
        <f aca="false">IF(I83="FLAG",COUNTIF($I$5:I83,"FLAG"),"")</f>
        <v/>
      </c>
    </row>
    <row r="84" customFormat="false" ht="15" hidden="false" customHeight="false" outlineLevel="0" collapsed="false">
      <c r="A84" s="27" t="n">
        <v>80</v>
      </c>
      <c r="B84" s="28"/>
      <c r="C84" s="22"/>
      <c r="D84" s="10" t="str">
        <f aca="false">IF(B84="","",SUMIFS('Issue Log'!$D$5:$D$1004,'Issue Log'!$B$5:$B$1004,B84))</f>
        <v/>
      </c>
      <c r="E84" s="20" t="str">
        <f aca="false">IF(OR(B84="",N(D84)&lt;1),"",_xlfn.MINIFS('Issue Log'!$A$5:$A$1004,'Issue Log'!$B$5:$B$1004,B84,'Issue Log'!$F$5:$F$1004,"&gt;="&amp;1))</f>
        <v/>
      </c>
      <c r="F84" s="20" t="str">
        <f aca="false">IF(OR(B84="",N(D84)&lt;2),"",_xlfn.MINIFS('Issue Log'!$A$5:$A$1004,'Issue Log'!$B$5:$B$1004,B84,'Issue Log'!$F$5:$F$1004,"&gt;="&amp;2))</f>
        <v/>
      </c>
      <c r="G84" s="20" t="str">
        <f aca="false">IF(OR(B84="",N(D84)&lt;3),"",_xlfn.MINIFS('Issue Log'!$A$5:$A$1004,'Issue Log'!$B$5:$B$1004,B84,'Issue Log'!$F$5:$F$1004,"&gt;="&amp;3))</f>
        <v/>
      </c>
      <c r="H84" s="20" t="str">
        <f aca="false">IF(N(D84)=0,"",_xlfn.MAXIFS('Issue Log'!$A$5:$A$1004,'Issue Log'!$B$5:$B$1004,B84))</f>
        <v/>
      </c>
      <c r="I84" s="10" t="str">
        <f aca="false">IF(B84="","",IF(D84&gt;=3,"FLAG",IF(D84=0,"Not issued","OK")))</f>
        <v/>
      </c>
      <c r="J84" s="29" t="str">
        <f aca="false">IF(I84="FLAG",COUNTIF($I$5:I84,"FLAG"),"")</f>
        <v/>
      </c>
    </row>
    <row r="85" customFormat="false" ht="15" hidden="false" customHeight="false" outlineLevel="0" collapsed="false">
      <c r="A85" s="27" t="n">
        <v>81</v>
      </c>
      <c r="B85" s="28"/>
      <c r="C85" s="22"/>
      <c r="D85" s="10" t="str">
        <f aca="false">IF(B85="","",SUMIFS('Issue Log'!$D$5:$D$1004,'Issue Log'!$B$5:$B$1004,B85))</f>
        <v/>
      </c>
      <c r="E85" s="20" t="str">
        <f aca="false">IF(OR(B85="",N(D85)&lt;1),"",_xlfn.MINIFS('Issue Log'!$A$5:$A$1004,'Issue Log'!$B$5:$B$1004,B85,'Issue Log'!$F$5:$F$1004,"&gt;="&amp;1))</f>
        <v/>
      </c>
      <c r="F85" s="20" t="str">
        <f aca="false">IF(OR(B85="",N(D85)&lt;2),"",_xlfn.MINIFS('Issue Log'!$A$5:$A$1004,'Issue Log'!$B$5:$B$1004,B85,'Issue Log'!$F$5:$F$1004,"&gt;="&amp;2))</f>
        <v/>
      </c>
      <c r="G85" s="20" t="str">
        <f aca="false">IF(OR(B85="",N(D85)&lt;3),"",_xlfn.MINIFS('Issue Log'!$A$5:$A$1004,'Issue Log'!$B$5:$B$1004,B85,'Issue Log'!$F$5:$F$1004,"&gt;="&amp;3))</f>
        <v/>
      </c>
      <c r="H85" s="20" t="str">
        <f aca="false">IF(N(D85)=0,"",_xlfn.MAXIFS('Issue Log'!$A$5:$A$1004,'Issue Log'!$B$5:$B$1004,B85))</f>
        <v/>
      </c>
      <c r="I85" s="10" t="str">
        <f aca="false">IF(B85="","",IF(D85&gt;=3,"FLAG",IF(D85=0,"Not issued","OK")))</f>
        <v/>
      </c>
      <c r="J85" s="29" t="str">
        <f aca="false">IF(I85="FLAG",COUNTIF($I$5:I85,"FLAG"),"")</f>
        <v/>
      </c>
    </row>
    <row r="86" customFormat="false" ht="15" hidden="false" customHeight="false" outlineLevel="0" collapsed="false">
      <c r="A86" s="27" t="n">
        <v>82</v>
      </c>
      <c r="B86" s="28"/>
      <c r="C86" s="22"/>
      <c r="D86" s="10" t="str">
        <f aca="false">IF(B86="","",SUMIFS('Issue Log'!$D$5:$D$1004,'Issue Log'!$B$5:$B$1004,B86))</f>
        <v/>
      </c>
      <c r="E86" s="20" t="str">
        <f aca="false">IF(OR(B86="",N(D86)&lt;1),"",_xlfn.MINIFS('Issue Log'!$A$5:$A$1004,'Issue Log'!$B$5:$B$1004,B86,'Issue Log'!$F$5:$F$1004,"&gt;="&amp;1))</f>
        <v/>
      </c>
      <c r="F86" s="20" t="str">
        <f aca="false">IF(OR(B86="",N(D86)&lt;2),"",_xlfn.MINIFS('Issue Log'!$A$5:$A$1004,'Issue Log'!$B$5:$B$1004,B86,'Issue Log'!$F$5:$F$1004,"&gt;="&amp;2))</f>
        <v/>
      </c>
      <c r="G86" s="20" t="str">
        <f aca="false">IF(OR(B86="",N(D86)&lt;3),"",_xlfn.MINIFS('Issue Log'!$A$5:$A$1004,'Issue Log'!$B$5:$B$1004,B86,'Issue Log'!$F$5:$F$1004,"&gt;="&amp;3))</f>
        <v/>
      </c>
      <c r="H86" s="20" t="str">
        <f aca="false">IF(N(D86)=0,"",_xlfn.MAXIFS('Issue Log'!$A$5:$A$1004,'Issue Log'!$B$5:$B$1004,B86))</f>
        <v/>
      </c>
      <c r="I86" s="10" t="str">
        <f aca="false">IF(B86="","",IF(D86&gt;=3,"FLAG",IF(D86=0,"Not issued","OK")))</f>
        <v/>
      </c>
      <c r="J86" s="29" t="str">
        <f aca="false">IF(I86="FLAG",COUNTIF($I$5:I86,"FLAG"),"")</f>
        <v/>
      </c>
    </row>
    <row r="87" customFormat="false" ht="15" hidden="false" customHeight="false" outlineLevel="0" collapsed="false">
      <c r="A87" s="27" t="n">
        <v>83</v>
      </c>
      <c r="B87" s="28"/>
      <c r="C87" s="22"/>
      <c r="D87" s="10" t="str">
        <f aca="false">IF(B87="","",SUMIFS('Issue Log'!$D$5:$D$1004,'Issue Log'!$B$5:$B$1004,B87))</f>
        <v/>
      </c>
      <c r="E87" s="20" t="str">
        <f aca="false">IF(OR(B87="",N(D87)&lt;1),"",_xlfn.MINIFS('Issue Log'!$A$5:$A$1004,'Issue Log'!$B$5:$B$1004,B87,'Issue Log'!$F$5:$F$1004,"&gt;="&amp;1))</f>
        <v/>
      </c>
      <c r="F87" s="20" t="str">
        <f aca="false">IF(OR(B87="",N(D87)&lt;2),"",_xlfn.MINIFS('Issue Log'!$A$5:$A$1004,'Issue Log'!$B$5:$B$1004,B87,'Issue Log'!$F$5:$F$1004,"&gt;="&amp;2))</f>
        <v/>
      </c>
      <c r="G87" s="20" t="str">
        <f aca="false">IF(OR(B87="",N(D87)&lt;3),"",_xlfn.MINIFS('Issue Log'!$A$5:$A$1004,'Issue Log'!$B$5:$B$1004,B87,'Issue Log'!$F$5:$F$1004,"&gt;="&amp;3))</f>
        <v/>
      </c>
      <c r="H87" s="20" t="str">
        <f aca="false">IF(N(D87)=0,"",_xlfn.MAXIFS('Issue Log'!$A$5:$A$1004,'Issue Log'!$B$5:$B$1004,B87))</f>
        <v/>
      </c>
      <c r="I87" s="10" t="str">
        <f aca="false">IF(B87="","",IF(D87&gt;=3,"FLAG",IF(D87=0,"Not issued","OK")))</f>
        <v/>
      </c>
      <c r="J87" s="29" t="str">
        <f aca="false">IF(I87="FLAG",COUNTIF($I$5:I87,"FLAG"),"")</f>
        <v/>
      </c>
    </row>
    <row r="88" customFormat="false" ht="15" hidden="false" customHeight="false" outlineLevel="0" collapsed="false">
      <c r="A88" s="27" t="n">
        <v>84</v>
      </c>
      <c r="B88" s="28"/>
      <c r="C88" s="22"/>
      <c r="D88" s="10" t="str">
        <f aca="false">IF(B88="","",SUMIFS('Issue Log'!$D$5:$D$1004,'Issue Log'!$B$5:$B$1004,B88))</f>
        <v/>
      </c>
      <c r="E88" s="20" t="str">
        <f aca="false">IF(OR(B88="",N(D88)&lt;1),"",_xlfn.MINIFS('Issue Log'!$A$5:$A$1004,'Issue Log'!$B$5:$B$1004,B88,'Issue Log'!$F$5:$F$1004,"&gt;="&amp;1))</f>
        <v/>
      </c>
      <c r="F88" s="20" t="str">
        <f aca="false">IF(OR(B88="",N(D88)&lt;2),"",_xlfn.MINIFS('Issue Log'!$A$5:$A$1004,'Issue Log'!$B$5:$B$1004,B88,'Issue Log'!$F$5:$F$1004,"&gt;="&amp;2))</f>
        <v/>
      </c>
      <c r="G88" s="20" t="str">
        <f aca="false">IF(OR(B88="",N(D88)&lt;3),"",_xlfn.MINIFS('Issue Log'!$A$5:$A$1004,'Issue Log'!$B$5:$B$1004,B88,'Issue Log'!$F$5:$F$1004,"&gt;="&amp;3))</f>
        <v/>
      </c>
      <c r="H88" s="20" t="str">
        <f aca="false">IF(N(D88)=0,"",_xlfn.MAXIFS('Issue Log'!$A$5:$A$1004,'Issue Log'!$B$5:$B$1004,B88))</f>
        <v/>
      </c>
      <c r="I88" s="10" t="str">
        <f aca="false">IF(B88="","",IF(D88&gt;=3,"FLAG",IF(D88=0,"Not issued","OK")))</f>
        <v/>
      </c>
      <c r="J88" s="29" t="str">
        <f aca="false">IF(I88="FLAG",COUNTIF($I$5:I88,"FLAG"),"")</f>
        <v/>
      </c>
    </row>
    <row r="89" customFormat="false" ht="15" hidden="false" customHeight="false" outlineLevel="0" collapsed="false">
      <c r="A89" s="27" t="n">
        <v>85</v>
      </c>
      <c r="B89" s="28"/>
      <c r="C89" s="22"/>
      <c r="D89" s="10" t="str">
        <f aca="false">IF(B89="","",SUMIFS('Issue Log'!$D$5:$D$1004,'Issue Log'!$B$5:$B$1004,B89))</f>
        <v/>
      </c>
      <c r="E89" s="20" t="str">
        <f aca="false">IF(OR(B89="",N(D89)&lt;1),"",_xlfn.MINIFS('Issue Log'!$A$5:$A$1004,'Issue Log'!$B$5:$B$1004,B89,'Issue Log'!$F$5:$F$1004,"&gt;="&amp;1))</f>
        <v/>
      </c>
      <c r="F89" s="20" t="str">
        <f aca="false">IF(OR(B89="",N(D89)&lt;2),"",_xlfn.MINIFS('Issue Log'!$A$5:$A$1004,'Issue Log'!$B$5:$B$1004,B89,'Issue Log'!$F$5:$F$1004,"&gt;="&amp;2))</f>
        <v/>
      </c>
      <c r="G89" s="20" t="str">
        <f aca="false">IF(OR(B89="",N(D89)&lt;3),"",_xlfn.MINIFS('Issue Log'!$A$5:$A$1004,'Issue Log'!$B$5:$B$1004,B89,'Issue Log'!$F$5:$F$1004,"&gt;="&amp;3))</f>
        <v/>
      </c>
      <c r="H89" s="20" t="str">
        <f aca="false">IF(N(D89)=0,"",_xlfn.MAXIFS('Issue Log'!$A$5:$A$1004,'Issue Log'!$B$5:$B$1004,B89))</f>
        <v/>
      </c>
      <c r="I89" s="10" t="str">
        <f aca="false">IF(B89="","",IF(D89&gt;=3,"FLAG",IF(D89=0,"Not issued","OK")))</f>
        <v/>
      </c>
      <c r="J89" s="29" t="str">
        <f aca="false">IF(I89="FLAG",COUNTIF($I$5:I89,"FLAG"),"")</f>
        <v/>
      </c>
    </row>
    <row r="90" customFormat="false" ht="15" hidden="false" customHeight="false" outlineLevel="0" collapsed="false">
      <c r="A90" s="27" t="n">
        <v>86</v>
      </c>
      <c r="B90" s="28"/>
      <c r="C90" s="22"/>
      <c r="D90" s="10" t="str">
        <f aca="false">IF(B90="","",SUMIFS('Issue Log'!$D$5:$D$1004,'Issue Log'!$B$5:$B$1004,B90))</f>
        <v/>
      </c>
      <c r="E90" s="20" t="str">
        <f aca="false">IF(OR(B90="",N(D90)&lt;1),"",_xlfn.MINIFS('Issue Log'!$A$5:$A$1004,'Issue Log'!$B$5:$B$1004,B90,'Issue Log'!$F$5:$F$1004,"&gt;="&amp;1))</f>
        <v/>
      </c>
      <c r="F90" s="20" t="str">
        <f aca="false">IF(OR(B90="",N(D90)&lt;2),"",_xlfn.MINIFS('Issue Log'!$A$5:$A$1004,'Issue Log'!$B$5:$B$1004,B90,'Issue Log'!$F$5:$F$1004,"&gt;="&amp;2))</f>
        <v/>
      </c>
      <c r="G90" s="20" t="str">
        <f aca="false">IF(OR(B90="",N(D90)&lt;3),"",_xlfn.MINIFS('Issue Log'!$A$5:$A$1004,'Issue Log'!$B$5:$B$1004,B90,'Issue Log'!$F$5:$F$1004,"&gt;="&amp;3))</f>
        <v/>
      </c>
      <c r="H90" s="20" t="str">
        <f aca="false">IF(N(D90)=0,"",_xlfn.MAXIFS('Issue Log'!$A$5:$A$1004,'Issue Log'!$B$5:$B$1004,B90))</f>
        <v/>
      </c>
      <c r="I90" s="10" t="str">
        <f aca="false">IF(B90="","",IF(D90&gt;=3,"FLAG",IF(D90=0,"Not issued","OK")))</f>
        <v/>
      </c>
      <c r="J90" s="29" t="str">
        <f aca="false">IF(I90="FLAG",COUNTIF($I$5:I90,"FLAG"),"")</f>
        <v/>
      </c>
    </row>
    <row r="91" customFormat="false" ht="15" hidden="false" customHeight="false" outlineLevel="0" collapsed="false">
      <c r="A91" s="27" t="n">
        <v>87</v>
      </c>
      <c r="B91" s="28"/>
      <c r="C91" s="22"/>
      <c r="D91" s="10" t="str">
        <f aca="false">IF(B91="","",SUMIFS('Issue Log'!$D$5:$D$1004,'Issue Log'!$B$5:$B$1004,B91))</f>
        <v/>
      </c>
      <c r="E91" s="20" t="str">
        <f aca="false">IF(OR(B91="",N(D91)&lt;1),"",_xlfn.MINIFS('Issue Log'!$A$5:$A$1004,'Issue Log'!$B$5:$B$1004,B91,'Issue Log'!$F$5:$F$1004,"&gt;="&amp;1))</f>
        <v/>
      </c>
      <c r="F91" s="20" t="str">
        <f aca="false">IF(OR(B91="",N(D91)&lt;2),"",_xlfn.MINIFS('Issue Log'!$A$5:$A$1004,'Issue Log'!$B$5:$B$1004,B91,'Issue Log'!$F$5:$F$1004,"&gt;="&amp;2))</f>
        <v/>
      </c>
      <c r="G91" s="20" t="str">
        <f aca="false">IF(OR(B91="",N(D91)&lt;3),"",_xlfn.MINIFS('Issue Log'!$A$5:$A$1004,'Issue Log'!$B$5:$B$1004,B91,'Issue Log'!$F$5:$F$1004,"&gt;="&amp;3))</f>
        <v/>
      </c>
      <c r="H91" s="20" t="str">
        <f aca="false">IF(N(D91)=0,"",_xlfn.MAXIFS('Issue Log'!$A$5:$A$1004,'Issue Log'!$B$5:$B$1004,B91))</f>
        <v/>
      </c>
      <c r="I91" s="10" t="str">
        <f aca="false">IF(B91="","",IF(D91&gt;=3,"FLAG",IF(D91=0,"Not issued","OK")))</f>
        <v/>
      </c>
      <c r="J91" s="29" t="str">
        <f aca="false">IF(I91="FLAG",COUNTIF($I$5:I91,"FLAG"),"")</f>
        <v/>
      </c>
    </row>
    <row r="92" customFormat="false" ht="15" hidden="false" customHeight="false" outlineLevel="0" collapsed="false">
      <c r="A92" s="27" t="n">
        <v>88</v>
      </c>
      <c r="B92" s="28"/>
      <c r="C92" s="22"/>
      <c r="D92" s="10" t="str">
        <f aca="false">IF(B92="","",SUMIFS('Issue Log'!$D$5:$D$1004,'Issue Log'!$B$5:$B$1004,B92))</f>
        <v/>
      </c>
      <c r="E92" s="20" t="str">
        <f aca="false">IF(OR(B92="",N(D92)&lt;1),"",_xlfn.MINIFS('Issue Log'!$A$5:$A$1004,'Issue Log'!$B$5:$B$1004,B92,'Issue Log'!$F$5:$F$1004,"&gt;="&amp;1))</f>
        <v/>
      </c>
      <c r="F92" s="20" t="str">
        <f aca="false">IF(OR(B92="",N(D92)&lt;2),"",_xlfn.MINIFS('Issue Log'!$A$5:$A$1004,'Issue Log'!$B$5:$B$1004,B92,'Issue Log'!$F$5:$F$1004,"&gt;="&amp;2))</f>
        <v/>
      </c>
      <c r="G92" s="20" t="str">
        <f aca="false">IF(OR(B92="",N(D92)&lt;3),"",_xlfn.MINIFS('Issue Log'!$A$5:$A$1004,'Issue Log'!$B$5:$B$1004,B92,'Issue Log'!$F$5:$F$1004,"&gt;="&amp;3))</f>
        <v/>
      </c>
      <c r="H92" s="20" t="str">
        <f aca="false">IF(N(D92)=0,"",_xlfn.MAXIFS('Issue Log'!$A$5:$A$1004,'Issue Log'!$B$5:$B$1004,B92))</f>
        <v/>
      </c>
      <c r="I92" s="10" t="str">
        <f aca="false">IF(B92="","",IF(D92&gt;=3,"FLAG",IF(D92=0,"Not issued","OK")))</f>
        <v/>
      </c>
      <c r="J92" s="29" t="str">
        <f aca="false">IF(I92="FLAG",COUNTIF($I$5:I92,"FLAG"),"")</f>
        <v/>
      </c>
    </row>
    <row r="93" customFormat="false" ht="15" hidden="false" customHeight="false" outlineLevel="0" collapsed="false">
      <c r="A93" s="27" t="n">
        <v>89</v>
      </c>
      <c r="B93" s="28"/>
      <c r="C93" s="22"/>
      <c r="D93" s="10" t="str">
        <f aca="false">IF(B93="","",SUMIFS('Issue Log'!$D$5:$D$1004,'Issue Log'!$B$5:$B$1004,B93))</f>
        <v/>
      </c>
      <c r="E93" s="20" t="str">
        <f aca="false">IF(OR(B93="",N(D93)&lt;1),"",_xlfn.MINIFS('Issue Log'!$A$5:$A$1004,'Issue Log'!$B$5:$B$1004,B93,'Issue Log'!$F$5:$F$1004,"&gt;="&amp;1))</f>
        <v/>
      </c>
      <c r="F93" s="20" t="str">
        <f aca="false">IF(OR(B93="",N(D93)&lt;2),"",_xlfn.MINIFS('Issue Log'!$A$5:$A$1004,'Issue Log'!$B$5:$B$1004,B93,'Issue Log'!$F$5:$F$1004,"&gt;="&amp;2))</f>
        <v/>
      </c>
      <c r="G93" s="20" t="str">
        <f aca="false">IF(OR(B93="",N(D93)&lt;3),"",_xlfn.MINIFS('Issue Log'!$A$5:$A$1004,'Issue Log'!$B$5:$B$1004,B93,'Issue Log'!$F$5:$F$1004,"&gt;="&amp;3))</f>
        <v/>
      </c>
      <c r="H93" s="20" t="str">
        <f aca="false">IF(N(D93)=0,"",_xlfn.MAXIFS('Issue Log'!$A$5:$A$1004,'Issue Log'!$B$5:$B$1004,B93))</f>
        <v/>
      </c>
      <c r="I93" s="10" t="str">
        <f aca="false">IF(B93="","",IF(D93&gt;=3,"FLAG",IF(D93=0,"Not issued","OK")))</f>
        <v/>
      </c>
      <c r="J93" s="29" t="str">
        <f aca="false">IF(I93="FLAG",COUNTIF($I$5:I93,"FLAG"),"")</f>
        <v/>
      </c>
    </row>
    <row r="94" customFormat="false" ht="15" hidden="false" customHeight="false" outlineLevel="0" collapsed="false">
      <c r="A94" s="27" t="n">
        <v>90</v>
      </c>
      <c r="B94" s="28"/>
      <c r="C94" s="22"/>
      <c r="D94" s="10" t="str">
        <f aca="false">IF(B94="","",SUMIFS('Issue Log'!$D$5:$D$1004,'Issue Log'!$B$5:$B$1004,B94))</f>
        <v/>
      </c>
      <c r="E94" s="20" t="str">
        <f aca="false">IF(OR(B94="",N(D94)&lt;1),"",_xlfn.MINIFS('Issue Log'!$A$5:$A$1004,'Issue Log'!$B$5:$B$1004,B94,'Issue Log'!$F$5:$F$1004,"&gt;="&amp;1))</f>
        <v/>
      </c>
      <c r="F94" s="20" t="str">
        <f aca="false">IF(OR(B94="",N(D94)&lt;2),"",_xlfn.MINIFS('Issue Log'!$A$5:$A$1004,'Issue Log'!$B$5:$B$1004,B94,'Issue Log'!$F$5:$F$1004,"&gt;="&amp;2))</f>
        <v/>
      </c>
      <c r="G94" s="20" t="str">
        <f aca="false">IF(OR(B94="",N(D94)&lt;3),"",_xlfn.MINIFS('Issue Log'!$A$5:$A$1004,'Issue Log'!$B$5:$B$1004,B94,'Issue Log'!$F$5:$F$1004,"&gt;="&amp;3))</f>
        <v/>
      </c>
      <c r="H94" s="20" t="str">
        <f aca="false">IF(N(D94)=0,"",_xlfn.MAXIFS('Issue Log'!$A$5:$A$1004,'Issue Log'!$B$5:$B$1004,B94))</f>
        <v/>
      </c>
      <c r="I94" s="10" t="str">
        <f aca="false">IF(B94="","",IF(D94&gt;=3,"FLAG",IF(D94=0,"Not issued","OK")))</f>
        <v/>
      </c>
      <c r="J94" s="29" t="str">
        <f aca="false">IF(I94="FLAG",COUNTIF($I$5:I94,"FLAG"),"")</f>
        <v/>
      </c>
    </row>
    <row r="95" customFormat="false" ht="15" hidden="false" customHeight="false" outlineLevel="0" collapsed="false">
      <c r="A95" s="27" t="n">
        <v>91</v>
      </c>
      <c r="B95" s="28"/>
      <c r="C95" s="22"/>
      <c r="D95" s="10" t="str">
        <f aca="false">IF(B95="","",SUMIFS('Issue Log'!$D$5:$D$1004,'Issue Log'!$B$5:$B$1004,B95))</f>
        <v/>
      </c>
      <c r="E95" s="20" t="str">
        <f aca="false">IF(OR(B95="",N(D95)&lt;1),"",_xlfn.MINIFS('Issue Log'!$A$5:$A$1004,'Issue Log'!$B$5:$B$1004,B95,'Issue Log'!$F$5:$F$1004,"&gt;="&amp;1))</f>
        <v/>
      </c>
      <c r="F95" s="20" t="str">
        <f aca="false">IF(OR(B95="",N(D95)&lt;2),"",_xlfn.MINIFS('Issue Log'!$A$5:$A$1004,'Issue Log'!$B$5:$B$1004,B95,'Issue Log'!$F$5:$F$1004,"&gt;="&amp;2))</f>
        <v/>
      </c>
      <c r="G95" s="20" t="str">
        <f aca="false">IF(OR(B95="",N(D95)&lt;3),"",_xlfn.MINIFS('Issue Log'!$A$5:$A$1004,'Issue Log'!$B$5:$B$1004,B95,'Issue Log'!$F$5:$F$1004,"&gt;="&amp;3))</f>
        <v/>
      </c>
      <c r="H95" s="20" t="str">
        <f aca="false">IF(N(D95)=0,"",_xlfn.MAXIFS('Issue Log'!$A$5:$A$1004,'Issue Log'!$B$5:$B$1004,B95))</f>
        <v/>
      </c>
      <c r="I95" s="10" t="str">
        <f aca="false">IF(B95="","",IF(D95&gt;=3,"FLAG",IF(D95=0,"Not issued","OK")))</f>
        <v/>
      </c>
      <c r="J95" s="29" t="str">
        <f aca="false">IF(I95="FLAG",COUNTIF($I$5:I95,"FLAG"),"")</f>
        <v/>
      </c>
    </row>
    <row r="96" customFormat="false" ht="15" hidden="false" customHeight="false" outlineLevel="0" collapsed="false">
      <c r="A96" s="27" t="n">
        <v>92</v>
      </c>
      <c r="B96" s="28"/>
      <c r="C96" s="22"/>
      <c r="D96" s="10" t="str">
        <f aca="false">IF(B96="","",SUMIFS('Issue Log'!$D$5:$D$1004,'Issue Log'!$B$5:$B$1004,B96))</f>
        <v/>
      </c>
      <c r="E96" s="20" t="str">
        <f aca="false">IF(OR(B96="",N(D96)&lt;1),"",_xlfn.MINIFS('Issue Log'!$A$5:$A$1004,'Issue Log'!$B$5:$B$1004,B96,'Issue Log'!$F$5:$F$1004,"&gt;="&amp;1))</f>
        <v/>
      </c>
      <c r="F96" s="20" t="str">
        <f aca="false">IF(OR(B96="",N(D96)&lt;2),"",_xlfn.MINIFS('Issue Log'!$A$5:$A$1004,'Issue Log'!$B$5:$B$1004,B96,'Issue Log'!$F$5:$F$1004,"&gt;="&amp;2))</f>
        <v/>
      </c>
      <c r="G96" s="20" t="str">
        <f aca="false">IF(OR(B96="",N(D96)&lt;3),"",_xlfn.MINIFS('Issue Log'!$A$5:$A$1004,'Issue Log'!$B$5:$B$1004,B96,'Issue Log'!$F$5:$F$1004,"&gt;="&amp;3))</f>
        <v/>
      </c>
      <c r="H96" s="20" t="str">
        <f aca="false">IF(N(D96)=0,"",_xlfn.MAXIFS('Issue Log'!$A$5:$A$1004,'Issue Log'!$B$5:$B$1004,B96))</f>
        <v/>
      </c>
      <c r="I96" s="10" t="str">
        <f aca="false">IF(B96="","",IF(D96&gt;=3,"FLAG",IF(D96=0,"Not issued","OK")))</f>
        <v/>
      </c>
      <c r="J96" s="29" t="str">
        <f aca="false">IF(I96="FLAG",COUNTIF($I$5:I96,"FLAG"),"")</f>
        <v/>
      </c>
    </row>
    <row r="97" customFormat="false" ht="15" hidden="false" customHeight="false" outlineLevel="0" collapsed="false">
      <c r="A97" s="27" t="n">
        <v>93</v>
      </c>
      <c r="B97" s="28"/>
      <c r="C97" s="22"/>
      <c r="D97" s="10" t="str">
        <f aca="false">IF(B97="","",SUMIFS('Issue Log'!$D$5:$D$1004,'Issue Log'!$B$5:$B$1004,B97))</f>
        <v/>
      </c>
      <c r="E97" s="20" t="str">
        <f aca="false">IF(OR(B97="",N(D97)&lt;1),"",_xlfn.MINIFS('Issue Log'!$A$5:$A$1004,'Issue Log'!$B$5:$B$1004,B97,'Issue Log'!$F$5:$F$1004,"&gt;="&amp;1))</f>
        <v/>
      </c>
      <c r="F97" s="20" t="str">
        <f aca="false">IF(OR(B97="",N(D97)&lt;2),"",_xlfn.MINIFS('Issue Log'!$A$5:$A$1004,'Issue Log'!$B$5:$B$1004,B97,'Issue Log'!$F$5:$F$1004,"&gt;="&amp;2))</f>
        <v/>
      </c>
      <c r="G97" s="20" t="str">
        <f aca="false">IF(OR(B97="",N(D97)&lt;3),"",_xlfn.MINIFS('Issue Log'!$A$5:$A$1004,'Issue Log'!$B$5:$B$1004,B97,'Issue Log'!$F$5:$F$1004,"&gt;="&amp;3))</f>
        <v/>
      </c>
      <c r="H97" s="20" t="str">
        <f aca="false">IF(N(D97)=0,"",_xlfn.MAXIFS('Issue Log'!$A$5:$A$1004,'Issue Log'!$B$5:$B$1004,B97))</f>
        <v/>
      </c>
      <c r="I97" s="10" t="str">
        <f aca="false">IF(B97="","",IF(D97&gt;=3,"FLAG",IF(D97=0,"Not issued","OK")))</f>
        <v/>
      </c>
      <c r="J97" s="29" t="str">
        <f aca="false">IF(I97="FLAG",COUNTIF($I$5:I97,"FLAG"),"")</f>
        <v/>
      </c>
    </row>
    <row r="98" customFormat="false" ht="15" hidden="false" customHeight="false" outlineLevel="0" collapsed="false">
      <c r="A98" s="27" t="n">
        <v>94</v>
      </c>
      <c r="B98" s="28"/>
      <c r="C98" s="22"/>
      <c r="D98" s="10" t="str">
        <f aca="false">IF(B98="","",SUMIFS('Issue Log'!$D$5:$D$1004,'Issue Log'!$B$5:$B$1004,B98))</f>
        <v/>
      </c>
      <c r="E98" s="20" t="str">
        <f aca="false">IF(OR(B98="",N(D98)&lt;1),"",_xlfn.MINIFS('Issue Log'!$A$5:$A$1004,'Issue Log'!$B$5:$B$1004,B98,'Issue Log'!$F$5:$F$1004,"&gt;="&amp;1))</f>
        <v/>
      </c>
      <c r="F98" s="20" t="str">
        <f aca="false">IF(OR(B98="",N(D98)&lt;2),"",_xlfn.MINIFS('Issue Log'!$A$5:$A$1004,'Issue Log'!$B$5:$B$1004,B98,'Issue Log'!$F$5:$F$1004,"&gt;="&amp;2))</f>
        <v/>
      </c>
      <c r="G98" s="20" t="str">
        <f aca="false">IF(OR(B98="",N(D98)&lt;3),"",_xlfn.MINIFS('Issue Log'!$A$5:$A$1004,'Issue Log'!$B$5:$B$1004,B98,'Issue Log'!$F$5:$F$1004,"&gt;="&amp;3))</f>
        <v/>
      </c>
      <c r="H98" s="20" t="str">
        <f aca="false">IF(N(D98)=0,"",_xlfn.MAXIFS('Issue Log'!$A$5:$A$1004,'Issue Log'!$B$5:$B$1004,B98))</f>
        <v/>
      </c>
      <c r="I98" s="10" t="str">
        <f aca="false">IF(B98="","",IF(D98&gt;=3,"FLAG",IF(D98=0,"Not issued","OK")))</f>
        <v/>
      </c>
      <c r="J98" s="29" t="str">
        <f aca="false">IF(I98="FLAG",COUNTIF($I$5:I98,"FLAG"),"")</f>
        <v/>
      </c>
    </row>
    <row r="99" customFormat="false" ht="15" hidden="false" customHeight="false" outlineLevel="0" collapsed="false">
      <c r="A99" s="27" t="n">
        <v>95</v>
      </c>
      <c r="B99" s="28"/>
      <c r="C99" s="22"/>
      <c r="D99" s="10" t="str">
        <f aca="false">IF(B99="","",SUMIFS('Issue Log'!$D$5:$D$1004,'Issue Log'!$B$5:$B$1004,B99))</f>
        <v/>
      </c>
      <c r="E99" s="20" t="str">
        <f aca="false">IF(OR(B99="",N(D99)&lt;1),"",_xlfn.MINIFS('Issue Log'!$A$5:$A$1004,'Issue Log'!$B$5:$B$1004,B99,'Issue Log'!$F$5:$F$1004,"&gt;="&amp;1))</f>
        <v/>
      </c>
      <c r="F99" s="20" t="str">
        <f aca="false">IF(OR(B99="",N(D99)&lt;2),"",_xlfn.MINIFS('Issue Log'!$A$5:$A$1004,'Issue Log'!$B$5:$B$1004,B99,'Issue Log'!$F$5:$F$1004,"&gt;="&amp;2))</f>
        <v/>
      </c>
      <c r="G99" s="20" t="str">
        <f aca="false">IF(OR(B99="",N(D99)&lt;3),"",_xlfn.MINIFS('Issue Log'!$A$5:$A$1004,'Issue Log'!$B$5:$B$1004,B99,'Issue Log'!$F$5:$F$1004,"&gt;="&amp;3))</f>
        <v/>
      </c>
      <c r="H99" s="20" t="str">
        <f aca="false">IF(N(D99)=0,"",_xlfn.MAXIFS('Issue Log'!$A$5:$A$1004,'Issue Log'!$B$5:$B$1004,B99))</f>
        <v/>
      </c>
      <c r="I99" s="10" t="str">
        <f aca="false">IF(B99="","",IF(D99&gt;=3,"FLAG",IF(D99=0,"Not issued","OK")))</f>
        <v/>
      </c>
      <c r="J99" s="29" t="str">
        <f aca="false">IF(I99="FLAG",COUNTIF($I$5:I99,"FLAG"),"")</f>
        <v/>
      </c>
    </row>
    <row r="100" customFormat="false" ht="15" hidden="false" customHeight="false" outlineLevel="0" collapsed="false">
      <c r="A100" s="27" t="n">
        <v>96</v>
      </c>
      <c r="B100" s="28"/>
      <c r="C100" s="22"/>
      <c r="D100" s="10" t="str">
        <f aca="false">IF(B100="","",SUMIFS('Issue Log'!$D$5:$D$1004,'Issue Log'!$B$5:$B$1004,B100))</f>
        <v/>
      </c>
      <c r="E100" s="20" t="str">
        <f aca="false">IF(OR(B100="",N(D100)&lt;1),"",_xlfn.MINIFS('Issue Log'!$A$5:$A$1004,'Issue Log'!$B$5:$B$1004,B100,'Issue Log'!$F$5:$F$1004,"&gt;="&amp;1))</f>
        <v/>
      </c>
      <c r="F100" s="20" t="str">
        <f aca="false">IF(OR(B100="",N(D100)&lt;2),"",_xlfn.MINIFS('Issue Log'!$A$5:$A$1004,'Issue Log'!$B$5:$B$1004,B100,'Issue Log'!$F$5:$F$1004,"&gt;="&amp;2))</f>
        <v/>
      </c>
      <c r="G100" s="20" t="str">
        <f aca="false">IF(OR(B100="",N(D100)&lt;3),"",_xlfn.MINIFS('Issue Log'!$A$5:$A$1004,'Issue Log'!$B$5:$B$1004,B100,'Issue Log'!$F$5:$F$1004,"&gt;="&amp;3))</f>
        <v/>
      </c>
      <c r="H100" s="20" t="str">
        <f aca="false">IF(N(D100)=0,"",_xlfn.MAXIFS('Issue Log'!$A$5:$A$1004,'Issue Log'!$B$5:$B$1004,B100))</f>
        <v/>
      </c>
      <c r="I100" s="10" t="str">
        <f aca="false">IF(B100="","",IF(D100&gt;=3,"FLAG",IF(D100=0,"Not issued","OK")))</f>
        <v/>
      </c>
      <c r="J100" s="29" t="str">
        <f aca="false">IF(I100="FLAG",COUNTIF($I$5:I100,"FLAG"),"")</f>
        <v/>
      </c>
    </row>
    <row r="101" customFormat="false" ht="15" hidden="false" customHeight="false" outlineLevel="0" collapsed="false">
      <c r="A101" s="27" t="n">
        <v>97</v>
      </c>
      <c r="B101" s="28"/>
      <c r="C101" s="22"/>
      <c r="D101" s="10" t="str">
        <f aca="false">IF(B101="","",SUMIFS('Issue Log'!$D$5:$D$1004,'Issue Log'!$B$5:$B$1004,B101))</f>
        <v/>
      </c>
      <c r="E101" s="20" t="str">
        <f aca="false">IF(OR(B101="",N(D101)&lt;1),"",_xlfn.MINIFS('Issue Log'!$A$5:$A$1004,'Issue Log'!$B$5:$B$1004,B101,'Issue Log'!$F$5:$F$1004,"&gt;="&amp;1))</f>
        <v/>
      </c>
      <c r="F101" s="20" t="str">
        <f aca="false">IF(OR(B101="",N(D101)&lt;2),"",_xlfn.MINIFS('Issue Log'!$A$5:$A$1004,'Issue Log'!$B$5:$B$1004,B101,'Issue Log'!$F$5:$F$1004,"&gt;="&amp;2))</f>
        <v/>
      </c>
      <c r="G101" s="20" t="str">
        <f aca="false">IF(OR(B101="",N(D101)&lt;3),"",_xlfn.MINIFS('Issue Log'!$A$5:$A$1004,'Issue Log'!$B$5:$B$1004,B101,'Issue Log'!$F$5:$F$1004,"&gt;="&amp;3))</f>
        <v/>
      </c>
      <c r="H101" s="20" t="str">
        <f aca="false">IF(N(D101)=0,"",_xlfn.MAXIFS('Issue Log'!$A$5:$A$1004,'Issue Log'!$B$5:$B$1004,B101))</f>
        <v/>
      </c>
      <c r="I101" s="10" t="str">
        <f aca="false">IF(B101="","",IF(D101&gt;=3,"FLAG",IF(D101=0,"Not issued","OK")))</f>
        <v/>
      </c>
      <c r="J101" s="29" t="str">
        <f aca="false">IF(I101="FLAG",COUNTIF($I$5:I101,"FLAG"),"")</f>
        <v/>
      </c>
    </row>
    <row r="102" customFormat="false" ht="15" hidden="false" customHeight="false" outlineLevel="0" collapsed="false">
      <c r="A102" s="27" t="n">
        <v>98</v>
      </c>
      <c r="B102" s="28"/>
      <c r="C102" s="22"/>
      <c r="D102" s="10" t="str">
        <f aca="false">IF(B102="","",SUMIFS('Issue Log'!$D$5:$D$1004,'Issue Log'!$B$5:$B$1004,B102))</f>
        <v/>
      </c>
      <c r="E102" s="20" t="str">
        <f aca="false">IF(OR(B102="",N(D102)&lt;1),"",_xlfn.MINIFS('Issue Log'!$A$5:$A$1004,'Issue Log'!$B$5:$B$1004,B102,'Issue Log'!$F$5:$F$1004,"&gt;="&amp;1))</f>
        <v/>
      </c>
      <c r="F102" s="20" t="str">
        <f aca="false">IF(OR(B102="",N(D102)&lt;2),"",_xlfn.MINIFS('Issue Log'!$A$5:$A$1004,'Issue Log'!$B$5:$B$1004,B102,'Issue Log'!$F$5:$F$1004,"&gt;="&amp;2))</f>
        <v/>
      </c>
      <c r="G102" s="20" t="str">
        <f aca="false">IF(OR(B102="",N(D102)&lt;3),"",_xlfn.MINIFS('Issue Log'!$A$5:$A$1004,'Issue Log'!$B$5:$B$1004,B102,'Issue Log'!$F$5:$F$1004,"&gt;="&amp;3))</f>
        <v/>
      </c>
      <c r="H102" s="20" t="str">
        <f aca="false">IF(N(D102)=0,"",_xlfn.MAXIFS('Issue Log'!$A$5:$A$1004,'Issue Log'!$B$5:$B$1004,B102))</f>
        <v/>
      </c>
      <c r="I102" s="10" t="str">
        <f aca="false">IF(B102="","",IF(D102&gt;=3,"FLAG",IF(D102=0,"Not issued","OK")))</f>
        <v/>
      </c>
      <c r="J102" s="29" t="str">
        <f aca="false">IF(I102="FLAG",COUNTIF($I$5:I102,"FLAG"),"")</f>
        <v/>
      </c>
    </row>
    <row r="103" customFormat="false" ht="15" hidden="false" customHeight="false" outlineLevel="0" collapsed="false">
      <c r="A103" s="27" t="n">
        <v>99</v>
      </c>
      <c r="B103" s="28"/>
      <c r="C103" s="22"/>
      <c r="D103" s="10" t="str">
        <f aca="false">IF(B103="","",SUMIFS('Issue Log'!$D$5:$D$1004,'Issue Log'!$B$5:$B$1004,B103))</f>
        <v/>
      </c>
      <c r="E103" s="20" t="str">
        <f aca="false">IF(OR(B103="",N(D103)&lt;1),"",_xlfn.MINIFS('Issue Log'!$A$5:$A$1004,'Issue Log'!$B$5:$B$1004,B103,'Issue Log'!$F$5:$F$1004,"&gt;="&amp;1))</f>
        <v/>
      </c>
      <c r="F103" s="20" t="str">
        <f aca="false">IF(OR(B103="",N(D103)&lt;2),"",_xlfn.MINIFS('Issue Log'!$A$5:$A$1004,'Issue Log'!$B$5:$B$1004,B103,'Issue Log'!$F$5:$F$1004,"&gt;="&amp;2))</f>
        <v/>
      </c>
      <c r="G103" s="20" t="str">
        <f aca="false">IF(OR(B103="",N(D103)&lt;3),"",_xlfn.MINIFS('Issue Log'!$A$5:$A$1004,'Issue Log'!$B$5:$B$1004,B103,'Issue Log'!$F$5:$F$1004,"&gt;="&amp;3))</f>
        <v/>
      </c>
      <c r="H103" s="20" t="str">
        <f aca="false">IF(N(D103)=0,"",_xlfn.MAXIFS('Issue Log'!$A$5:$A$1004,'Issue Log'!$B$5:$B$1004,B103))</f>
        <v/>
      </c>
      <c r="I103" s="10" t="str">
        <f aca="false">IF(B103="","",IF(D103&gt;=3,"FLAG",IF(D103=0,"Not issued","OK")))</f>
        <v/>
      </c>
      <c r="J103" s="29" t="str">
        <f aca="false">IF(I103="FLAG",COUNTIF($I$5:I103,"FLAG"),"")</f>
        <v/>
      </c>
    </row>
    <row r="104" customFormat="false" ht="15" hidden="false" customHeight="false" outlineLevel="0" collapsed="false">
      <c r="A104" s="27" t="n">
        <v>100</v>
      </c>
      <c r="B104" s="28"/>
      <c r="C104" s="22"/>
      <c r="D104" s="10" t="str">
        <f aca="false">IF(B104="","",SUMIFS('Issue Log'!$D$5:$D$1004,'Issue Log'!$B$5:$B$1004,B104))</f>
        <v/>
      </c>
      <c r="E104" s="20" t="str">
        <f aca="false">IF(OR(B104="",N(D104)&lt;1),"",_xlfn.MINIFS('Issue Log'!$A$5:$A$1004,'Issue Log'!$B$5:$B$1004,B104,'Issue Log'!$F$5:$F$1004,"&gt;="&amp;1))</f>
        <v/>
      </c>
      <c r="F104" s="20" t="str">
        <f aca="false">IF(OR(B104="",N(D104)&lt;2),"",_xlfn.MINIFS('Issue Log'!$A$5:$A$1004,'Issue Log'!$B$5:$B$1004,B104,'Issue Log'!$F$5:$F$1004,"&gt;="&amp;2))</f>
        <v/>
      </c>
      <c r="G104" s="20" t="str">
        <f aca="false">IF(OR(B104="",N(D104)&lt;3),"",_xlfn.MINIFS('Issue Log'!$A$5:$A$1004,'Issue Log'!$B$5:$B$1004,B104,'Issue Log'!$F$5:$F$1004,"&gt;="&amp;3))</f>
        <v/>
      </c>
      <c r="H104" s="20" t="str">
        <f aca="false">IF(N(D104)=0,"",_xlfn.MAXIFS('Issue Log'!$A$5:$A$1004,'Issue Log'!$B$5:$B$1004,B104))</f>
        <v/>
      </c>
      <c r="I104" s="10" t="str">
        <f aca="false">IF(B104="","",IF(D104&gt;=3,"FLAG",IF(D104=0,"Not issued","OK")))</f>
        <v/>
      </c>
      <c r="J104" s="29" t="str">
        <f aca="false">IF(I104="FLAG",COUNTIF($I$5:I104,"FLAG"),"")</f>
        <v/>
      </c>
    </row>
    <row r="105" customFormat="false" ht="15" hidden="false" customHeight="false" outlineLevel="0" collapsed="false">
      <c r="A105" s="27" t="n">
        <v>101</v>
      </c>
      <c r="B105" s="28"/>
      <c r="C105" s="22"/>
      <c r="D105" s="10" t="str">
        <f aca="false">IF(B105="","",SUMIFS('Issue Log'!$D$5:$D$1004,'Issue Log'!$B$5:$B$1004,B105))</f>
        <v/>
      </c>
      <c r="E105" s="20" t="str">
        <f aca="false">IF(OR(B105="",N(D105)&lt;1),"",_xlfn.MINIFS('Issue Log'!$A$5:$A$1004,'Issue Log'!$B$5:$B$1004,B105,'Issue Log'!$F$5:$F$1004,"&gt;="&amp;1))</f>
        <v/>
      </c>
      <c r="F105" s="20" t="str">
        <f aca="false">IF(OR(B105="",N(D105)&lt;2),"",_xlfn.MINIFS('Issue Log'!$A$5:$A$1004,'Issue Log'!$B$5:$B$1004,B105,'Issue Log'!$F$5:$F$1004,"&gt;="&amp;2))</f>
        <v/>
      </c>
      <c r="G105" s="20" t="str">
        <f aca="false">IF(OR(B105="",N(D105)&lt;3),"",_xlfn.MINIFS('Issue Log'!$A$5:$A$1004,'Issue Log'!$B$5:$B$1004,B105,'Issue Log'!$F$5:$F$1004,"&gt;="&amp;3))</f>
        <v/>
      </c>
      <c r="H105" s="20" t="str">
        <f aca="false">IF(N(D105)=0,"",_xlfn.MAXIFS('Issue Log'!$A$5:$A$1004,'Issue Log'!$B$5:$B$1004,B105))</f>
        <v/>
      </c>
      <c r="I105" s="10" t="str">
        <f aca="false">IF(B105="","",IF(D105&gt;=3,"FLAG",IF(D105=0,"Not issued","OK")))</f>
        <v/>
      </c>
      <c r="J105" s="29" t="str">
        <f aca="false">IF(I105="FLAG",COUNTIF($I$5:I105,"FLAG"),"")</f>
        <v/>
      </c>
    </row>
    <row r="106" customFormat="false" ht="15" hidden="false" customHeight="false" outlineLevel="0" collapsed="false">
      <c r="A106" s="27" t="n">
        <v>102</v>
      </c>
      <c r="B106" s="28"/>
      <c r="C106" s="22"/>
      <c r="D106" s="10" t="str">
        <f aca="false">IF(B106="","",SUMIFS('Issue Log'!$D$5:$D$1004,'Issue Log'!$B$5:$B$1004,B106))</f>
        <v/>
      </c>
      <c r="E106" s="20" t="str">
        <f aca="false">IF(OR(B106="",N(D106)&lt;1),"",_xlfn.MINIFS('Issue Log'!$A$5:$A$1004,'Issue Log'!$B$5:$B$1004,B106,'Issue Log'!$F$5:$F$1004,"&gt;="&amp;1))</f>
        <v/>
      </c>
      <c r="F106" s="20" t="str">
        <f aca="false">IF(OR(B106="",N(D106)&lt;2),"",_xlfn.MINIFS('Issue Log'!$A$5:$A$1004,'Issue Log'!$B$5:$B$1004,B106,'Issue Log'!$F$5:$F$1004,"&gt;="&amp;2))</f>
        <v/>
      </c>
      <c r="G106" s="20" t="str">
        <f aca="false">IF(OR(B106="",N(D106)&lt;3),"",_xlfn.MINIFS('Issue Log'!$A$5:$A$1004,'Issue Log'!$B$5:$B$1004,B106,'Issue Log'!$F$5:$F$1004,"&gt;="&amp;3))</f>
        <v/>
      </c>
      <c r="H106" s="20" t="str">
        <f aca="false">IF(N(D106)=0,"",_xlfn.MAXIFS('Issue Log'!$A$5:$A$1004,'Issue Log'!$B$5:$B$1004,B106))</f>
        <v/>
      </c>
      <c r="I106" s="10" t="str">
        <f aca="false">IF(B106="","",IF(D106&gt;=3,"FLAG",IF(D106=0,"Not issued","OK")))</f>
        <v/>
      </c>
      <c r="J106" s="29" t="str">
        <f aca="false">IF(I106="FLAG",COUNTIF($I$5:I106,"FLAG"),"")</f>
        <v/>
      </c>
    </row>
    <row r="107" customFormat="false" ht="15" hidden="false" customHeight="false" outlineLevel="0" collapsed="false">
      <c r="A107" s="27" t="n">
        <v>103</v>
      </c>
      <c r="B107" s="28"/>
      <c r="C107" s="22"/>
      <c r="D107" s="10" t="str">
        <f aca="false">IF(B107="","",SUMIFS('Issue Log'!$D$5:$D$1004,'Issue Log'!$B$5:$B$1004,B107))</f>
        <v/>
      </c>
      <c r="E107" s="20" t="str">
        <f aca="false">IF(OR(B107="",N(D107)&lt;1),"",_xlfn.MINIFS('Issue Log'!$A$5:$A$1004,'Issue Log'!$B$5:$B$1004,B107,'Issue Log'!$F$5:$F$1004,"&gt;="&amp;1))</f>
        <v/>
      </c>
      <c r="F107" s="20" t="str">
        <f aca="false">IF(OR(B107="",N(D107)&lt;2),"",_xlfn.MINIFS('Issue Log'!$A$5:$A$1004,'Issue Log'!$B$5:$B$1004,B107,'Issue Log'!$F$5:$F$1004,"&gt;="&amp;2))</f>
        <v/>
      </c>
      <c r="G107" s="20" t="str">
        <f aca="false">IF(OR(B107="",N(D107)&lt;3),"",_xlfn.MINIFS('Issue Log'!$A$5:$A$1004,'Issue Log'!$B$5:$B$1004,B107,'Issue Log'!$F$5:$F$1004,"&gt;="&amp;3))</f>
        <v/>
      </c>
      <c r="H107" s="20" t="str">
        <f aca="false">IF(N(D107)=0,"",_xlfn.MAXIFS('Issue Log'!$A$5:$A$1004,'Issue Log'!$B$5:$B$1004,B107))</f>
        <v/>
      </c>
      <c r="I107" s="10" t="str">
        <f aca="false">IF(B107="","",IF(D107&gt;=3,"FLAG",IF(D107=0,"Not issued","OK")))</f>
        <v/>
      </c>
      <c r="J107" s="29" t="str">
        <f aca="false">IF(I107="FLAG",COUNTIF($I$5:I107,"FLAG"),"")</f>
        <v/>
      </c>
    </row>
    <row r="108" customFormat="false" ht="15" hidden="false" customHeight="false" outlineLevel="0" collapsed="false">
      <c r="A108" s="27" t="n">
        <v>104</v>
      </c>
      <c r="B108" s="28"/>
      <c r="C108" s="22"/>
      <c r="D108" s="10" t="str">
        <f aca="false">IF(B108="","",SUMIFS('Issue Log'!$D$5:$D$1004,'Issue Log'!$B$5:$B$1004,B108))</f>
        <v/>
      </c>
      <c r="E108" s="20" t="str">
        <f aca="false">IF(OR(B108="",N(D108)&lt;1),"",_xlfn.MINIFS('Issue Log'!$A$5:$A$1004,'Issue Log'!$B$5:$B$1004,B108,'Issue Log'!$F$5:$F$1004,"&gt;="&amp;1))</f>
        <v/>
      </c>
      <c r="F108" s="20" t="str">
        <f aca="false">IF(OR(B108="",N(D108)&lt;2),"",_xlfn.MINIFS('Issue Log'!$A$5:$A$1004,'Issue Log'!$B$5:$B$1004,B108,'Issue Log'!$F$5:$F$1004,"&gt;="&amp;2))</f>
        <v/>
      </c>
      <c r="G108" s="20" t="str">
        <f aca="false">IF(OR(B108="",N(D108)&lt;3),"",_xlfn.MINIFS('Issue Log'!$A$5:$A$1004,'Issue Log'!$B$5:$B$1004,B108,'Issue Log'!$F$5:$F$1004,"&gt;="&amp;3))</f>
        <v/>
      </c>
      <c r="H108" s="20" t="str">
        <f aca="false">IF(N(D108)=0,"",_xlfn.MAXIFS('Issue Log'!$A$5:$A$1004,'Issue Log'!$B$5:$B$1004,B108))</f>
        <v/>
      </c>
      <c r="I108" s="10" t="str">
        <f aca="false">IF(B108="","",IF(D108&gt;=3,"FLAG",IF(D108=0,"Not issued","OK")))</f>
        <v/>
      </c>
      <c r="J108" s="29" t="str">
        <f aca="false">IF(I108="FLAG",COUNTIF($I$5:I108,"FLAG"),"")</f>
        <v/>
      </c>
    </row>
    <row r="109" customFormat="false" ht="15" hidden="false" customHeight="false" outlineLevel="0" collapsed="false">
      <c r="A109" s="27" t="n">
        <v>105</v>
      </c>
      <c r="B109" s="28"/>
      <c r="C109" s="22"/>
      <c r="D109" s="10" t="str">
        <f aca="false">IF(B109="","",SUMIFS('Issue Log'!$D$5:$D$1004,'Issue Log'!$B$5:$B$1004,B109))</f>
        <v/>
      </c>
      <c r="E109" s="20" t="str">
        <f aca="false">IF(OR(B109="",N(D109)&lt;1),"",_xlfn.MINIFS('Issue Log'!$A$5:$A$1004,'Issue Log'!$B$5:$B$1004,B109,'Issue Log'!$F$5:$F$1004,"&gt;="&amp;1))</f>
        <v/>
      </c>
      <c r="F109" s="20" t="str">
        <f aca="false">IF(OR(B109="",N(D109)&lt;2),"",_xlfn.MINIFS('Issue Log'!$A$5:$A$1004,'Issue Log'!$B$5:$B$1004,B109,'Issue Log'!$F$5:$F$1004,"&gt;="&amp;2))</f>
        <v/>
      </c>
      <c r="G109" s="20" t="str">
        <f aca="false">IF(OR(B109="",N(D109)&lt;3),"",_xlfn.MINIFS('Issue Log'!$A$5:$A$1004,'Issue Log'!$B$5:$B$1004,B109,'Issue Log'!$F$5:$F$1004,"&gt;="&amp;3))</f>
        <v/>
      </c>
      <c r="H109" s="20" t="str">
        <f aca="false">IF(N(D109)=0,"",_xlfn.MAXIFS('Issue Log'!$A$5:$A$1004,'Issue Log'!$B$5:$B$1004,B109))</f>
        <v/>
      </c>
      <c r="I109" s="10" t="str">
        <f aca="false">IF(B109="","",IF(D109&gt;=3,"FLAG",IF(D109=0,"Not issued","OK")))</f>
        <v/>
      </c>
      <c r="J109" s="29" t="str">
        <f aca="false">IF(I109="FLAG",COUNTIF($I$5:I109,"FLAG"),"")</f>
        <v/>
      </c>
    </row>
    <row r="110" customFormat="false" ht="15" hidden="false" customHeight="false" outlineLevel="0" collapsed="false">
      <c r="A110" s="27" t="n">
        <v>106</v>
      </c>
      <c r="B110" s="28"/>
      <c r="C110" s="22"/>
      <c r="D110" s="10" t="str">
        <f aca="false">IF(B110="","",SUMIFS('Issue Log'!$D$5:$D$1004,'Issue Log'!$B$5:$B$1004,B110))</f>
        <v/>
      </c>
      <c r="E110" s="20" t="str">
        <f aca="false">IF(OR(B110="",N(D110)&lt;1),"",_xlfn.MINIFS('Issue Log'!$A$5:$A$1004,'Issue Log'!$B$5:$B$1004,B110,'Issue Log'!$F$5:$F$1004,"&gt;="&amp;1))</f>
        <v/>
      </c>
      <c r="F110" s="20" t="str">
        <f aca="false">IF(OR(B110="",N(D110)&lt;2),"",_xlfn.MINIFS('Issue Log'!$A$5:$A$1004,'Issue Log'!$B$5:$B$1004,B110,'Issue Log'!$F$5:$F$1004,"&gt;="&amp;2))</f>
        <v/>
      </c>
      <c r="G110" s="20" t="str">
        <f aca="false">IF(OR(B110="",N(D110)&lt;3),"",_xlfn.MINIFS('Issue Log'!$A$5:$A$1004,'Issue Log'!$B$5:$B$1004,B110,'Issue Log'!$F$5:$F$1004,"&gt;="&amp;3))</f>
        <v/>
      </c>
      <c r="H110" s="20" t="str">
        <f aca="false">IF(N(D110)=0,"",_xlfn.MAXIFS('Issue Log'!$A$5:$A$1004,'Issue Log'!$B$5:$B$1004,B110))</f>
        <v/>
      </c>
      <c r="I110" s="10" t="str">
        <f aca="false">IF(B110="","",IF(D110&gt;=3,"FLAG",IF(D110=0,"Not issued","OK")))</f>
        <v/>
      </c>
      <c r="J110" s="29" t="str">
        <f aca="false">IF(I110="FLAG",COUNTIF($I$5:I110,"FLAG"),"")</f>
        <v/>
      </c>
    </row>
    <row r="111" customFormat="false" ht="15" hidden="false" customHeight="false" outlineLevel="0" collapsed="false">
      <c r="A111" s="27" t="n">
        <v>107</v>
      </c>
      <c r="B111" s="28"/>
      <c r="C111" s="22"/>
      <c r="D111" s="10" t="str">
        <f aca="false">IF(B111="","",SUMIFS('Issue Log'!$D$5:$D$1004,'Issue Log'!$B$5:$B$1004,B111))</f>
        <v/>
      </c>
      <c r="E111" s="20" t="str">
        <f aca="false">IF(OR(B111="",N(D111)&lt;1),"",_xlfn.MINIFS('Issue Log'!$A$5:$A$1004,'Issue Log'!$B$5:$B$1004,B111,'Issue Log'!$F$5:$F$1004,"&gt;="&amp;1))</f>
        <v/>
      </c>
      <c r="F111" s="20" t="str">
        <f aca="false">IF(OR(B111="",N(D111)&lt;2),"",_xlfn.MINIFS('Issue Log'!$A$5:$A$1004,'Issue Log'!$B$5:$B$1004,B111,'Issue Log'!$F$5:$F$1004,"&gt;="&amp;2))</f>
        <v/>
      </c>
      <c r="G111" s="20" t="str">
        <f aca="false">IF(OR(B111="",N(D111)&lt;3),"",_xlfn.MINIFS('Issue Log'!$A$5:$A$1004,'Issue Log'!$B$5:$B$1004,B111,'Issue Log'!$F$5:$F$1004,"&gt;="&amp;3))</f>
        <v/>
      </c>
      <c r="H111" s="20" t="str">
        <f aca="false">IF(N(D111)=0,"",_xlfn.MAXIFS('Issue Log'!$A$5:$A$1004,'Issue Log'!$B$5:$B$1004,B111))</f>
        <v/>
      </c>
      <c r="I111" s="10" t="str">
        <f aca="false">IF(B111="","",IF(D111&gt;=3,"FLAG",IF(D111=0,"Not issued","OK")))</f>
        <v/>
      </c>
      <c r="J111" s="29" t="str">
        <f aca="false">IF(I111="FLAG",COUNTIF($I$5:I111,"FLAG"),"")</f>
        <v/>
      </c>
    </row>
    <row r="112" customFormat="false" ht="15" hidden="false" customHeight="false" outlineLevel="0" collapsed="false">
      <c r="A112" s="27" t="n">
        <v>108</v>
      </c>
      <c r="B112" s="28"/>
      <c r="C112" s="22"/>
      <c r="D112" s="10" t="str">
        <f aca="false">IF(B112="","",SUMIFS('Issue Log'!$D$5:$D$1004,'Issue Log'!$B$5:$B$1004,B112))</f>
        <v/>
      </c>
      <c r="E112" s="20" t="str">
        <f aca="false">IF(OR(B112="",N(D112)&lt;1),"",_xlfn.MINIFS('Issue Log'!$A$5:$A$1004,'Issue Log'!$B$5:$B$1004,B112,'Issue Log'!$F$5:$F$1004,"&gt;="&amp;1))</f>
        <v/>
      </c>
      <c r="F112" s="20" t="str">
        <f aca="false">IF(OR(B112="",N(D112)&lt;2),"",_xlfn.MINIFS('Issue Log'!$A$5:$A$1004,'Issue Log'!$B$5:$B$1004,B112,'Issue Log'!$F$5:$F$1004,"&gt;="&amp;2))</f>
        <v/>
      </c>
      <c r="G112" s="20" t="str">
        <f aca="false">IF(OR(B112="",N(D112)&lt;3),"",_xlfn.MINIFS('Issue Log'!$A$5:$A$1004,'Issue Log'!$B$5:$B$1004,B112,'Issue Log'!$F$5:$F$1004,"&gt;="&amp;3))</f>
        <v/>
      </c>
      <c r="H112" s="20" t="str">
        <f aca="false">IF(N(D112)=0,"",_xlfn.MAXIFS('Issue Log'!$A$5:$A$1004,'Issue Log'!$B$5:$B$1004,B112))</f>
        <v/>
      </c>
      <c r="I112" s="10" t="str">
        <f aca="false">IF(B112="","",IF(D112&gt;=3,"FLAG",IF(D112=0,"Not issued","OK")))</f>
        <v/>
      </c>
      <c r="J112" s="29" t="str">
        <f aca="false">IF(I112="FLAG",COUNTIF($I$5:I112,"FLAG"),"")</f>
        <v/>
      </c>
    </row>
    <row r="113" customFormat="false" ht="15" hidden="false" customHeight="false" outlineLevel="0" collapsed="false">
      <c r="A113" s="27" t="n">
        <v>109</v>
      </c>
      <c r="B113" s="28"/>
      <c r="C113" s="22"/>
      <c r="D113" s="10" t="str">
        <f aca="false">IF(B113="","",SUMIFS('Issue Log'!$D$5:$D$1004,'Issue Log'!$B$5:$B$1004,B113))</f>
        <v/>
      </c>
      <c r="E113" s="20" t="str">
        <f aca="false">IF(OR(B113="",N(D113)&lt;1),"",_xlfn.MINIFS('Issue Log'!$A$5:$A$1004,'Issue Log'!$B$5:$B$1004,B113,'Issue Log'!$F$5:$F$1004,"&gt;="&amp;1))</f>
        <v/>
      </c>
      <c r="F113" s="20" t="str">
        <f aca="false">IF(OR(B113="",N(D113)&lt;2),"",_xlfn.MINIFS('Issue Log'!$A$5:$A$1004,'Issue Log'!$B$5:$B$1004,B113,'Issue Log'!$F$5:$F$1004,"&gt;="&amp;2))</f>
        <v/>
      </c>
      <c r="G113" s="20" t="str">
        <f aca="false">IF(OR(B113="",N(D113)&lt;3),"",_xlfn.MINIFS('Issue Log'!$A$5:$A$1004,'Issue Log'!$B$5:$B$1004,B113,'Issue Log'!$F$5:$F$1004,"&gt;="&amp;3))</f>
        <v/>
      </c>
      <c r="H113" s="20" t="str">
        <f aca="false">IF(N(D113)=0,"",_xlfn.MAXIFS('Issue Log'!$A$5:$A$1004,'Issue Log'!$B$5:$B$1004,B113))</f>
        <v/>
      </c>
      <c r="I113" s="10" t="str">
        <f aca="false">IF(B113="","",IF(D113&gt;=3,"FLAG",IF(D113=0,"Not issued","OK")))</f>
        <v/>
      </c>
      <c r="J113" s="29" t="str">
        <f aca="false">IF(I113="FLAG",COUNTIF($I$5:I113,"FLAG"),"")</f>
        <v/>
      </c>
    </row>
    <row r="114" customFormat="false" ht="15" hidden="false" customHeight="false" outlineLevel="0" collapsed="false">
      <c r="A114" s="27" t="n">
        <v>110</v>
      </c>
      <c r="B114" s="28"/>
      <c r="C114" s="22"/>
      <c r="D114" s="10" t="str">
        <f aca="false">IF(B114="","",SUMIFS('Issue Log'!$D$5:$D$1004,'Issue Log'!$B$5:$B$1004,B114))</f>
        <v/>
      </c>
      <c r="E114" s="20" t="str">
        <f aca="false">IF(OR(B114="",N(D114)&lt;1),"",_xlfn.MINIFS('Issue Log'!$A$5:$A$1004,'Issue Log'!$B$5:$B$1004,B114,'Issue Log'!$F$5:$F$1004,"&gt;="&amp;1))</f>
        <v/>
      </c>
      <c r="F114" s="20" t="str">
        <f aca="false">IF(OR(B114="",N(D114)&lt;2),"",_xlfn.MINIFS('Issue Log'!$A$5:$A$1004,'Issue Log'!$B$5:$B$1004,B114,'Issue Log'!$F$5:$F$1004,"&gt;="&amp;2))</f>
        <v/>
      </c>
      <c r="G114" s="20" t="str">
        <f aca="false">IF(OR(B114="",N(D114)&lt;3),"",_xlfn.MINIFS('Issue Log'!$A$5:$A$1004,'Issue Log'!$B$5:$B$1004,B114,'Issue Log'!$F$5:$F$1004,"&gt;="&amp;3))</f>
        <v/>
      </c>
      <c r="H114" s="20" t="str">
        <f aca="false">IF(N(D114)=0,"",_xlfn.MAXIFS('Issue Log'!$A$5:$A$1004,'Issue Log'!$B$5:$B$1004,B114))</f>
        <v/>
      </c>
      <c r="I114" s="10" t="str">
        <f aca="false">IF(B114="","",IF(D114&gt;=3,"FLAG",IF(D114=0,"Not issued","OK")))</f>
        <v/>
      </c>
      <c r="J114" s="29" t="str">
        <f aca="false">IF(I114="FLAG",COUNTIF($I$5:I114,"FLAG"),"")</f>
        <v/>
      </c>
    </row>
    <row r="115" customFormat="false" ht="15" hidden="false" customHeight="false" outlineLevel="0" collapsed="false">
      <c r="A115" s="27" t="n">
        <v>111</v>
      </c>
      <c r="B115" s="28"/>
      <c r="C115" s="22"/>
      <c r="D115" s="10" t="str">
        <f aca="false">IF(B115="","",SUMIFS('Issue Log'!$D$5:$D$1004,'Issue Log'!$B$5:$B$1004,B115))</f>
        <v/>
      </c>
      <c r="E115" s="20" t="str">
        <f aca="false">IF(OR(B115="",N(D115)&lt;1),"",_xlfn.MINIFS('Issue Log'!$A$5:$A$1004,'Issue Log'!$B$5:$B$1004,B115,'Issue Log'!$F$5:$F$1004,"&gt;="&amp;1))</f>
        <v/>
      </c>
      <c r="F115" s="20" t="str">
        <f aca="false">IF(OR(B115="",N(D115)&lt;2),"",_xlfn.MINIFS('Issue Log'!$A$5:$A$1004,'Issue Log'!$B$5:$B$1004,B115,'Issue Log'!$F$5:$F$1004,"&gt;="&amp;2))</f>
        <v/>
      </c>
      <c r="G115" s="20" t="str">
        <f aca="false">IF(OR(B115="",N(D115)&lt;3),"",_xlfn.MINIFS('Issue Log'!$A$5:$A$1004,'Issue Log'!$B$5:$B$1004,B115,'Issue Log'!$F$5:$F$1004,"&gt;="&amp;3))</f>
        <v/>
      </c>
      <c r="H115" s="20" t="str">
        <f aca="false">IF(N(D115)=0,"",_xlfn.MAXIFS('Issue Log'!$A$5:$A$1004,'Issue Log'!$B$5:$B$1004,B115))</f>
        <v/>
      </c>
      <c r="I115" s="10" t="str">
        <f aca="false">IF(B115="","",IF(D115&gt;=3,"FLAG",IF(D115=0,"Not issued","OK")))</f>
        <v/>
      </c>
      <c r="J115" s="29" t="str">
        <f aca="false">IF(I115="FLAG",COUNTIF($I$5:I115,"FLAG"),"")</f>
        <v/>
      </c>
    </row>
    <row r="116" customFormat="false" ht="15" hidden="false" customHeight="false" outlineLevel="0" collapsed="false">
      <c r="A116" s="27" t="n">
        <v>112</v>
      </c>
      <c r="B116" s="28"/>
      <c r="C116" s="22"/>
      <c r="D116" s="10" t="str">
        <f aca="false">IF(B116="","",SUMIFS('Issue Log'!$D$5:$D$1004,'Issue Log'!$B$5:$B$1004,B116))</f>
        <v/>
      </c>
      <c r="E116" s="20" t="str">
        <f aca="false">IF(OR(B116="",N(D116)&lt;1),"",_xlfn.MINIFS('Issue Log'!$A$5:$A$1004,'Issue Log'!$B$5:$B$1004,B116,'Issue Log'!$F$5:$F$1004,"&gt;="&amp;1))</f>
        <v/>
      </c>
      <c r="F116" s="20" t="str">
        <f aca="false">IF(OR(B116="",N(D116)&lt;2),"",_xlfn.MINIFS('Issue Log'!$A$5:$A$1004,'Issue Log'!$B$5:$B$1004,B116,'Issue Log'!$F$5:$F$1004,"&gt;="&amp;2))</f>
        <v/>
      </c>
      <c r="G116" s="20" t="str">
        <f aca="false">IF(OR(B116="",N(D116)&lt;3),"",_xlfn.MINIFS('Issue Log'!$A$5:$A$1004,'Issue Log'!$B$5:$B$1004,B116,'Issue Log'!$F$5:$F$1004,"&gt;="&amp;3))</f>
        <v/>
      </c>
      <c r="H116" s="20" t="str">
        <f aca="false">IF(N(D116)=0,"",_xlfn.MAXIFS('Issue Log'!$A$5:$A$1004,'Issue Log'!$B$5:$B$1004,B116))</f>
        <v/>
      </c>
      <c r="I116" s="10" t="str">
        <f aca="false">IF(B116="","",IF(D116&gt;=3,"FLAG",IF(D116=0,"Not issued","OK")))</f>
        <v/>
      </c>
      <c r="J116" s="29" t="str">
        <f aca="false">IF(I116="FLAG",COUNTIF($I$5:I116,"FLAG"),"")</f>
        <v/>
      </c>
    </row>
    <row r="117" customFormat="false" ht="15" hidden="false" customHeight="false" outlineLevel="0" collapsed="false">
      <c r="A117" s="27" t="n">
        <v>113</v>
      </c>
      <c r="B117" s="28"/>
      <c r="C117" s="22"/>
      <c r="D117" s="10" t="str">
        <f aca="false">IF(B117="","",SUMIFS('Issue Log'!$D$5:$D$1004,'Issue Log'!$B$5:$B$1004,B117))</f>
        <v/>
      </c>
      <c r="E117" s="20" t="str">
        <f aca="false">IF(OR(B117="",N(D117)&lt;1),"",_xlfn.MINIFS('Issue Log'!$A$5:$A$1004,'Issue Log'!$B$5:$B$1004,B117,'Issue Log'!$F$5:$F$1004,"&gt;="&amp;1))</f>
        <v/>
      </c>
      <c r="F117" s="20" t="str">
        <f aca="false">IF(OR(B117="",N(D117)&lt;2),"",_xlfn.MINIFS('Issue Log'!$A$5:$A$1004,'Issue Log'!$B$5:$B$1004,B117,'Issue Log'!$F$5:$F$1004,"&gt;="&amp;2))</f>
        <v/>
      </c>
      <c r="G117" s="20" t="str">
        <f aca="false">IF(OR(B117="",N(D117)&lt;3),"",_xlfn.MINIFS('Issue Log'!$A$5:$A$1004,'Issue Log'!$B$5:$B$1004,B117,'Issue Log'!$F$5:$F$1004,"&gt;="&amp;3))</f>
        <v/>
      </c>
      <c r="H117" s="20" t="str">
        <f aca="false">IF(N(D117)=0,"",_xlfn.MAXIFS('Issue Log'!$A$5:$A$1004,'Issue Log'!$B$5:$B$1004,B117))</f>
        <v/>
      </c>
      <c r="I117" s="10" t="str">
        <f aca="false">IF(B117="","",IF(D117&gt;=3,"FLAG",IF(D117=0,"Not issued","OK")))</f>
        <v/>
      </c>
      <c r="J117" s="29" t="str">
        <f aca="false">IF(I117="FLAG",COUNTIF($I$5:I117,"FLAG"),"")</f>
        <v/>
      </c>
    </row>
    <row r="118" customFormat="false" ht="15" hidden="false" customHeight="false" outlineLevel="0" collapsed="false">
      <c r="A118" s="27" t="n">
        <v>114</v>
      </c>
      <c r="B118" s="28"/>
      <c r="C118" s="22"/>
      <c r="D118" s="10" t="str">
        <f aca="false">IF(B118="","",SUMIFS('Issue Log'!$D$5:$D$1004,'Issue Log'!$B$5:$B$1004,B118))</f>
        <v/>
      </c>
      <c r="E118" s="20" t="str">
        <f aca="false">IF(OR(B118="",N(D118)&lt;1),"",_xlfn.MINIFS('Issue Log'!$A$5:$A$1004,'Issue Log'!$B$5:$B$1004,B118,'Issue Log'!$F$5:$F$1004,"&gt;="&amp;1))</f>
        <v/>
      </c>
      <c r="F118" s="20" t="str">
        <f aca="false">IF(OR(B118="",N(D118)&lt;2),"",_xlfn.MINIFS('Issue Log'!$A$5:$A$1004,'Issue Log'!$B$5:$B$1004,B118,'Issue Log'!$F$5:$F$1004,"&gt;="&amp;2))</f>
        <v/>
      </c>
      <c r="G118" s="20" t="str">
        <f aca="false">IF(OR(B118="",N(D118)&lt;3),"",_xlfn.MINIFS('Issue Log'!$A$5:$A$1004,'Issue Log'!$B$5:$B$1004,B118,'Issue Log'!$F$5:$F$1004,"&gt;="&amp;3))</f>
        <v/>
      </c>
      <c r="H118" s="20" t="str">
        <f aca="false">IF(N(D118)=0,"",_xlfn.MAXIFS('Issue Log'!$A$5:$A$1004,'Issue Log'!$B$5:$B$1004,B118))</f>
        <v/>
      </c>
      <c r="I118" s="10" t="str">
        <f aca="false">IF(B118="","",IF(D118&gt;=3,"FLAG",IF(D118=0,"Not issued","OK")))</f>
        <v/>
      </c>
      <c r="J118" s="29" t="str">
        <f aca="false">IF(I118="FLAG",COUNTIF($I$5:I118,"FLAG"),"")</f>
        <v/>
      </c>
    </row>
    <row r="119" customFormat="false" ht="15" hidden="false" customHeight="false" outlineLevel="0" collapsed="false">
      <c r="A119" s="27" t="n">
        <v>115</v>
      </c>
      <c r="B119" s="28"/>
      <c r="C119" s="22"/>
      <c r="D119" s="10" t="str">
        <f aca="false">IF(B119="","",SUMIFS('Issue Log'!$D$5:$D$1004,'Issue Log'!$B$5:$B$1004,B119))</f>
        <v/>
      </c>
      <c r="E119" s="20" t="str">
        <f aca="false">IF(OR(B119="",N(D119)&lt;1),"",_xlfn.MINIFS('Issue Log'!$A$5:$A$1004,'Issue Log'!$B$5:$B$1004,B119,'Issue Log'!$F$5:$F$1004,"&gt;="&amp;1))</f>
        <v/>
      </c>
      <c r="F119" s="20" t="str">
        <f aca="false">IF(OR(B119="",N(D119)&lt;2),"",_xlfn.MINIFS('Issue Log'!$A$5:$A$1004,'Issue Log'!$B$5:$B$1004,B119,'Issue Log'!$F$5:$F$1004,"&gt;="&amp;2))</f>
        <v/>
      </c>
      <c r="G119" s="20" t="str">
        <f aca="false">IF(OR(B119="",N(D119)&lt;3),"",_xlfn.MINIFS('Issue Log'!$A$5:$A$1004,'Issue Log'!$B$5:$B$1004,B119,'Issue Log'!$F$5:$F$1004,"&gt;="&amp;3))</f>
        <v/>
      </c>
      <c r="H119" s="20" t="str">
        <f aca="false">IF(N(D119)=0,"",_xlfn.MAXIFS('Issue Log'!$A$5:$A$1004,'Issue Log'!$B$5:$B$1004,B119))</f>
        <v/>
      </c>
      <c r="I119" s="10" t="str">
        <f aca="false">IF(B119="","",IF(D119&gt;=3,"FLAG",IF(D119=0,"Not issued","OK")))</f>
        <v/>
      </c>
      <c r="J119" s="29" t="str">
        <f aca="false">IF(I119="FLAG",COUNTIF($I$5:I119,"FLAG"),"")</f>
        <v/>
      </c>
    </row>
    <row r="120" customFormat="false" ht="15" hidden="false" customHeight="false" outlineLevel="0" collapsed="false">
      <c r="A120" s="27" t="n">
        <v>116</v>
      </c>
      <c r="B120" s="28"/>
      <c r="C120" s="22"/>
      <c r="D120" s="10" t="str">
        <f aca="false">IF(B120="","",SUMIFS('Issue Log'!$D$5:$D$1004,'Issue Log'!$B$5:$B$1004,B120))</f>
        <v/>
      </c>
      <c r="E120" s="20" t="str">
        <f aca="false">IF(OR(B120="",N(D120)&lt;1),"",_xlfn.MINIFS('Issue Log'!$A$5:$A$1004,'Issue Log'!$B$5:$B$1004,B120,'Issue Log'!$F$5:$F$1004,"&gt;="&amp;1))</f>
        <v/>
      </c>
      <c r="F120" s="20" t="str">
        <f aca="false">IF(OR(B120="",N(D120)&lt;2),"",_xlfn.MINIFS('Issue Log'!$A$5:$A$1004,'Issue Log'!$B$5:$B$1004,B120,'Issue Log'!$F$5:$F$1004,"&gt;="&amp;2))</f>
        <v/>
      </c>
      <c r="G120" s="20" t="str">
        <f aca="false">IF(OR(B120="",N(D120)&lt;3),"",_xlfn.MINIFS('Issue Log'!$A$5:$A$1004,'Issue Log'!$B$5:$B$1004,B120,'Issue Log'!$F$5:$F$1004,"&gt;="&amp;3))</f>
        <v/>
      </c>
      <c r="H120" s="20" t="str">
        <f aca="false">IF(N(D120)=0,"",_xlfn.MAXIFS('Issue Log'!$A$5:$A$1004,'Issue Log'!$B$5:$B$1004,B120))</f>
        <v/>
      </c>
      <c r="I120" s="10" t="str">
        <f aca="false">IF(B120="","",IF(D120&gt;=3,"FLAG",IF(D120=0,"Not issued","OK")))</f>
        <v/>
      </c>
      <c r="J120" s="29" t="str">
        <f aca="false">IF(I120="FLAG",COUNTIF($I$5:I120,"FLAG"),"")</f>
        <v/>
      </c>
    </row>
    <row r="121" customFormat="false" ht="15" hidden="false" customHeight="false" outlineLevel="0" collapsed="false">
      <c r="A121" s="27" t="n">
        <v>117</v>
      </c>
      <c r="B121" s="28"/>
      <c r="C121" s="22"/>
      <c r="D121" s="10" t="str">
        <f aca="false">IF(B121="","",SUMIFS('Issue Log'!$D$5:$D$1004,'Issue Log'!$B$5:$B$1004,B121))</f>
        <v/>
      </c>
      <c r="E121" s="20" t="str">
        <f aca="false">IF(OR(B121="",N(D121)&lt;1),"",_xlfn.MINIFS('Issue Log'!$A$5:$A$1004,'Issue Log'!$B$5:$B$1004,B121,'Issue Log'!$F$5:$F$1004,"&gt;="&amp;1))</f>
        <v/>
      </c>
      <c r="F121" s="20" t="str">
        <f aca="false">IF(OR(B121="",N(D121)&lt;2),"",_xlfn.MINIFS('Issue Log'!$A$5:$A$1004,'Issue Log'!$B$5:$B$1004,B121,'Issue Log'!$F$5:$F$1004,"&gt;="&amp;2))</f>
        <v/>
      </c>
      <c r="G121" s="20" t="str">
        <f aca="false">IF(OR(B121="",N(D121)&lt;3),"",_xlfn.MINIFS('Issue Log'!$A$5:$A$1004,'Issue Log'!$B$5:$B$1004,B121,'Issue Log'!$F$5:$F$1004,"&gt;="&amp;3))</f>
        <v/>
      </c>
      <c r="H121" s="20" t="str">
        <f aca="false">IF(N(D121)=0,"",_xlfn.MAXIFS('Issue Log'!$A$5:$A$1004,'Issue Log'!$B$5:$B$1004,B121))</f>
        <v/>
      </c>
      <c r="I121" s="10" t="str">
        <f aca="false">IF(B121="","",IF(D121&gt;=3,"FLAG",IF(D121=0,"Not issued","OK")))</f>
        <v/>
      </c>
      <c r="J121" s="29" t="str">
        <f aca="false">IF(I121="FLAG",COUNTIF($I$5:I121,"FLAG"),"")</f>
        <v/>
      </c>
    </row>
    <row r="122" customFormat="false" ht="15" hidden="false" customHeight="false" outlineLevel="0" collapsed="false">
      <c r="A122" s="27" t="n">
        <v>118</v>
      </c>
      <c r="B122" s="28"/>
      <c r="C122" s="22"/>
      <c r="D122" s="10" t="str">
        <f aca="false">IF(B122="","",SUMIFS('Issue Log'!$D$5:$D$1004,'Issue Log'!$B$5:$B$1004,B122))</f>
        <v/>
      </c>
      <c r="E122" s="20" t="str">
        <f aca="false">IF(OR(B122="",N(D122)&lt;1),"",_xlfn.MINIFS('Issue Log'!$A$5:$A$1004,'Issue Log'!$B$5:$B$1004,B122,'Issue Log'!$F$5:$F$1004,"&gt;="&amp;1))</f>
        <v/>
      </c>
      <c r="F122" s="20" t="str">
        <f aca="false">IF(OR(B122="",N(D122)&lt;2),"",_xlfn.MINIFS('Issue Log'!$A$5:$A$1004,'Issue Log'!$B$5:$B$1004,B122,'Issue Log'!$F$5:$F$1004,"&gt;="&amp;2))</f>
        <v/>
      </c>
      <c r="G122" s="20" t="str">
        <f aca="false">IF(OR(B122="",N(D122)&lt;3),"",_xlfn.MINIFS('Issue Log'!$A$5:$A$1004,'Issue Log'!$B$5:$B$1004,B122,'Issue Log'!$F$5:$F$1004,"&gt;="&amp;3))</f>
        <v/>
      </c>
      <c r="H122" s="20" t="str">
        <f aca="false">IF(N(D122)=0,"",_xlfn.MAXIFS('Issue Log'!$A$5:$A$1004,'Issue Log'!$B$5:$B$1004,B122))</f>
        <v/>
      </c>
      <c r="I122" s="10" t="str">
        <f aca="false">IF(B122="","",IF(D122&gt;=3,"FLAG",IF(D122=0,"Not issued","OK")))</f>
        <v/>
      </c>
      <c r="J122" s="29" t="str">
        <f aca="false">IF(I122="FLAG",COUNTIF($I$5:I122,"FLAG"),"")</f>
        <v/>
      </c>
    </row>
    <row r="123" customFormat="false" ht="15" hidden="false" customHeight="false" outlineLevel="0" collapsed="false">
      <c r="A123" s="27" t="n">
        <v>119</v>
      </c>
      <c r="B123" s="28"/>
      <c r="C123" s="22"/>
      <c r="D123" s="10" t="str">
        <f aca="false">IF(B123="","",SUMIFS('Issue Log'!$D$5:$D$1004,'Issue Log'!$B$5:$B$1004,B123))</f>
        <v/>
      </c>
      <c r="E123" s="20" t="str">
        <f aca="false">IF(OR(B123="",N(D123)&lt;1),"",_xlfn.MINIFS('Issue Log'!$A$5:$A$1004,'Issue Log'!$B$5:$B$1004,B123,'Issue Log'!$F$5:$F$1004,"&gt;="&amp;1))</f>
        <v/>
      </c>
      <c r="F123" s="20" t="str">
        <f aca="false">IF(OR(B123="",N(D123)&lt;2),"",_xlfn.MINIFS('Issue Log'!$A$5:$A$1004,'Issue Log'!$B$5:$B$1004,B123,'Issue Log'!$F$5:$F$1004,"&gt;="&amp;2))</f>
        <v/>
      </c>
      <c r="G123" s="20" t="str">
        <f aca="false">IF(OR(B123="",N(D123)&lt;3),"",_xlfn.MINIFS('Issue Log'!$A$5:$A$1004,'Issue Log'!$B$5:$B$1004,B123,'Issue Log'!$F$5:$F$1004,"&gt;="&amp;3))</f>
        <v/>
      </c>
      <c r="H123" s="20" t="str">
        <f aca="false">IF(N(D123)=0,"",_xlfn.MAXIFS('Issue Log'!$A$5:$A$1004,'Issue Log'!$B$5:$B$1004,B123))</f>
        <v/>
      </c>
      <c r="I123" s="10" t="str">
        <f aca="false">IF(B123="","",IF(D123&gt;=3,"FLAG",IF(D123=0,"Not issued","OK")))</f>
        <v/>
      </c>
      <c r="J123" s="29" t="str">
        <f aca="false">IF(I123="FLAG",COUNTIF($I$5:I123,"FLAG"),"")</f>
        <v/>
      </c>
    </row>
    <row r="124" customFormat="false" ht="15" hidden="false" customHeight="false" outlineLevel="0" collapsed="false">
      <c r="A124" s="27" t="n">
        <v>120</v>
      </c>
      <c r="B124" s="28"/>
      <c r="C124" s="22"/>
      <c r="D124" s="10" t="str">
        <f aca="false">IF(B124="","",SUMIFS('Issue Log'!$D$5:$D$1004,'Issue Log'!$B$5:$B$1004,B124))</f>
        <v/>
      </c>
      <c r="E124" s="20" t="str">
        <f aca="false">IF(OR(B124="",N(D124)&lt;1),"",_xlfn.MINIFS('Issue Log'!$A$5:$A$1004,'Issue Log'!$B$5:$B$1004,B124,'Issue Log'!$F$5:$F$1004,"&gt;="&amp;1))</f>
        <v/>
      </c>
      <c r="F124" s="20" t="str">
        <f aca="false">IF(OR(B124="",N(D124)&lt;2),"",_xlfn.MINIFS('Issue Log'!$A$5:$A$1004,'Issue Log'!$B$5:$B$1004,B124,'Issue Log'!$F$5:$F$1004,"&gt;="&amp;2))</f>
        <v/>
      </c>
      <c r="G124" s="20" t="str">
        <f aca="false">IF(OR(B124="",N(D124)&lt;3),"",_xlfn.MINIFS('Issue Log'!$A$5:$A$1004,'Issue Log'!$B$5:$B$1004,B124,'Issue Log'!$F$5:$F$1004,"&gt;="&amp;3))</f>
        <v/>
      </c>
      <c r="H124" s="20" t="str">
        <f aca="false">IF(N(D124)=0,"",_xlfn.MAXIFS('Issue Log'!$A$5:$A$1004,'Issue Log'!$B$5:$B$1004,B124))</f>
        <v/>
      </c>
      <c r="I124" s="10" t="str">
        <f aca="false">IF(B124="","",IF(D124&gt;=3,"FLAG",IF(D124=0,"Not issued","OK")))</f>
        <v/>
      </c>
      <c r="J124" s="29" t="str">
        <f aca="false">IF(I124="FLAG",COUNTIF($I$5:I124,"FLAG"),"")</f>
        <v/>
      </c>
    </row>
    <row r="125" customFormat="false" ht="15" hidden="false" customHeight="false" outlineLevel="0" collapsed="false">
      <c r="A125" s="27" t="n">
        <v>121</v>
      </c>
      <c r="B125" s="28"/>
      <c r="C125" s="22"/>
      <c r="D125" s="10" t="str">
        <f aca="false">IF(B125="","",SUMIFS('Issue Log'!$D$5:$D$1004,'Issue Log'!$B$5:$B$1004,B125))</f>
        <v/>
      </c>
      <c r="E125" s="20" t="str">
        <f aca="false">IF(OR(B125="",N(D125)&lt;1),"",_xlfn.MINIFS('Issue Log'!$A$5:$A$1004,'Issue Log'!$B$5:$B$1004,B125,'Issue Log'!$F$5:$F$1004,"&gt;="&amp;1))</f>
        <v/>
      </c>
      <c r="F125" s="20" t="str">
        <f aca="false">IF(OR(B125="",N(D125)&lt;2),"",_xlfn.MINIFS('Issue Log'!$A$5:$A$1004,'Issue Log'!$B$5:$B$1004,B125,'Issue Log'!$F$5:$F$1004,"&gt;="&amp;2))</f>
        <v/>
      </c>
      <c r="G125" s="20" t="str">
        <f aca="false">IF(OR(B125="",N(D125)&lt;3),"",_xlfn.MINIFS('Issue Log'!$A$5:$A$1004,'Issue Log'!$B$5:$B$1004,B125,'Issue Log'!$F$5:$F$1004,"&gt;="&amp;3))</f>
        <v/>
      </c>
      <c r="H125" s="20" t="str">
        <f aca="false">IF(N(D125)=0,"",_xlfn.MAXIFS('Issue Log'!$A$5:$A$1004,'Issue Log'!$B$5:$B$1004,B125))</f>
        <v/>
      </c>
      <c r="I125" s="10" t="str">
        <f aca="false">IF(B125="","",IF(D125&gt;=3,"FLAG",IF(D125=0,"Not issued","OK")))</f>
        <v/>
      </c>
      <c r="J125" s="29" t="str">
        <f aca="false">IF(I125="FLAG",COUNTIF($I$5:I125,"FLAG"),"")</f>
        <v/>
      </c>
    </row>
    <row r="126" customFormat="false" ht="15" hidden="false" customHeight="false" outlineLevel="0" collapsed="false">
      <c r="A126" s="27" t="n">
        <v>122</v>
      </c>
      <c r="B126" s="28"/>
      <c r="C126" s="22"/>
      <c r="D126" s="10" t="str">
        <f aca="false">IF(B126="","",SUMIFS('Issue Log'!$D$5:$D$1004,'Issue Log'!$B$5:$B$1004,B126))</f>
        <v/>
      </c>
      <c r="E126" s="20" t="str">
        <f aca="false">IF(OR(B126="",N(D126)&lt;1),"",_xlfn.MINIFS('Issue Log'!$A$5:$A$1004,'Issue Log'!$B$5:$B$1004,B126,'Issue Log'!$F$5:$F$1004,"&gt;="&amp;1))</f>
        <v/>
      </c>
      <c r="F126" s="20" t="str">
        <f aca="false">IF(OR(B126="",N(D126)&lt;2),"",_xlfn.MINIFS('Issue Log'!$A$5:$A$1004,'Issue Log'!$B$5:$B$1004,B126,'Issue Log'!$F$5:$F$1004,"&gt;="&amp;2))</f>
        <v/>
      </c>
      <c r="G126" s="20" t="str">
        <f aca="false">IF(OR(B126="",N(D126)&lt;3),"",_xlfn.MINIFS('Issue Log'!$A$5:$A$1004,'Issue Log'!$B$5:$B$1004,B126,'Issue Log'!$F$5:$F$1004,"&gt;="&amp;3))</f>
        <v/>
      </c>
      <c r="H126" s="20" t="str">
        <f aca="false">IF(N(D126)=0,"",_xlfn.MAXIFS('Issue Log'!$A$5:$A$1004,'Issue Log'!$B$5:$B$1004,B126))</f>
        <v/>
      </c>
      <c r="I126" s="10" t="str">
        <f aca="false">IF(B126="","",IF(D126&gt;=3,"FLAG",IF(D126=0,"Not issued","OK")))</f>
        <v/>
      </c>
      <c r="J126" s="29" t="str">
        <f aca="false">IF(I126="FLAG",COUNTIF($I$5:I126,"FLAG"),"")</f>
        <v/>
      </c>
    </row>
    <row r="127" customFormat="false" ht="15" hidden="false" customHeight="false" outlineLevel="0" collapsed="false">
      <c r="A127" s="27" t="n">
        <v>123</v>
      </c>
      <c r="B127" s="28"/>
      <c r="C127" s="22"/>
      <c r="D127" s="10" t="str">
        <f aca="false">IF(B127="","",SUMIFS('Issue Log'!$D$5:$D$1004,'Issue Log'!$B$5:$B$1004,B127))</f>
        <v/>
      </c>
      <c r="E127" s="20" t="str">
        <f aca="false">IF(OR(B127="",N(D127)&lt;1),"",_xlfn.MINIFS('Issue Log'!$A$5:$A$1004,'Issue Log'!$B$5:$B$1004,B127,'Issue Log'!$F$5:$F$1004,"&gt;="&amp;1))</f>
        <v/>
      </c>
      <c r="F127" s="20" t="str">
        <f aca="false">IF(OR(B127="",N(D127)&lt;2),"",_xlfn.MINIFS('Issue Log'!$A$5:$A$1004,'Issue Log'!$B$5:$B$1004,B127,'Issue Log'!$F$5:$F$1004,"&gt;="&amp;2))</f>
        <v/>
      </c>
      <c r="G127" s="20" t="str">
        <f aca="false">IF(OR(B127="",N(D127)&lt;3),"",_xlfn.MINIFS('Issue Log'!$A$5:$A$1004,'Issue Log'!$B$5:$B$1004,B127,'Issue Log'!$F$5:$F$1004,"&gt;="&amp;3))</f>
        <v/>
      </c>
      <c r="H127" s="20" t="str">
        <f aca="false">IF(N(D127)=0,"",_xlfn.MAXIFS('Issue Log'!$A$5:$A$1004,'Issue Log'!$B$5:$B$1004,B127))</f>
        <v/>
      </c>
      <c r="I127" s="10" t="str">
        <f aca="false">IF(B127="","",IF(D127&gt;=3,"FLAG",IF(D127=0,"Not issued","OK")))</f>
        <v/>
      </c>
      <c r="J127" s="29" t="str">
        <f aca="false">IF(I127="FLAG",COUNTIF($I$5:I127,"FLAG"),"")</f>
        <v/>
      </c>
    </row>
    <row r="128" customFormat="false" ht="15" hidden="false" customHeight="false" outlineLevel="0" collapsed="false">
      <c r="A128" s="27" t="n">
        <v>124</v>
      </c>
      <c r="B128" s="28"/>
      <c r="C128" s="22"/>
      <c r="D128" s="10" t="str">
        <f aca="false">IF(B128="","",SUMIFS('Issue Log'!$D$5:$D$1004,'Issue Log'!$B$5:$B$1004,B128))</f>
        <v/>
      </c>
      <c r="E128" s="20" t="str">
        <f aca="false">IF(OR(B128="",N(D128)&lt;1),"",_xlfn.MINIFS('Issue Log'!$A$5:$A$1004,'Issue Log'!$B$5:$B$1004,B128,'Issue Log'!$F$5:$F$1004,"&gt;="&amp;1))</f>
        <v/>
      </c>
      <c r="F128" s="20" t="str">
        <f aca="false">IF(OR(B128="",N(D128)&lt;2),"",_xlfn.MINIFS('Issue Log'!$A$5:$A$1004,'Issue Log'!$B$5:$B$1004,B128,'Issue Log'!$F$5:$F$1004,"&gt;="&amp;2))</f>
        <v/>
      </c>
      <c r="G128" s="20" t="str">
        <f aca="false">IF(OR(B128="",N(D128)&lt;3),"",_xlfn.MINIFS('Issue Log'!$A$5:$A$1004,'Issue Log'!$B$5:$B$1004,B128,'Issue Log'!$F$5:$F$1004,"&gt;="&amp;3))</f>
        <v/>
      </c>
      <c r="H128" s="20" t="str">
        <f aca="false">IF(N(D128)=0,"",_xlfn.MAXIFS('Issue Log'!$A$5:$A$1004,'Issue Log'!$B$5:$B$1004,B128))</f>
        <v/>
      </c>
      <c r="I128" s="10" t="str">
        <f aca="false">IF(B128="","",IF(D128&gt;=3,"FLAG",IF(D128=0,"Not issued","OK")))</f>
        <v/>
      </c>
      <c r="J128" s="29" t="str">
        <f aca="false">IF(I128="FLAG",COUNTIF($I$5:I128,"FLAG"),"")</f>
        <v/>
      </c>
    </row>
    <row r="129" customFormat="false" ht="15" hidden="false" customHeight="false" outlineLevel="0" collapsed="false">
      <c r="A129" s="27" t="n">
        <v>125</v>
      </c>
      <c r="B129" s="28"/>
      <c r="C129" s="22"/>
      <c r="D129" s="10" t="str">
        <f aca="false">IF(B129="","",SUMIFS('Issue Log'!$D$5:$D$1004,'Issue Log'!$B$5:$B$1004,B129))</f>
        <v/>
      </c>
      <c r="E129" s="20" t="str">
        <f aca="false">IF(OR(B129="",N(D129)&lt;1),"",_xlfn.MINIFS('Issue Log'!$A$5:$A$1004,'Issue Log'!$B$5:$B$1004,B129,'Issue Log'!$F$5:$F$1004,"&gt;="&amp;1))</f>
        <v/>
      </c>
      <c r="F129" s="20" t="str">
        <f aca="false">IF(OR(B129="",N(D129)&lt;2),"",_xlfn.MINIFS('Issue Log'!$A$5:$A$1004,'Issue Log'!$B$5:$B$1004,B129,'Issue Log'!$F$5:$F$1004,"&gt;="&amp;2))</f>
        <v/>
      </c>
      <c r="G129" s="20" t="str">
        <f aca="false">IF(OR(B129="",N(D129)&lt;3),"",_xlfn.MINIFS('Issue Log'!$A$5:$A$1004,'Issue Log'!$B$5:$B$1004,B129,'Issue Log'!$F$5:$F$1004,"&gt;="&amp;3))</f>
        <v/>
      </c>
      <c r="H129" s="20" t="str">
        <f aca="false">IF(N(D129)=0,"",_xlfn.MAXIFS('Issue Log'!$A$5:$A$1004,'Issue Log'!$B$5:$B$1004,B129))</f>
        <v/>
      </c>
      <c r="I129" s="10" t="str">
        <f aca="false">IF(B129="","",IF(D129&gt;=3,"FLAG",IF(D129=0,"Not issued","OK")))</f>
        <v/>
      </c>
      <c r="J129" s="29" t="str">
        <f aca="false">IF(I129="FLAG",COUNTIF($I$5:I129,"FLAG"),"")</f>
        <v/>
      </c>
    </row>
    <row r="130" customFormat="false" ht="15" hidden="false" customHeight="false" outlineLevel="0" collapsed="false">
      <c r="A130" s="27" t="n">
        <v>126</v>
      </c>
      <c r="B130" s="28"/>
      <c r="C130" s="22"/>
      <c r="D130" s="10" t="str">
        <f aca="false">IF(B130="","",SUMIFS('Issue Log'!$D$5:$D$1004,'Issue Log'!$B$5:$B$1004,B130))</f>
        <v/>
      </c>
      <c r="E130" s="20" t="str">
        <f aca="false">IF(OR(B130="",N(D130)&lt;1),"",_xlfn.MINIFS('Issue Log'!$A$5:$A$1004,'Issue Log'!$B$5:$B$1004,B130,'Issue Log'!$F$5:$F$1004,"&gt;="&amp;1))</f>
        <v/>
      </c>
      <c r="F130" s="20" t="str">
        <f aca="false">IF(OR(B130="",N(D130)&lt;2),"",_xlfn.MINIFS('Issue Log'!$A$5:$A$1004,'Issue Log'!$B$5:$B$1004,B130,'Issue Log'!$F$5:$F$1004,"&gt;="&amp;2))</f>
        <v/>
      </c>
      <c r="G130" s="20" t="str">
        <f aca="false">IF(OR(B130="",N(D130)&lt;3),"",_xlfn.MINIFS('Issue Log'!$A$5:$A$1004,'Issue Log'!$B$5:$B$1004,B130,'Issue Log'!$F$5:$F$1004,"&gt;="&amp;3))</f>
        <v/>
      </c>
      <c r="H130" s="20" t="str">
        <f aca="false">IF(N(D130)=0,"",_xlfn.MAXIFS('Issue Log'!$A$5:$A$1004,'Issue Log'!$B$5:$B$1004,B130))</f>
        <v/>
      </c>
      <c r="I130" s="10" t="str">
        <f aca="false">IF(B130="","",IF(D130&gt;=3,"FLAG",IF(D130=0,"Not issued","OK")))</f>
        <v/>
      </c>
      <c r="J130" s="29" t="str">
        <f aca="false">IF(I130="FLAG",COUNTIF($I$5:I130,"FLAG"),"")</f>
        <v/>
      </c>
    </row>
    <row r="131" customFormat="false" ht="15" hidden="false" customHeight="false" outlineLevel="0" collapsed="false">
      <c r="A131" s="27" t="n">
        <v>127</v>
      </c>
      <c r="B131" s="28"/>
      <c r="C131" s="22"/>
      <c r="D131" s="10" t="str">
        <f aca="false">IF(B131="","",SUMIFS('Issue Log'!$D$5:$D$1004,'Issue Log'!$B$5:$B$1004,B131))</f>
        <v/>
      </c>
      <c r="E131" s="20" t="str">
        <f aca="false">IF(OR(B131="",N(D131)&lt;1),"",_xlfn.MINIFS('Issue Log'!$A$5:$A$1004,'Issue Log'!$B$5:$B$1004,B131,'Issue Log'!$F$5:$F$1004,"&gt;="&amp;1))</f>
        <v/>
      </c>
      <c r="F131" s="20" t="str">
        <f aca="false">IF(OR(B131="",N(D131)&lt;2),"",_xlfn.MINIFS('Issue Log'!$A$5:$A$1004,'Issue Log'!$B$5:$B$1004,B131,'Issue Log'!$F$5:$F$1004,"&gt;="&amp;2))</f>
        <v/>
      </c>
      <c r="G131" s="20" t="str">
        <f aca="false">IF(OR(B131="",N(D131)&lt;3),"",_xlfn.MINIFS('Issue Log'!$A$5:$A$1004,'Issue Log'!$B$5:$B$1004,B131,'Issue Log'!$F$5:$F$1004,"&gt;="&amp;3))</f>
        <v/>
      </c>
      <c r="H131" s="20" t="str">
        <f aca="false">IF(N(D131)=0,"",_xlfn.MAXIFS('Issue Log'!$A$5:$A$1004,'Issue Log'!$B$5:$B$1004,B131))</f>
        <v/>
      </c>
      <c r="I131" s="10" t="str">
        <f aca="false">IF(B131="","",IF(D131&gt;=3,"FLAG",IF(D131=0,"Not issued","OK")))</f>
        <v/>
      </c>
      <c r="J131" s="29" t="str">
        <f aca="false">IF(I131="FLAG",COUNTIF($I$5:I131,"FLAG"),"")</f>
        <v/>
      </c>
    </row>
    <row r="132" customFormat="false" ht="15" hidden="false" customHeight="false" outlineLevel="0" collapsed="false">
      <c r="A132" s="27" t="n">
        <v>128</v>
      </c>
      <c r="B132" s="28"/>
      <c r="C132" s="22"/>
      <c r="D132" s="10" t="str">
        <f aca="false">IF(B132="","",SUMIFS('Issue Log'!$D$5:$D$1004,'Issue Log'!$B$5:$B$1004,B132))</f>
        <v/>
      </c>
      <c r="E132" s="20" t="str">
        <f aca="false">IF(OR(B132="",N(D132)&lt;1),"",_xlfn.MINIFS('Issue Log'!$A$5:$A$1004,'Issue Log'!$B$5:$B$1004,B132,'Issue Log'!$F$5:$F$1004,"&gt;="&amp;1))</f>
        <v/>
      </c>
      <c r="F132" s="20" t="str">
        <f aca="false">IF(OR(B132="",N(D132)&lt;2),"",_xlfn.MINIFS('Issue Log'!$A$5:$A$1004,'Issue Log'!$B$5:$B$1004,B132,'Issue Log'!$F$5:$F$1004,"&gt;="&amp;2))</f>
        <v/>
      </c>
      <c r="G132" s="20" t="str">
        <f aca="false">IF(OR(B132="",N(D132)&lt;3),"",_xlfn.MINIFS('Issue Log'!$A$5:$A$1004,'Issue Log'!$B$5:$B$1004,B132,'Issue Log'!$F$5:$F$1004,"&gt;="&amp;3))</f>
        <v/>
      </c>
      <c r="H132" s="20" t="str">
        <f aca="false">IF(N(D132)=0,"",_xlfn.MAXIFS('Issue Log'!$A$5:$A$1004,'Issue Log'!$B$5:$B$1004,B132))</f>
        <v/>
      </c>
      <c r="I132" s="10" t="str">
        <f aca="false">IF(B132="","",IF(D132&gt;=3,"FLAG",IF(D132=0,"Not issued","OK")))</f>
        <v/>
      </c>
      <c r="J132" s="29" t="str">
        <f aca="false">IF(I132="FLAG",COUNTIF($I$5:I132,"FLAG"),"")</f>
        <v/>
      </c>
    </row>
    <row r="133" customFormat="false" ht="15" hidden="false" customHeight="false" outlineLevel="0" collapsed="false">
      <c r="A133" s="27" t="n">
        <v>129</v>
      </c>
      <c r="B133" s="28"/>
      <c r="C133" s="22"/>
      <c r="D133" s="10" t="str">
        <f aca="false">IF(B133="","",SUMIFS('Issue Log'!$D$5:$D$1004,'Issue Log'!$B$5:$B$1004,B133))</f>
        <v/>
      </c>
      <c r="E133" s="20" t="str">
        <f aca="false">IF(OR(B133="",N(D133)&lt;1),"",_xlfn.MINIFS('Issue Log'!$A$5:$A$1004,'Issue Log'!$B$5:$B$1004,B133,'Issue Log'!$F$5:$F$1004,"&gt;="&amp;1))</f>
        <v/>
      </c>
      <c r="F133" s="20" t="str">
        <f aca="false">IF(OR(B133="",N(D133)&lt;2),"",_xlfn.MINIFS('Issue Log'!$A$5:$A$1004,'Issue Log'!$B$5:$B$1004,B133,'Issue Log'!$F$5:$F$1004,"&gt;="&amp;2))</f>
        <v/>
      </c>
      <c r="G133" s="20" t="str">
        <f aca="false">IF(OR(B133="",N(D133)&lt;3),"",_xlfn.MINIFS('Issue Log'!$A$5:$A$1004,'Issue Log'!$B$5:$B$1004,B133,'Issue Log'!$F$5:$F$1004,"&gt;="&amp;3))</f>
        <v/>
      </c>
      <c r="H133" s="20" t="str">
        <f aca="false">IF(N(D133)=0,"",_xlfn.MAXIFS('Issue Log'!$A$5:$A$1004,'Issue Log'!$B$5:$B$1004,B133))</f>
        <v/>
      </c>
      <c r="I133" s="10" t="str">
        <f aca="false">IF(B133="","",IF(D133&gt;=3,"FLAG",IF(D133=0,"Not issued","OK")))</f>
        <v/>
      </c>
      <c r="J133" s="29" t="str">
        <f aca="false">IF(I133="FLAG",COUNTIF($I$5:I133,"FLAG"),"")</f>
        <v/>
      </c>
    </row>
    <row r="134" customFormat="false" ht="15" hidden="false" customHeight="false" outlineLevel="0" collapsed="false">
      <c r="A134" s="27" t="n">
        <v>130</v>
      </c>
      <c r="B134" s="28"/>
      <c r="C134" s="22"/>
      <c r="D134" s="10" t="str">
        <f aca="false">IF(B134="","",SUMIFS('Issue Log'!$D$5:$D$1004,'Issue Log'!$B$5:$B$1004,B134))</f>
        <v/>
      </c>
      <c r="E134" s="20" t="str">
        <f aca="false">IF(OR(B134="",N(D134)&lt;1),"",_xlfn.MINIFS('Issue Log'!$A$5:$A$1004,'Issue Log'!$B$5:$B$1004,B134,'Issue Log'!$F$5:$F$1004,"&gt;="&amp;1))</f>
        <v/>
      </c>
      <c r="F134" s="20" t="str">
        <f aca="false">IF(OR(B134="",N(D134)&lt;2),"",_xlfn.MINIFS('Issue Log'!$A$5:$A$1004,'Issue Log'!$B$5:$B$1004,B134,'Issue Log'!$F$5:$F$1004,"&gt;="&amp;2))</f>
        <v/>
      </c>
      <c r="G134" s="20" t="str">
        <f aca="false">IF(OR(B134="",N(D134)&lt;3),"",_xlfn.MINIFS('Issue Log'!$A$5:$A$1004,'Issue Log'!$B$5:$B$1004,B134,'Issue Log'!$F$5:$F$1004,"&gt;="&amp;3))</f>
        <v/>
      </c>
      <c r="H134" s="20" t="str">
        <f aca="false">IF(N(D134)=0,"",_xlfn.MAXIFS('Issue Log'!$A$5:$A$1004,'Issue Log'!$B$5:$B$1004,B134))</f>
        <v/>
      </c>
      <c r="I134" s="10" t="str">
        <f aca="false">IF(B134="","",IF(D134&gt;=3,"FLAG",IF(D134=0,"Not issued","OK")))</f>
        <v/>
      </c>
      <c r="J134" s="29" t="str">
        <f aca="false">IF(I134="FLAG",COUNTIF($I$5:I134,"FLAG"),"")</f>
        <v/>
      </c>
    </row>
    <row r="135" customFormat="false" ht="15" hidden="false" customHeight="false" outlineLevel="0" collapsed="false">
      <c r="A135" s="27" t="n">
        <v>131</v>
      </c>
      <c r="B135" s="28"/>
      <c r="C135" s="22"/>
      <c r="D135" s="10" t="str">
        <f aca="false">IF(B135="","",SUMIFS('Issue Log'!$D$5:$D$1004,'Issue Log'!$B$5:$B$1004,B135))</f>
        <v/>
      </c>
      <c r="E135" s="20" t="str">
        <f aca="false">IF(OR(B135="",N(D135)&lt;1),"",_xlfn.MINIFS('Issue Log'!$A$5:$A$1004,'Issue Log'!$B$5:$B$1004,B135,'Issue Log'!$F$5:$F$1004,"&gt;="&amp;1))</f>
        <v/>
      </c>
      <c r="F135" s="20" t="str">
        <f aca="false">IF(OR(B135="",N(D135)&lt;2),"",_xlfn.MINIFS('Issue Log'!$A$5:$A$1004,'Issue Log'!$B$5:$B$1004,B135,'Issue Log'!$F$5:$F$1004,"&gt;="&amp;2))</f>
        <v/>
      </c>
      <c r="G135" s="20" t="str">
        <f aca="false">IF(OR(B135="",N(D135)&lt;3),"",_xlfn.MINIFS('Issue Log'!$A$5:$A$1004,'Issue Log'!$B$5:$B$1004,B135,'Issue Log'!$F$5:$F$1004,"&gt;="&amp;3))</f>
        <v/>
      </c>
      <c r="H135" s="20" t="str">
        <f aca="false">IF(N(D135)=0,"",_xlfn.MAXIFS('Issue Log'!$A$5:$A$1004,'Issue Log'!$B$5:$B$1004,B135))</f>
        <v/>
      </c>
      <c r="I135" s="10" t="str">
        <f aca="false">IF(B135="","",IF(D135&gt;=3,"FLAG",IF(D135=0,"Not issued","OK")))</f>
        <v/>
      </c>
      <c r="J135" s="29" t="str">
        <f aca="false">IF(I135="FLAG",COUNTIF($I$5:I135,"FLAG"),"")</f>
        <v/>
      </c>
    </row>
    <row r="136" customFormat="false" ht="15" hidden="false" customHeight="false" outlineLevel="0" collapsed="false">
      <c r="A136" s="27" t="n">
        <v>132</v>
      </c>
      <c r="B136" s="28"/>
      <c r="C136" s="22"/>
      <c r="D136" s="10" t="str">
        <f aca="false">IF(B136="","",SUMIFS('Issue Log'!$D$5:$D$1004,'Issue Log'!$B$5:$B$1004,B136))</f>
        <v/>
      </c>
      <c r="E136" s="20" t="str">
        <f aca="false">IF(OR(B136="",N(D136)&lt;1),"",_xlfn.MINIFS('Issue Log'!$A$5:$A$1004,'Issue Log'!$B$5:$B$1004,B136,'Issue Log'!$F$5:$F$1004,"&gt;="&amp;1))</f>
        <v/>
      </c>
      <c r="F136" s="20" t="str">
        <f aca="false">IF(OR(B136="",N(D136)&lt;2),"",_xlfn.MINIFS('Issue Log'!$A$5:$A$1004,'Issue Log'!$B$5:$B$1004,B136,'Issue Log'!$F$5:$F$1004,"&gt;="&amp;2))</f>
        <v/>
      </c>
      <c r="G136" s="20" t="str">
        <f aca="false">IF(OR(B136="",N(D136)&lt;3),"",_xlfn.MINIFS('Issue Log'!$A$5:$A$1004,'Issue Log'!$B$5:$B$1004,B136,'Issue Log'!$F$5:$F$1004,"&gt;="&amp;3))</f>
        <v/>
      </c>
      <c r="H136" s="20" t="str">
        <f aca="false">IF(N(D136)=0,"",_xlfn.MAXIFS('Issue Log'!$A$5:$A$1004,'Issue Log'!$B$5:$B$1004,B136))</f>
        <v/>
      </c>
      <c r="I136" s="10" t="str">
        <f aca="false">IF(B136="","",IF(D136&gt;=3,"FLAG",IF(D136=0,"Not issued","OK")))</f>
        <v/>
      </c>
      <c r="J136" s="29" t="str">
        <f aca="false">IF(I136="FLAG",COUNTIF($I$5:I136,"FLAG"),"")</f>
        <v/>
      </c>
    </row>
    <row r="137" customFormat="false" ht="15" hidden="false" customHeight="false" outlineLevel="0" collapsed="false">
      <c r="A137" s="27" t="n">
        <v>133</v>
      </c>
      <c r="B137" s="28"/>
      <c r="C137" s="22"/>
      <c r="D137" s="10" t="str">
        <f aca="false">IF(B137="","",SUMIFS('Issue Log'!$D$5:$D$1004,'Issue Log'!$B$5:$B$1004,B137))</f>
        <v/>
      </c>
      <c r="E137" s="20" t="str">
        <f aca="false">IF(OR(B137="",N(D137)&lt;1),"",_xlfn.MINIFS('Issue Log'!$A$5:$A$1004,'Issue Log'!$B$5:$B$1004,B137,'Issue Log'!$F$5:$F$1004,"&gt;="&amp;1))</f>
        <v/>
      </c>
      <c r="F137" s="20" t="str">
        <f aca="false">IF(OR(B137="",N(D137)&lt;2),"",_xlfn.MINIFS('Issue Log'!$A$5:$A$1004,'Issue Log'!$B$5:$B$1004,B137,'Issue Log'!$F$5:$F$1004,"&gt;="&amp;2))</f>
        <v/>
      </c>
      <c r="G137" s="20" t="str">
        <f aca="false">IF(OR(B137="",N(D137)&lt;3),"",_xlfn.MINIFS('Issue Log'!$A$5:$A$1004,'Issue Log'!$B$5:$B$1004,B137,'Issue Log'!$F$5:$F$1004,"&gt;="&amp;3))</f>
        <v/>
      </c>
      <c r="H137" s="20" t="str">
        <f aca="false">IF(N(D137)=0,"",_xlfn.MAXIFS('Issue Log'!$A$5:$A$1004,'Issue Log'!$B$5:$B$1004,B137))</f>
        <v/>
      </c>
      <c r="I137" s="10" t="str">
        <f aca="false">IF(B137="","",IF(D137&gt;=3,"FLAG",IF(D137=0,"Not issued","OK")))</f>
        <v/>
      </c>
      <c r="J137" s="29" t="str">
        <f aca="false">IF(I137="FLAG",COUNTIF($I$5:I137,"FLAG"),"")</f>
        <v/>
      </c>
    </row>
    <row r="138" customFormat="false" ht="15" hidden="false" customHeight="false" outlineLevel="0" collapsed="false">
      <c r="A138" s="27" t="n">
        <v>134</v>
      </c>
      <c r="B138" s="28"/>
      <c r="C138" s="22"/>
      <c r="D138" s="10" t="str">
        <f aca="false">IF(B138="","",SUMIFS('Issue Log'!$D$5:$D$1004,'Issue Log'!$B$5:$B$1004,B138))</f>
        <v/>
      </c>
      <c r="E138" s="20" t="str">
        <f aca="false">IF(OR(B138="",N(D138)&lt;1),"",_xlfn.MINIFS('Issue Log'!$A$5:$A$1004,'Issue Log'!$B$5:$B$1004,B138,'Issue Log'!$F$5:$F$1004,"&gt;="&amp;1))</f>
        <v/>
      </c>
      <c r="F138" s="20" t="str">
        <f aca="false">IF(OR(B138="",N(D138)&lt;2),"",_xlfn.MINIFS('Issue Log'!$A$5:$A$1004,'Issue Log'!$B$5:$B$1004,B138,'Issue Log'!$F$5:$F$1004,"&gt;="&amp;2))</f>
        <v/>
      </c>
      <c r="G138" s="20" t="str">
        <f aca="false">IF(OR(B138="",N(D138)&lt;3),"",_xlfn.MINIFS('Issue Log'!$A$5:$A$1004,'Issue Log'!$B$5:$B$1004,B138,'Issue Log'!$F$5:$F$1004,"&gt;="&amp;3))</f>
        <v/>
      </c>
      <c r="H138" s="20" t="str">
        <f aca="false">IF(N(D138)=0,"",_xlfn.MAXIFS('Issue Log'!$A$5:$A$1004,'Issue Log'!$B$5:$B$1004,B138))</f>
        <v/>
      </c>
      <c r="I138" s="10" t="str">
        <f aca="false">IF(B138="","",IF(D138&gt;=3,"FLAG",IF(D138=0,"Not issued","OK")))</f>
        <v/>
      </c>
      <c r="J138" s="29" t="str">
        <f aca="false">IF(I138="FLAG",COUNTIF($I$5:I138,"FLAG"),"")</f>
        <v/>
      </c>
    </row>
    <row r="139" customFormat="false" ht="15" hidden="false" customHeight="false" outlineLevel="0" collapsed="false">
      <c r="A139" s="27" t="n">
        <v>135</v>
      </c>
      <c r="B139" s="28"/>
      <c r="C139" s="22"/>
      <c r="D139" s="10" t="str">
        <f aca="false">IF(B139="","",SUMIFS('Issue Log'!$D$5:$D$1004,'Issue Log'!$B$5:$B$1004,B139))</f>
        <v/>
      </c>
      <c r="E139" s="20" t="str">
        <f aca="false">IF(OR(B139="",N(D139)&lt;1),"",_xlfn.MINIFS('Issue Log'!$A$5:$A$1004,'Issue Log'!$B$5:$B$1004,B139,'Issue Log'!$F$5:$F$1004,"&gt;="&amp;1))</f>
        <v/>
      </c>
      <c r="F139" s="20" t="str">
        <f aca="false">IF(OR(B139="",N(D139)&lt;2),"",_xlfn.MINIFS('Issue Log'!$A$5:$A$1004,'Issue Log'!$B$5:$B$1004,B139,'Issue Log'!$F$5:$F$1004,"&gt;="&amp;2))</f>
        <v/>
      </c>
      <c r="G139" s="20" t="str">
        <f aca="false">IF(OR(B139="",N(D139)&lt;3),"",_xlfn.MINIFS('Issue Log'!$A$5:$A$1004,'Issue Log'!$B$5:$B$1004,B139,'Issue Log'!$F$5:$F$1004,"&gt;="&amp;3))</f>
        <v/>
      </c>
      <c r="H139" s="20" t="str">
        <f aca="false">IF(N(D139)=0,"",_xlfn.MAXIFS('Issue Log'!$A$5:$A$1004,'Issue Log'!$B$5:$B$1004,B139))</f>
        <v/>
      </c>
      <c r="I139" s="10" t="str">
        <f aca="false">IF(B139="","",IF(D139&gt;=3,"FLAG",IF(D139=0,"Not issued","OK")))</f>
        <v/>
      </c>
      <c r="J139" s="29" t="str">
        <f aca="false">IF(I139="FLAG",COUNTIF($I$5:I139,"FLAG"),"")</f>
        <v/>
      </c>
    </row>
    <row r="140" customFormat="false" ht="15" hidden="false" customHeight="false" outlineLevel="0" collapsed="false">
      <c r="A140" s="27" t="n">
        <v>136</v>
      </c>
      <c r="B140" s="28"/>
      <c r="C140" s="22"/>
      <c r="D140" s="10" t="str">
        <f aca="false">IF(B140="","",SUMIFS('Issue Log'!$D$5:$D$1004,'Issue Log'!$B$5:$B$1004,B140))</f>
        <v/>
      </c>
      <c r="E140" s="20" t="str">
        <f aca="false">IF(OR(B140="",N(D140)&lt;1),"",_xlfn.MINIFS('Issue Log'!$A$5:$A$1004,'Issue Log'!$B$5:$B$1004,B140,'Issue Log'!$F$5:$F$1004,"&gt;="&amp;1))</f>
        <v/>
      </c>
      <c r="F140" s="20" t="str">
        <f aca="false">IF(OR(B140="",N(D140)&lt;2),"",_xlfn.MINIFS('Issue Log'!$A$5:$A$1004,'Issue Log'!$B$5:$B$1004,B140,'Issue Log'!$F$5:$F$1004,"&gt;="&amp;2))</f>
        <v/>
      </c>
      <c r="G140" s="20" t="str">
        <f aca="false">IF(OR(B140="",N(D140)&lt;3),"",_xlfn.MINIFS('Issue Log'!$A$5:$A$1004,'Issue Log'!$B$5:$B$1004,B140,'Issue Log'!$F$5:$F$1004,"&gt;="&amp;3))</f>
        <v/>
      </c>
      <c r="H140" s="20" t="str">
        <f aca="false">IF(N(D140)=0,"",_xlfn.MAXIFS('Issue Log'!$A$5:$A$1004,'Issue Log'!$B$5:$B$1004,B140))</f>
        <v/>
      </c>
      <c r="I140" s="10" t="str">
        <f aca="false">IF(B140="","",IF(D140&gt;=3,"FLAG",IF(D140=0,"Not issued","OK")))</f>
        <v/>
      </c>
      <c r="J140" s="29" t="str">
        <f aca="false">IF(I140="FLAG",COUNTIF($I$5:I140,"FLAG"),"")</f>
        <v/>
      </c>
    </row>
    <row r="141" customFormat="false" ht="15" hidden="false" customHeight="false" outlineLevel="0" collapsed="false">
      <c r="A141" s="27" t="n">
        <v>137</v>
      </c>
      <c r="B141" s="28"/>
      <c r="C141" s="22"/>
      <c r="D141" s="10" t="str">
        <f aca="false">IF(B141="","",SUMIFS('Issue Log'!$D$5:$D$1004,'Issue Log'!$B$5:$B$1004,B141))</f>
        <v/>
      </c>
      <c r="E141" s="20" t="str">
        <f aca="false">IF(OR(B141="",N(D141)&lt;1),"",_xlfn.MINIFS('Issue Log'!$A$5:$A$1004,'Issue Log'!$B$5:$B$1004,B141,'Issue Log'!$F$5:$F$1004,"&gt;="&amp;1))</f>
        <v/>
      </c>
      <c r="F141" s="20" t="str">
        <f aca="false">IF(OR(B141="",N(D141)&lt;2),"",_xlfn.MINIFS('Issue Log'!$A$5:$A$1004,'Issue Log'!$B$5:$B$1004,B141,'Issue Log'!$F$5:$F$1004,"&gt;="&amp;2))</f>
        <v/>
      </c>
      <c r="G141" s="20" t="str">
        <f aca="false">IF(OR(B141="",N(D141)&lt;3),"",_xlfn.MINIFS('Issue Log'!$A$5:$A$1004,'Issue Log'!$B$5:$B$1004,B141,'Issue Log'!$F$5:$F$1004,"&gt;="&amp;3))</f>
        <v/>
      </c>
      <c r="H141" s="20" t="str">
        <f aca="false">IF(N(D141)=0,"",_xlfn.MAXIFS('Issue Log'!$A$5:$A$1004,'Issue Log'!$B$5:$B$1004,B141))</f>
        <v/>
      </c>
      <c r="I141" s="10" t="str">
        <f aca="false">IF(B141="","",IF(D141&gt;=3,"FLAG",IF(D141=0,"Not issued","OK")))</f>
        <v/>
      </c>
      <c r="J141" s="29" t="str">
        <f aca="false">IF(I141="FLAG",COUNTIF($I$5:I141,"FLAG"),"")</f>
        <v/>
      </c>
    </row>
    <row r="142" customFormat="false" ht="15" hidden="false" customHeight="false" outlineLevel="0" collapsed="false">
      <c r="A142" s="27" t="n">
        <v>138</v>
      </c>
      <c r="B142" s="28"/>
      <c r="C142" s="22"/>
      <c r="D142" s="10" t="str">
        <f aca="false">IF(B142="","",SUMIFS('Issue Log'!$D$5:$D$1004,'Issue Log'!$B$5:$B$1004,B142))</f>
        <v/>
      </c>
      <c r="E142" s="20" t="str">
        <f aca="false">IF(OR(B142="",N(D142)&lt;1),"",_xlfn.MINIFS('Issue Log'!$A$5:$A$1004,'Issue Log'!$B$5:$B$1004,B142,'Issue Log'!$F$5:$F$1004,"&gt;="&amp;1))</f>
        <v/>
      </c>
      <c r="F142" s="20" t="str">
        <f aca="false">IF(OR(B142="",N(D142)&lt;2),"",_xlfn.MINIFS('Issue Log'!$A$5:$A$1004,'Issue Log'!$B$5:$B$1004,B142,'Issue Log'!$F$5:$F$1004,"&gt;="&amp;2))</f>
        <v/>
      </c>
      <c r="G142" s="20" t="str">
        <f aca="false">IF(OR(B142="",N(D142)&lt;3),"",_xlfn.MINIFS('Issue Log'!$A$5:$A$1004,'Issue Log'!$B$5:$B$1004,B142,'Issue Log'!$F$5:$F$1004,"&gt;="&amp;3))</f>
        <v/>
      </c>
      <c r="H142" s="20" t="str">
        <f aca="false">IF(N(D142)=0,"",_xlfn.MAXIFS('Issue Log'!$A$5:$A$1004,'Issue Log'!$B$5:$B$1004,B142))</f>
        <v/>
      </c>
      <c r="I142" s="10" t="str">
        <f aca="false">IF(B142="","",IF(D142&gt;=3,"FLAG",IF(D142=0,"Not issued","OK")))</f>
        <v/>
      </c>
      <c r="J142" s="29" t="str">
        <f aca="false">IF(I142="FLAG",COUNTIF($I$5:I142,"FLAG"),"")</f>
        <v/>
      </c>
    </row>
    <row r="143" customFormat="false" ht="15" hidden="false" customHeight="false" outlineLevel="0" collapsed="false">
      <c r="A143" s="27" t="n">
        <v>139</v>
      </c>
      <c r="B143" s="28"/>
      <c r="C143" s="22"/>
      <c r="D143" s="10" t="str">
        <f aca="false">IF(B143="","",SUMIFS('Issue Log'!$D$5:$D$1004,'Issue Log'!$B$5:$B$1004,B143))</f>
        <v/>
      </c>
      <c r="E143" s="20" t="str">
        <f aca="false">IF(OR(B143="",N(D143)&lt;1),"",_xlfn.MINIFS('Issue Log'!$A$5:$A$1004,'Issue Log'!$B$5:$B$1004,B143,'Issue Log'!$F$5:$F$1004,"&gt;="&amp;1))</f>
        <v/>
      </c>
      <c r="F143" s="20" t="str">
        <f aca="false">IF(OR(B143="",N(D143)&lt;2),"",_xlfn.MINIFS('Issue Log'!$A$5:$A$1004,'Issue Log'!$B$5:$B$1004,B143,'Issue Log'!$F$5:$F$1004,"&gt;="&amp;2))</f>
        <v/>
      </c>
      <c r="G143" s="20" t="str">
        <f aca="false">IF(OR(B143="",N(D143)&lt;3),"",_xlfn.MINIFS('Issue Log'!$A$5:$A$1004,'Issue Log'!$B$5:$B$1004,B143,'Issue Log'!$F$5:$F$1004,"&gt;="&amp;3))</f>
        <v/>
      </c>
      <c r="H143" s="20" t="str">
        <f aca="false">IF(N(D143)=0,"",_xlfn.MAXIFS('Issue Log'!$A$5:$A$1004,'Issue Log'!$B$5:$B$1004,B143))</f>
        <v/>
      </c>
      <c r="I143" s="10" t="str">
        <f aca="false">IF(B143="","",IF(D143&gt;=3,"FLAG",IF(D143=0,"Not issued","OK")))</f>
        <v/>
      </c>
      <c r="J143" s="29" t="str">
        <f aca="false">IF(I143="FLAG",COUNTIF($I$5:I143,"FLAG"),"")</f>
        <v/>
      </c>
    </row>
    <row r="144" customFormat="false" ht="15" hidden="false" customHeight="false" outlineLevel="0" collapsed="false">
      <c r="A144" s="27" t="n">
        <v>140</v>
      </c>
      <c r="B144" s="28"/>
      <c r="C144" s="22"/>
      <c r="D144" s="10" t="str">
        <f aca="false">IF(B144="","",SUMIFS('Issue Log'!$D$5:$D$1004,'Issue Log'!$B$5:$B$1004,B144))</f>
        <v/>
      </c>
      <c r="E144" s="20" t="str">
        <f aca="false">IF(OR(B144="",N(D144)&lt;1),"",_xlfn.MINIFS('Issue Log'!$A$5:$A$1004,'Issue Log'!$B$5:$B$1004,B144,'Issue Log'!$F$5:$F$1004,"&gt;="&amp;1))</f>
        <v/>
      </c>
      <c r="F144" s="20" t="str">
        <f aca="false">IF(OR(B144="",N(D144)&lt;2),"",_xlfn.MINIFS('Issue Log'!$A$5:$A$1004,'Issue Log'!$B$5:$B$1004,B144,'Issue Log'!$F$5:$F$1004,"&gt;="&amp;2))</f>
        <v/>
      </c>
      <c r="G144" s="20" t="str">
        <f aca="false">IF(OR(B144="",N(D144)&lt;3),"",_xlfn.MINIFS('Issue Log'!$A$5:$A$1004,'Issue Log'!$B$5:$B$1004,B144,'Issue Log'!$F$5:$F$1004,"&gt;="&amp;3))</f>
        <v/>
      </c>
      <c r="H144" s="20" t="str">
        <f aca="false">IF(N(D144)=0,"",_xlfn.MAXIFS('Issue Log'!$A$5:$A$1004,'Issue Log'!$B$5:$B$1004,B144))</f>
        <v/>
      </c>
      <c r="I144" s="10" t="str">
        <f aca="false">IF(B144="","",IF(D144&gt;=3,"FLAG",IF(D144=0,"Not issued","OK")))</f>
        <v/>
      </c>
      <c r="J144" s="29" t="str">
        <f aca="false">IF(I144="FLAG",COUNTIF($I$5:I144,"FLAG"),"")</f>
        <v/>
      </c>
    </row>
    <row r="145" customFormat="false" ht="15" hidden="false" customHeight="false" outlineLevel="0" collapsed="false">
      <c r="A145" s="27" t="n">
        <v>141</v>
      </c>
      <c r="B145" s="28"/>
      <c r="C145" s="22"/>
      <c r="D145" s="10" t="str">
        <f aca="false">IF(B145="","",SUMIFS('Issue Log'!$D$5:$D$1004,'Issue Log'!$B$5:$B$1004,B145))</f>
        <v/>
      </c>
      <c r="E145" s="20" t="str">
        <f aca="false">IF(OR(B145="",N(D145)&lt;1),"",_xlfn.MINIFS('Issue Log'!$A$5:$A$1004,'Issue Log'!$B$5:$B$1004,B145,'Issue Log'!$F$5:$F$1004,"&gt;="&amp;1))</f>
        <v/>
      </c>
      <c r="F145" s="20" t="str">
        <f aca="false">IF(OR(B145="",N(D145)&lt;2),"",_xlfn.MINIFS('Issue Log'!$A$5:$A$1004,'Issue Log'!$B$5:$B$1004,B145,'Issue Log'!$F$5:$F$1004,"&gt;="&amp;2))</f>
        <v/>
      </c>
      <c r="G145" s="20" t="str">
        <f aca="false">IF(OR(B145="",N(D145)&lt;3),"",_xlfn.MINIFS('Issue Log'!$A$5:$A$1004,'Issue Log'!$B$5:$B$1004,B145,'Issue Log'!$F$5:$F$1004,"&gt;="&amp;3))</f>
        <v/>
      </c>
      <c r="H145" s="20" t="str">
        <f aca="false">IF(N(D145)=0,"",_xlfn.MAXIFS('Issue Log'!$A$5:$A$1004,'Issue Log'!$B$5:$B$1004,B145))</f>
        <v/>
      </c>
      <c r="I145" s="10" t="str">
        <f aca="false">IF(B145="","",IF(D145&gt;=3,"FLAG",IF(D145=0,"Not issued","OK")))</f>
        <v/>
      </c>
      <c r="J145" s="29" t="str">
        <f aca="false">IF(I145="FLAG",COUNTIF($I$5:I145,"FLAG"),"")</f>
        <v/>
      </c>
    </row>
    <row r="146" customFormat="false" ht="15" hidden="false" customHeight="false" outlineLevel="0" collapsed="false">
      <c r="A146" s="27" t="n">
        <v>142</v>
      </c>
      <c r="B146" s="28"/>
      <c r="C146" s="22"/>
      <c r="D146" s="10" t="str">
        <f aca="false">IF(B146="","",SUMIFS('Issue Log'!$D$5:$D$1004,'Issue Log'!$B$5:$B$1004,B146))</f>
        <v/>
      </c>
      <c r="E146" s="20" t="str">
        <f aca="false">IF(OR(B146="",N(D146)&lt;1),"",_xlfn.MINIFS('Issue Log'!$A$5:$A$1004,'Issue Log'!$B$5:$B$1004,B146,'Issue Log'!$F$5:$F$1004,"&gt;="&amp;1))</f>
        <v/>
      </c>
      <c r="F146" s="20" t="str">
        <f aca="false">IF(OR(B146="",N(D146)&lt;2),"",_xlfn.MINIFS('Issue Log'!$A$5:$A$1004,'Issue Log'!$B$5:$B$1004,B146,'Issue Log'!$F$5:$F$1004,"&gt;="&amp;2))</f>
        <v/>
      </c>
      <c r="G146" s="20" t="str">
        <f aca="false">IF(OR(B146="",N(D146)&lt;3),"",_xlfn.MINIFS('Issue Log'!$A$5:$A$1004,'Issue Log'!$B$5:$B$1004,B146,'Issue Log'!$F$5:$F$1004,"&gt;="&amp;3))</f>
        <v/>
      </c>
      <c r="H146" s="20" t="str">
        <f aca="false">IF(N(D146)=0,"",_xlfn.MAXIFS('Issue Log'!$A$5:$A$1004,'Issue Log'!$B$5:$B$1004,B146))</f>
        <v/>
      </c>
      <c r="I146" s="10" t="str">
        <f aca="false">IF(B146="","",IF(D146&gt;=3,"FLAG",IF(D146=0,"Not issued","OK")))</f>
        <v/>
      </c>
      <c r="J146" s="29" t="str">
        <f aca="false">IF(I146="FLAG",COUNTIF($I$5:I146,"FLAG"),"")</f>
        <v/>
      </c>
    </row>
    <row r="147" customFormat="false" ht="15" hidden="false" customHeight="false" outlineLevel="0" collapsed="false">
      <c r="A147" s="27" t="n">
        <v>143</v>
      </c>
      <c r="B147" s="28"/>
      <c r="C147" s="22"/>
      <c r="D147" s="10" t="str">
        <f aca="false">IF(B147="","",SUMIFS('Issue Log'!$D$5:$D$1004,'Issue Log'!$B$5:$B$1004,B147))</f>
        <v/>
      </c>
      <c r="E147" s="20" t="str">
        <f aca="false">IF(OR(B147="",N(D147)&lt;1),"",_xlfn.MINIFS('Issue Log'!$A$5:$A$1004,'Issue Log'!$B$5:$B$1004,B147,'Issue Log'!$F$5:$F$1004,"&gt;="&amp;1))</f>
        <v/>
      </c>
      <c r="F147" s="20" t="str">
        <f aca="false">IF(OR(B147="",N(D147)&lt;2),"",_xlfn.MINIFS('Issue Log'!$A$5:$A$1004,'Issue Log'!$B$5:$B$1004,B147,'Issue Log'!$F$5:$F$1004,"&gt;="&amp;2))</f>
        <v/>
      </c>
      <c r="G147" s="20" t="str">
        <f aca="false">IF(OR(B147="",N(D147)&lt;3),"",_xlfn.MINIFS('Issue Log'!$A$5:$A$1004,'Issue Log'!$B$5:$B$1004,B147,'Issue Log'!$F$5:$F$1004,"&gt;="&amp;3))</f>
        <v/>
      </c>
      <c r="H147" s="20" t="str">
        <f aca="false">IF(N(D147)=0,"",_xlfn.MAXIFS('Issue Log'!$A$5:$A$1004,'Issue Log'!$B$5:$B$1004,B147))</f>
        <v/>
      </c>
      <c r="I147" s="10" t="str">
        <f aca="false">IF(B147="","",IF(D147&gt;=3,"FLAG",IF(D147=0,"Not issued","OK")))</f>
        <v/>
      </c>
      <c r="J147" s="29" t="str">
        <f aca="false">IF(I147="FLAG",COUNTIF($I$5:I147,"FLAG"),"")</f>
        <v/>
      </c>
    </row>
    <row r="148" customFormat="false" ht="15" hidden="false" customHeight="false" outlineLevel="0" collapsed="false">
      <c r="A148" s="27" t="n">
        <v>144</v>
      </c>
      <c r="B148" s="28"/>
      <c r="C148" s="22"/>
      <c r="D148" s="10" t="str">
        <f aca="false">IF(B148="","",SUMIFS('Issue Log'!$D$5:$D$1004,'Issue Log'!$B$5:$B$1004,B148))</f>
        <v/>
      </c>
      <c r="E148" s="20" t="str">
        <f aca="false">IF(OR(B148="",N(D148)&lt;1),"",_xlfn.MINIFS('Issue Log'!$A$5:$A$1004,'Issue Log'!$B$5:$B$1004,B148,'Issue Log'!$F$5:$F$1004,"&gt;="&amp;1))</f>
        <v/>
      </c>
      <c r="F148" s="20" t="str">
        <f aca="false">IF(OR(B148="",N(D148)&lt;2),"",_xlfn.MINIFS('Issue Log'!$A$5:$A$1004,'Issue Log'!$B$5:$B$1004,B148,'Issue Log'!$F$5:$F$1004,"&gt;="&amp;2))</f>
        <v/>
      </c>
      <c r="G148" s="20" t="str">
        <f aca="false">IF(OR(B148="",N(D148)&lt;3),"",_xlfn.MINIFS('Issue Log'!$A$5:$A$1004,'Issue Log'!$B$5:$B$1004,B148,'Issue Log'!$F$5:$F$1004,"&gt;="&amp;3))</f>
        <v/>
      </c>
      <c r="H148" s="20" t="str">
        <f aca="false">IF(N(D148)=0,"",_xlfn.MAXIFS('Issue Log'!$A$5:$A$1004,'Issue Log'!$B$5:$B$1004,B148))</f>
        <v/>
      </c>
      <c r="I148" s="10" t="str">
        <f aca="false">IF(B148="","",IF(D148&gt;=3,"FLAG",IF(D148=0,"Not issued","OK")))</f>
        <v/>
      </c>
      <c r="J148" s="29" t="str">
        <f aca="false">IF(I148="FLAG",COUNTIF($I$5:I148,"FLAG"),"")</f>
        <v/>
      </c>
    </row>
    <row r="149" customFormat="false" ht="15" hidden="false" customHeight="false" outlineLevel="0" collapsed="false">
      <c r="A149" s="27" t="n">
        <v>145</v>
      </c>
      <c r="B149" s="28"/>
      <c r="C149" s="22"/>
      <c r="D149" s="10" t="str">
        <f aca="false">IF(B149="","",SUMIFS('Issue Log'!$D$5:$D$1004,'Issue Log'!$B$5:$B$1004,B149))</f>
        <v/>
      </c>
      <c r="E149" s="20" t="str">
        <f aca="false">IF(OR(B149="",N(D149)&lt;1),"",_xlfn.MINIFS('Issue Log'!$A$5:$A$1004,'Issue Log'!$B$5:$B$1004,B149,'Issue Log'!$F$5:$F$1004,"&gt;="&amp;1))</f>
        <v/>
      </c>
      <c r="F149" s="20" t="str">
        <f aca="false">IF(OR(B149="",N(D149)&lt;2),"",_xlfn.MINIFS('Issue Log'!$A$5:$A$1004,'Issue Log'!$B$5:$B$1004,B149,'Issue Log'!$F$5:$F$1004,"&gt;="&amp;2))</f>
        <v/>
      </c>
      <c r="G149" s="20" t="str">
        <f aca="false">IF(OR(B149="",N(D149)&lt;3),"",_xlfn.MINIFS('Issue Log'!$A$5:$A$1004,'Issue Log'!$B$5:$B$1004,B149,'Issue Log'!$F$5:$F$1004,"&gt;="&amp;3))</f>
        <v/>
      </c>
      <c r="H149" s="20" t="str">
        <f aca="false">IF(N(D149)=0,"",_xlfn.MAXIFS('Issue Log'!$A$5:$A$1004,'Issue Log'!$B$5:$B$1004,B149))</f>
        <v/>
      </c>
      <c r="I149" s="10" t="str">
        <f aca="false">IF(B149="","",IF(D149&gt;=3,"FLAG",IF(D149=0,"Not issued","OK")))</f>
        <v/>
      </c>
      <c r="J149" s="29" t="str">
        <f aca="false">IF(I149="FLAG",COUNTIF($I$5:I149,"FLAG"),"")</f>
        <v/>
      </c>
    </row>
    <row r="150" customFormat="false" ht="15" hidden="false" customHeight="false" outlineLevel="0" collapsed="false">
      <c r="A150" s="27" t="n">
        <v>146</v>
      </c>
      <c r="B150" s="28"/>
      <c r="C150" s="22"/>
      <c r="D150" s="10" t="str">
        <f aca="false">IF(B150="","",SUMIFS('Issue Log'!$D$5:$D$1004,'Issue Log'!$B$5:$B$1004,B150))</f>
        <v/>
      </c>
      <c r="E150" s="20" t="str">
        <f aca="false">IF(OR(B150="",N(D150)&lt;1),"",_xlfn.MINIFS('Issue Log'!$A$5:$A$1004,'Issue Log'!$B$5:$B$1004,B150,'Issue Log'!$F$5:$F$1004,"&gt;="&amp;1))</f>
        <v/>
      </c>
      <c r="F150" s="20" t="str">
        <f aca="false">IF(OR(B150="",N(D150)&lt;2),"",_xlfn.MINIFS('Issue Log'!$A$5:$A$1004,'Issue Log'!$B$5:$B$1004,B150,'Issue Log'!$F$5:$F$1004,"&gt;="&amp;2))</f>
        <v/>
      </c>
      <c r="G150" s="20" t="str">
        <f aca="false">IF(OR(B150="",N(D150)&lt;3),"",_xlfn.MINIFS('Issue Log'!$A$5:$A$1004,'Issue Log'!$B$5:$B$1004,B150,'Issue Log'!$F$5:$F$1004,"&gt;="&amp;3))</f>
        <v/>
      </c>
      <c r="H150" s="20" t="str">
        <f aca="false">IF(N(D150)=0,"",_xlfn.MAXIFS('Issue Log'!$A$5:$A$1004,'Issue Log'!$B$5:$B$1004,B150))</f>
        <v/>
      </c>
      <c r="I150" s="10" t="str">
        <f aca="false">IF(B150="","",IF(D150&gt;=3,"FLAG",IF(D150=0,"Not issued","OK")))</f>
        <v/>
      </c>
      <c r="J150" s="29" t="str">
        <f aca="false">IF(I150="FLAG",COUNTIF($I$5:I150,"FLAG"),"")</f>
        <v/>
      </c>
    </row>
    <row r="151" customFormat="false" ht="15" hidden="false" customHeight="false" outlineLevel="0" collapsed="false">
      <c r="A151" s="27" t="n">
        <v>147</v>
      </c>
      <c r="B151" s="28"/>
      <c r="C151" s="22"/>
      <c r="D151" s="10" t="str">
        <f aca="false">IF(B151="","",SUMIFS('Issue Log'!$D$5:$D$1004,'Issue Log'!$B$5:$B$1004,B151))</f>
        <v/>
      </c>
      <c r="E151" s="20" t="str">
        <f aca="false">IF(OR(B151="",N(D151)&lt;1),"",_xlfn.MINIFS('Issue Log'!$A$5:$A$1004,'Issue Log'!$B$5:$B$1004,B151,'Issue Log'!$F$5:$F$1004,"&gt;="&amp;1))</f>
        <v/>
      </c>
      <c r="F151" s="20" t="str">
        <f aca="false">IF(OR(B151="",N(D151)&lt;2),"",_xlfn.MINIFS('Issue Log'!$A$5:$A$1004,'Issue Log'!$B$5:$B$1004,B151,'Issue Log'!$F$5:$F$1004,"&gt;="&amp;2))</f>
        <v/>
      </c>
      <c r="G151" s="20" t="str">
        <f aca="false">IF(OR(B151="",N(D151)&lt;3),"",_xlfn.MINIFS('Issue Log'!$A$5:$A$1004,'Issue Log'!$B$5:$B$1004,B151,'Issue Log'!$F$5:$F$1004,"&gt;="&amp;3))</f>
        <v/>
      </c>
      <c r="H151" s="20" t="str">
        <f aca="false">IF(N(D151)=0,"",_xlfn.MAXIFS('Issue Log'!$A$5:$A$1004,'Issue Log'!$B$5:$B$1004,B151))</f>
        <v/>
      </c>
      <c r="I151" s="10" t="str">
        <f aca="false">IF(B151="","",IF(D151&gt;=3,"FLAG",IF(D151=0,"Not issued","OK")))</f>
        <v/>
      </c>
      <c r="J151" s="29" t="str">
        <f aca="false">IF(I151="FLAG",COUNTIF($I$5:I151,"FLAG"),"")</f>
        <v/>
      </c>
    </row>
    <row r="152" customFormat="false" ht="15" hidden="false" customHeight="false" outlineLevel="0" collapsed="false">
      <c r="A152" s="27" t="n">
        <v>148</v>
      </c>
      <c r="B152" s="28"/>
      <c r="C152" s="22"/>
      <c r="D152" s="10" t="str">
        <f aca="false">IF(B152="","",SUMIFS('Issue Log'!$D$5:$D$1004,'Issue Log'!$B$5:$B$1004,B152))</f>
        <v/>
      </c>
      <c r="E152" s="20" t="str">
        <f aca="false">IF(OR(B152="",N(D152)&lt;1),"",_xlfn.MINIFS('Issue Log'!$A$5:$A$1004,'Issue Log'!$B$5:$B$1004,B152,'Issue Log'!$F$5:$F$1004,"&gt;="&amp;1))</f>
        <v/>
      </c>
      <c r="F152" s="20" t="str">
        <f aca="false">IF(OR(B152="",N(D152)&lt;2),"",_xlfn.MINIFS('Issue Log'!$A$5:$A$1004,'Issue Log'!$B$5:$B$1004,B152,'Issue Log'!$F$5:$F$1004,"&gt;="&amp;2))</f>
        <v/>
      </c>
      <c r="G152" s="20" t="str">
        <f aca="false">IF(OR(B152="",N(D152)&lt;3),"",_xlfn.MINIFS('Issue Log'!$A$5:$A$1004,'Issue Log'!$B$5:$B$1004,B152,'Issue Log'!$F$5:$F$1004,"&gt;="&amp;3))</f>
        <v/>
      </c>
      <c r="H152" s="20" t="str">
        <f aca="false">IF(N(D152)=0,"",_xlfn.MAXIFS('Issue Log'!$A$5:$A$1004,'Issue Log'!$B$5:$B$1004,B152))</f>
        <v/>
      </c>
      <c r="I152" s="10" t="str">
        <f aca="false">IF(B152="","",IF(D152&gt;=3,"FLAG",IF(D152=0,"Not issued","OK")))</f>
        <v/>
      </c>
      <c r="J152" s="29" t="str">
        <f aca="false">IF(I152="FLAG",COUNTIF($I$5:I152,"FLAG"),"")</f>
        <v/>
      </c>
    </row>
    <row r="153" customFormat="false" ht="15" hidden="false" customHeight="false" outlineLevel="0" collapsed="false">
      <c r="A153" s="27" t="n">
        <v>149</v>
      </c>
      <c r="B153" s="28"/>
      <c r="C153" s="22"/>
      <c r="D153" s="10" t="str">
        <f aca="false">IF(B153="","",SUMIFS('Issue Log'!$D$5:$D$1004,'Issue Log'!$B$5:$B$1004,B153))</f>
        <v/>
      </c>
      <c r="E153" s="20" t="str">
        <f aca="false">IF(OR(B153="",N(D153)&lt;1),"",_xlfn.MINIFS('Issue Log'!$A$5:$A$1004,'Issue Log'!$B$5:$B$1004,B153,'Issue Log'!$F$5:$F$1004,"&gt;="&amp;1))</f>
        <v/>
      </c>
      <c r="F153" s="20" t="str">
        <f aca="false">IF(OR(B153="",N(D153)&lt;2),"",_xlfn.MINIFS('Issue Log'!$A$5:$A$1004,'Issue Log'!$B$5:$B$1004,B153,'Issue Log'!$F$5:$F$1004,"&gt;="&amp;2))</f>
        <v/>
      </c>
      <c r="G153" s="20" t="str">
        <f aca="false">IF(OR(B153="",N(D153)&lt;3),"",_xlfn.MINIFS('Issue Log'!$A$5:$A$1004,'Issue Log'!$B$5:$B$1004,B153,'Issue Log'!$F$5:$F$1004,"&gt;="&amp;3))</f>
        <v/>
      </c>
      <c r="H153" s="20" t="str">
        <f aca="false">IF(N(D153)=0,"",_xlfn.MAXIFS('Issue Log'!$A$5:$A$1004,'Issue Log'!$B$5:$B$1004,B153))</f>
        <v/>
      </c>
      <c r="I153" s="10" t="str">
        <f aca="false">IF(B153="","",IF(D153&gt;=3,"FLAG",IF(D153=0,"Not issued","OK")))</f>
        <v/>
      </c>
      <c r="J153" s="29" t="str">
        <f aca="false">IF(I153="FLAG",COUNTIF($I$5:I153,"FLAG"),"")</f>
        <v/>
      </c>
    </row>
    <row r="154" customFormat="false" ht="15" hidden="false" customHeight="false" outlineLevel="0" collapsed="false">
      <c r="A154" s="27" t="n">
        <v>150</v>
      </c>
      <c r="B154" s="28"/>
      <c r="C154" s="22"/>
      <c r="D154" s="10" t="str">
        <f aca="false">IF(B154="","",SUMIFS('Issue Log'!$D$5:$D$1004,'Issue Log'!$B$5:$B$1004,B154))</f>
        <v/>
      </c>
      <c r="E154" s="20" t="str">
        <f aca="false">IF(OR(B154="",N(D154)&lt;1),"",_xlfn.MINIFS('Issue Log'!$A$5:$A$1004,'Issue Log'!$B$5:$B$1004,B154,'Issue Log'!$F$5:$F$1004,"&gt;="&amp;1))</f>
        <v/>
      </c>
      <c r="F154" s="20" t="str">
        <f aca="false">IF(OR(B154="",N(D154)&lt;2),"",_xlfn.MINIFS('Issue Log'!$A$5:$A$1004,'Issue Log'!$B$5:$B$1004,B154,'Issue Log'!$F$5:$F$1004,"&gt;="&amp;2))</f>
        <v/>
      </c>
      <c r="G154" s="20" t="str">
        <f aca="false">IF(OR(B154="",N(D154)&lt;3),"",_xlfn.MINIFS('Issue Log'!$A$5:$A$1004,'Issue Log'!$B$5:$B$1004,B154,'Issue Log'!$F$5:$F$1004,"&gt;="&amp;3))</f>
        <v/>
      </c>
      <c r="H154" s="20" t="str">
        <f aca="false">IF(N(D154)=0,"",_xlfn.MAXIFS('Issue Log'!$A$5:$A$1004,'Issue Log'!$B$5:$B$1004,B154))</f>
        <v/>
      </c>
      <c r="I154" s="10" t="str">
        <f aca="false">IF(B154="","",IF(D154&gt;=3,"FLAG",IF(D154=0,"Not issued","OK")))</f>
        <v/>
      </c>
      <c r="J154" s="29" t="str">
        <f aca="false">IF(I154="FLAG",COUNTIF($I$5:I154,"FLAG"),"")</f>
        <v/>
      </c>
    </row>
    <row r="155" customFormat="false" ht="15" hidden="false" customHeight="false" outlineLevel="0" collapsed="false">
      <c r="A155" s="27" t="n">
        <v>151</v>
      </c>
      <c r="B155" s="28"/>
      <c r="C155" s="22"/>
      <c r="D155" s="10" t="str">
        <f aca="false">IF(B155="","",SUMIFS('Issue Log'!$D$5:$D$1004,'Issue Log'!$B$5:$B$1004,B155))</f>
        <v/>
      </c>
      <c r="E155" s="20" t="str">
        <f aca="false">IF(OR(B155="",N(D155)&lt;1),"",_xlfn.MINIFS('Issue Log'!$A$5:$A$1004,'Issue Log'!$B$5:$B$1004,B155,'Issue Log'!$F$5:$F$1004,"&gt;="&amp;1))</f>
        <v/>
      </c>
      <c r="F155" s="20" t="str">
        <f aca="false">IF(OR(B155="",N(D155)&lt;2),"",_xlfn.MINIFS('Issue Log'!$A$5:$A$1004,'Issue Log'!$B$5:$B$1004,B155,'Issue Log'!$F$5:$F$1004,"&gt;="&amp;2))</f>
        <v/>
      </c>
      <c r="G155" s="20" t="str">
        <f aca="false">IF(OR(B155="",N(D155)&lt;3),"",_xlfn.MINIFS('Issue Log'!$A$5:$A$1004,'Issue Log'!$B$5:$B$1004,B155,'Issue Log'!$F$5:$F$1004,"&gt;="&amp;3))</f>
        <v/>
      </c>
      <c r="H155" s="20" t="str">
        <f aca="false">IF(N(D155)=0,"",_xlfn.MAXIFS('Issue Log'!$A$5:$A$1004,'Issue Log'!$B$5:$B$1004,B155))</f>
        <v/>
      </c>
      <c r="I155" s="10" t="str">
        <f aca="false">IF(B155="","",IF(D155&gt;=3,"FLAG",IF(D155=0,"Not issued","OK")))</f>
        <v/>
      </c>
      <c r="J155" s="29" t="str">
        <f aca="false">IF(I155="FLAG",COUNTIF($I$5:I155,"FLAG"),"")</f>
        <v/>
      </c>
    </row>
    <row r="156" customFormat="false" ht="15" hidden="false" customHeight="false" outlineLevel="0" collapsed="false">
      <c r="A156" s="27" t="n">
        <v>152</v>
      </c>
      <c r="B156" s="28"/>
      <c r="C156" s="22"/>
      <c r="D156" s="10" t="str">
        <f aca="false">IF(B156="","",SUMIFS('Issue Log'!$D$5:$D$1004,'Issue Log'!$B$5:$B$1004,B156))</f>
        <v/>
      </c>
      <c r="E156" s="20" t="str">
        <f aca="false">IF(OR(B156="",N(D156)&lt;1),"",_xlfn.MINIFS('Issue Log'!$A$5:$A$1004,'Issue Log'!$B$5:$B$1004,B156,'Issue Log'!$F$5:$F$1004,"&gt;="&amp;1))</f>
        <v/>
      </c>
      <c r="F156" s="20" t="str">
        <f aca="false">IF(OR(B156="",N(D156)&lt;2),"",_xlfn.MINIFS('Issue Log'!$A$5:$A$1004,'Issue Log'!$B$5:$B$1004,B156,'Issue Log'!$F$5:$F$1004,"&gt;="&amp;2))</f>
        <v/>
      </c>
      <c r="G156" s="20" t="str">
        <f aca="false">IF(OR(B156="",N(D156)&lt;3),"",_xlfn.MINIFS('Issue Log'!$A$5:$A$1004,'Issue Log'!$B$5:$B$1004,B156,'Issue Log'!$F$5:$F$1004,"&gt;="&amp;3))</f>
        <v/>
      </c>
      <c r="H156" s="20" t="str">
        <f aca="false">IF(N(D156)=0,"",_xlfn.MAXIFS('Issue Log'!$A$5:$A$1004,'Issue Log'!$B$5:$B$1004,B156))</f>
        <v/>
      </c>
      <c r="I156" s="10" t="str">
        <f aca="false">IF(B156="","",IF(D156&gt;=3,"FLAG",IF(D156=0,"Not issued","OK")))</f>
        <v/>
      </c>
      <c r="J156" s="29" t="str">
        <f aca="false">IF(I156="FLAG",COUNTIF($I$5:I156,"FLAG"),"")</f>
        <v/>
      </c>
    </row>
    <row r="157" customFormat="false" ht="15" hidden="false" customHeight="false" outlineLevel="0" collapsed="false">
      <c r="A157" s="27" t="n">
        <v>153</v>
      </c>
      <c r="B157" s="28"/>
      <c r="C157" s="22"/>
      <c r="D157" s="10" t="str">
        <f aca="false">IF(B157="","",SUMIFS('Issue Log'!$D$5:$D$1004,'Issue Log'!$B$5:$B$1004,B157))</f>
        <v/>
      </c>
      <c r="E157" s="20" t="str">
        <f aca="false">IF(OR(B157="",N(D157)&lt;1),"",_xlfn.MINIFS('Issue Log'!$A$5:$A$1004,'Issue Log'!$B$5:$B$1004,B157,'Issue Log'!$F$5:$F$1004,"&gt;="&amp;1))</f>
        <v/>
      </c>
      <c r="F157" s="20" t="str">
        <f aca="false">IF(OR(B157="",N(D157)&lt;2),"",_xlfn.MINIFS('Issue Log'!$A$5:$A$1004,'Issue Log'!$B$5:$B$1004,B157,'Issue Log'!$F$5:$F$1004,"&gt;="&amp;2))</f>
        <v/>
      </c>
      <c r="G157" s="20" t="str">
        <f aca="false">IF(OR(B157="",N(D157)&lt;3),"",_xlfn.MINIFS('Issue Log'!$A$5:$A$1004,'Issue Log'!$B$5:$B$1004,B157,'Issue Log'!$F$5:$F$1004,"&gt;="&amp;3))</f>
        <v/>
      </c>
      <c r="H157" s="20" t="str">
        <f aca="false">IF(N(D157)=0,"",_xlfn.MAXIFS('Issue Log'!$A$5:$A$1004,'Issue Log'!$B$5:$B$1004,B157))</f>
        <v/>
      </c>
      <c r="I157" s="10" t="str">
        <f aca="false">IF(B157="","",IF(D157&gt;=3,"FLAG",IF(D157=0,"Not issued","OK")))</f>
        <v/>
      </c>
      <c r="J157" s="29" t="str">
        <f aca="false">IF(I157="FLAG",COUNTIF($I$5:I157,"FLAG"),"")</f>
        <v/>
      </c>
    </row>
    <row r="158" customFormat="false" ht="15" hidden="false" customHeight="false" outlineLevel="0" collapsed="false">
      <c r="A158" s="27" t="n">
        <v>154</v>
      </c>
      <c r="B158" s="28"/>
      <c r="C158" s="22"/>
      <c r="D158" s="10" t="str">
        <f aca="false">IF(B158="","",SUMIFS('Issue Log'!$D$5:$D$1004,'Issue Log'!$B$5:$B$1004,B158))</f>
        <v/>
      </c>
      <c r="E158" s="20" t="str">
        <f aca="false">IF(OR(B158="",N(D158)&lt;1),"",_xlfn.MINIFS('Issue Log'!$A$5:$A$1004,'Issue Log'!$B$5:$B$1004,B158,'Issue Log'!$F$5:$F$1004,"&gt;="&amp;1))</f>
        <v/>
      </c>
      <c r="F158" s="20" t="str">
        <f aca="false">IF(OR(B158="",N(D158)&lt;2),"",_xlfn.MINIFS('Issue Log'!$A$5:$A$1004,'Issue Log'!$B$5:$B$1004,B158,'Issue Log'!$F$5:$F$1004,"&gt;="&amp;2))</f>
        <v/>
      </c>
      <c r="G158" s="20" t="str">
        <f aca="false">IF(OR(B158="",N(D158)&lt;3),"",_xlfn.MINIFS('Issue Log'!$A$5:$A$1004,'Issue Log'!$B$5:$B$1004,B158,'Issue Log'!$F$5:$F$1004,"&gt;="&amp;3))</f>
        <v/>
      </c>
      <c r="H158" s="20" t="str">
        <f aca="false">IF(N(D158)=0,"",_xlfn.MAXIFS('Issue Log'!$A$5:$A$1004,'Issue Log'!$B$5:$B$1004,B158))</f>
        <v/>
      </c>
      <c r="I158" s="10" t="str">
        <f aca="false">IF(B158="","",IF(D158&gt;=3,"FLAG",IF(D158=0,"Not issued","OK")))</f>
        <v/>
      </c>
      <c r="J158" s="29" t="str">
        <f aca="false">IF(I158="FLAG",COUNTIF($I$5:I158,"FLAG"),"")</f>
        <v/>
      </c>
    </row>
    <row r="159" customFormat="false" ht="15" hidden="false" customHeight="false" outlineLevel="0" collapsed="false">
      <c r="A159" s="27" t="n">
        <v>155</v>
      </c>
      <c r="B159" s="28"/>
      <c r="C159" s="22"/>
      <c r="D159" s="10" t="str">
        <f aca="false">IF(B159="","",SUMIFS('Issue Log'!$D$5:$D$1004,'Issue Log'!$B$5:$B$1004,B159))</f>
        <v/>
      </c>
      <c r="E159" s="20" t="str">
        <f aca="false">IF(OR(B159="",N(D159)&lt;1),"",_xlfn.MINIFS('Issue Log'!$A$5:$A$1004,'Issue Log'!$B$5:$B$1004,B159,'Issue Log'!$F$5:$F$1004,"&gt;="&amp;1))</f>
        <v/>
      </c>
      <c r="F159" s="20" t="str">
        <f aca="false">IF(OR(B159="",N(D159)&lt;2),"",_xlfn.MINIFS('Issue Log'!$A$5:$A$1004,'Issue Log'!$B$5:$B$1004,B159,'Issue Log'!$F$5:$F$1004,"&gt;="&amp;2))</f>
        <v/>
      </c>
      <c r="G159" s="20" t="str">
        <f aca="false">IF(OR(B159="",N(D159)&lt;3),"",_xlfn.MINIFS('Issue Log'!$A$5:$A$1004,'Issue Log'!$B$5:$B$1004,B159,'Issue Log'!$F$5:$F$1004,"&gt;="&amp;3))</f>
        <v/>
      </c>
      <c r="H159" s="20" t="str">
        <f aca="false">IF(N(D159)=0,"",_xlfn.MAXIFS('Issue Log'!$A$5:$A$1004,'Issue Log'!$B$5:$B$1004,B159))</f>
        <v/>
      </c>
      <c r="I159" s="10" t="str">
        <f aca="false">IF(B159="","",IF(D159&gt;=3,"FLAG",IF(D159=0,"Not issued","OK")))</f>
        <v/>
      </c>
      <c r="J159" s="29" t="str">
        <f aca="false">IF(I159="FLAG",COUNTIF($I$5:I159,"FLAG"),"")</f>
        <v/>
      </c>
    </row>
    <row r="160" customFormat="false" ht="15" hidden="false" customHeight="false" outlineLevel="0" collapsed="false">
      <c r="A160" s="27" t="n">
        <v>156</v>
      </c>
      <c r="B160" s="28"/>
      <c r="C160" s="22"/>
      <c r="D160" s="10" t="str">
        <f aca="false">IF(B160="","",SUMIFS('Issue Log'!$D$5:$D$1004,'Issue Log'!$B$5:$B$1004,B160))</f>
        <v/>
      </c>
      <c r="E160" s="20" t="str">
        <f aca="false">IF(OR(B160="",N(D160)&lt;1),"",_xlfn.MINIFS('Issue Log'!$A$5:$A$1004,'Issue Log'!$B$5:$B$1004,B160,'Issue Log'!$F$5:$F$1004,"&gt;="&amp;1))</f>
        <v/>
      </c>
      <c r="F160" s="20" t="str">
        <f aca="false">IF(OR(B160="",N(D160)&lt;2),"",_xlfn.MINIFS('Issue Log'!$A$5:$A$1004,'Issue Log'!$B$5:$B$1004,B160,'Issue Log'!$F$5:$F$1004,"&gt;="&amp;2))</f>
        <v/>
      </c>
      <c r="G160" s="20" t="str">
        <f aca="false">IF(OR(B160="",N(D160)&lt;3),"",_xlfn.MINIFS('Issue Log'!$A$5:$A$1004,'Issue Log'!$B$5:$B$1004,B160,'Issue Log'!$F$5:$F$1004,"&gt;="&amp;3))</f>
        <v/>
      </c>
      <c r="H160" s="20" t="str">
        <f aca="false">IF(N(D160)=0,"",_xlfn.MAXIFS('Issue Log'!$A$5:$A$1004,'Issue Log'!$B$5:$B$1004,B160))</f>
        <v/>
      </c>
      <c r="I160" s="10" t="str">
        <f aca="false">IF(B160="","",IF(D160&gt;=3,"FLAG",IF(D160=0,"Not issued","OK")))</f>
        <v/>
      </c>
      <c r="J160" s="29" t="str">
        <f aca="false">IF(I160="FLAG",COUNTIF($I$5:I160,"FLAG"),"")</f>
        <v/>
      </c>
    </row>
    <row r="161" customFormat="false" ht="15" hidden="false" customHeight="false" outlineLevel="0" collapsed="false">
      <c r="A161" s="27" t="n">
        <v>157</v>
      </c>
      <c r="B161" s="28"/>
      <c r="C161" s="22"/>
      <c r="D161" s="10" t="str">
        <f aca="false">IF(B161="","",SUMIFS('Issue Log'!$D$5:$D$1004,'Issue Log'!$B$5:$B$1004,B161))</f>
        <v/>
      </c>
      <c r="E161" s="20" t="str">
        <f aca="false">IF(OR(B161="",N(D161)&lt;1),"",_xlfn.MINIFS('Issue Log'!$A$5:$A$1004,'Issue Log'!$B$5:$B$1004,B161,'Issue Log'!$F$5:$F$1004,"&gt;="&amp;1))</f>
        <v/>
      </c>
      <c r="F161" s="20" t="str">
        <f aca="false">IF(OR(B161="",N(D161)&lt;2),"",_xlfn.MINIFS('Issue Log'!$A$5:$A$1004,'Issue Log'!$B$5:$B$1004,B161,'Issue Log'!$F$5:$F$1004,"&gt;="&amp;2))</f>
        <v/>
      </c>
      <c r="G161" s="20" t="str">
        <f aca="false">IF(OR(B161="",N(D161)&lt;3),"",_xlfn.MINIFS('Issue Log'!$A$5:$A$1004,'Issue Log'!$B$5:$B$1004,B161,'Issue Log'!$F$5:$F$1004,"&gt;="&amp;3))</f>
        <v/>
      </c>
      <c r="H161" s="20" t="str">
        <f aca="false">IF(N(D161)=0,"",_xlfn.MAXIFS('Issue Log'!$A$5:$A$1004,'Issue Log'!$B$5:$B$1004,B161))</f>
        <v/>
      </c>
      <c r="I161" s="10" t="str">
        <f aca="false">IF(B161="","",IF(D161&gt;=3,"FLAG",IF(D161=0,"Not issued","OK")))</f>
        <v/>
      </c>
      <c r="J161" s="29" t="str">
        <f aca="false">IF(I161="FLAG",COUNTIF($I$5:I161,"FLAG"),"")</f>
        <v/>
      </c>
    </row>
    <row r="162" customFormat="false" ht="15" hidden="false" customHeight="false" outlineLevel="0" collapsed="false">
      <c r="A162" s="27" t="n">
        <v>158</v>
      </c>
      <c r="B162" s="28"/>
      <c r="C162" s="22"/>
      <c r="D162" s="10" t="str">
        <f aca="false">IF(B162="","",SUMIFS('Issue Log'!$D$5:$D$1004,'Issue Log'!$B$5:$B$1004,B162))</f>
        <v/>
      </c>
      <c r="E162" s="20" t="str">
        <f aca="false">IF(OR(B162="",N(D162)&lt;1),"",_xlfn.MINIFS('Issue Log'!$A$5:$A$1004,'Issue Log'!$B$5:$B$1004,B162,'Issue Log'!$F$5:$F$1004,"&gt;="&amp;1))</f>
        <v/>
      </c>
      <c r="F162" s="20" t="str">
        <f aca="false">IF(OR(B162="",N(D162)&lt;2),"",_xlfn.MINIFS('Issue Log'!$A$5:$A$1004,'Issue Log'!$B$5:$B$1004,B162,'Issue Log'!$F$5:$F$1004,"&gt;="&amp;2))</f>
        <v/>
      </c>
      <c r="G162" s="20" t="str">
        <f aca="false">IF(OR(B162="",N(D162)&lt;3),"",_xlfn.MINIFS('Issue Log'!$A$5:$A$1004,'Issue Log'!$B$5:$B$1004,B162,'Issue Log'!$F$5:$F$1004,"&gt;="&amp;3))</f>
        <v/>
      </c>
      <c r="H162" s="20" t="str">
        <f aca="false">IF(N(D162)=0,"",_xlfn.MAXIFS('Issue Log'!$A$5:$A$1004,'Issue Log'!$B$5:$B$1004,B162))</f>
        <v/>
      </c>
      <c r="I162" s="10" t="str">
        <f aca="false">IF(B162="","",IF(D162&gt;=3,"FLAG",IF(D162=0,"Not issued","OK")))</f>
        <v/>
      </c>
      <c r="J162" s="29" t="str">
        <f aca="false">IF(I162="FLAG",COUNTIF($I$5:I162,"FLAG"),"")</f>
        <v/>
      </c>
    </row>
    <row r="163" customFormat="false" ht="15" hidden="false" customHeight="false" outlineLevel="0" collapsed="false">
      <c r="A163" s="27" t="n">
        <v>159</v>
      </c>
      <c r="B163" s="28"/>
      <c r="C163" s="22"/>
      <c r="D163" s="10" t="str">
        <f aca="false">IF(B163="","",SUMIFS('Issue Log'!$D$5:$D$1004,'Issue Log'!$B$5:$B$1004,B163))</f>
        <v/>
      </c>
      <c r="E163" s="20" t="str">
        <f aca="false">IF(OR(B163="",N(D163)&lt;1),"",_xlfn.MINIFS('Issue Log'!$A$5:$A$1004,'Issue Log'!$B$5:$B$1004,B163,'Issue Log'!$F$5:$F$1004,"&gt;="&amp;1))</f>
        <v/>
      </c>
      <c r="F163" s="20" t="str">
        <f aca="false">IF(OR(B163="",N(D163)&lt;2),"",_xlfn.MINIFS('Issue Log'!$A$5:$A$1004,'Issue Log'!$B$5:$B$1004,B163,'Issue Log'!$F$5:$F$1004,"&gt;="&amp;2))</f>
        <v/>
      </c>
      <c r="G163" s="20" t="str">
        <f aca="false">IF(OR(B163="",N(D163)&lt;3),"",_xlfn.MINIFS('Issue Log'!$A$5:$A$1004,'Issue Log'!$B$5:$B$1004,B163,'Issue Log'!$F$5:$F$1004,"&gt;="&amp;3))</f>
        <v/>
      </c>
      <c r="H163" s="20" t="str">
        <f aca="false">IF(N(D163)=0,"",_xlfn.MAXIFS('Issue Log'!$A$5:$A$1004,'Issue Log'!$B$5:$B$1004,B163))</f>
        <v/>
      </c>
      <c r="I163" s="10" t="str">
        <f aca="false">IF(B163="","",IF(D163&gt;=3,"FLAG",IF(D163=0,"Not issued","OK")))</f>
        <v/>
      </c>
      <c r="J163" s="29" t="str">
        <f aca="false">IF(I163="FLAG",COUNTIF($I$5:I163,"FLAG"),"")</f>
        <v/>
      </c>
    </row>
    <row r="164" customFormat="false" ht="15" hidden="false" customHeight="false" outlineLevel="0" collapsed="false">
      <c r="A164" s="27" t="n">
        <v>160</v>
      </c>
      <c r="B164" s="28"/>
      <c r="C164" s="22"/>
      <c r="D164" s="10" t="str">
        <f aca="false">IF(B164="","",SUMIFS('Issue Log'!$D$5:$D$1004,'Issue Log'!$B$5:$B$1004,B164))</f>
        <v/>
      </c>
      <c r="E164" s="20" t="str">
        <f aca="false">IF(OR(B164="",N(D164)&lt;1),"",_xlfn.MINIFS('Issue Log'!$A$5:$A$1004,'Issue Log'!$B$5:$B$1004,B164,'Issue Log'!$F$5:$F$1004,"&gt;="&amp;1))</f>
        <v/>
      </c>
      <c r="F164" s="20" t="str">
        <f aca="false">IF(OR(B164="",N(D164)&lt;2),"",_xlfn.MINIFS('Issue Log'!$A$5:$A$1004,'Issue Log'!$B$5:$B$1004,B164,'Issue Log'!$F$5:$F$1004,"&gt;="&amp;2))</f>
        <v/>
      </c>
      <c r="G164" s="20" t="str">
        <f aca="false">IF(OR(B164="",N(D164)&lt;3),"",_xlfn.MINIFS('Issue Log'!$A$5:$A$1004,'Issue Log'!$B$5:$B$1004,B164,'Issue Log'!$F$5:$F$1004,"&gt;="&amp;3))</f>
        <v/>
      </c>
      <c r="H164" s="20" t="str">
        <f aca="false">IF(N(D164)=0,"",_xlfn.MAXIFS('Issue Log'!$A$5:$A$1004,'Issue Log'!$B$5:$B$1004,B164))</f>
        <v/>
      </c>
      <c r="I164" s="10" t="str">
        <f aca="false">IF(B164="","",IF(D164&gt;=3,"FLAG",IF(D164=0,"Not issued","OK")))</f>
        <v/>
      </c>
      <c r="J164" s="29" t="str">
        <f aca="false">IF(I164="FLAG",COUNTIF($I$5:I164,"FLAG"),"")</f>
        <v/>
      </c>
    </row>
    <row r="165" customFormat="false" ht="15" hidden="false" customHeight="false" outlineLevel="0" collapsed="false">
      <c r="A165" s="27" t="n">
        <v>161</v>
      </c>
      <c r="B165" s="28"/>
      <c r="C165" s="22"/>
      <c r="D165" s="10" t="str">
        <f aca="false">IF(B165="","",SUMIFS('Issue Log'!$D$5:$D$1004,'Issue Log'!$B$5:$B$1004,B165))</f>
        <v/>
      </c>
      <c r="E165" s="20" t="str">
        <f aca="false">IF(OR(B165="",N(D165)&lt;1),"",_xlfn.MINIFS('Issue Log'!$A$5:$A$1004,'Issue Log'!$B$5:$B$1004,B165,'Issue Log'!$F$5:$F$1004,"&gt;="&amp;1))</f>
        <v/>
      </c>
      <c r="F165" s="20" t="str">
        <f aca="false">IF(OR(B165="",N(D165)&lt;2),"",_xlfn.MINIFS('Issue Log'!$A$5:$A$1004,'Issue Log'!$B$5:$B$1004,B165,'Issue Log'!$F$5:$F$1004,"&gt;="&amp;2))</f>
        <v/>
      </c>
      <c r="G165" s="20" t="str">
        <f aca="false">IF(OR(B165="",N(D165)&lt;3),"",_xlfn.MINIFS('Issue Log'!$A$5:$A$1004,'Issue Log'!$B$5:$B$1004,B165,'Issue Log'!$F$5:$F$1004,"&gt;="&amp;3))</f>
        <v/>
      </c>
      <c r="H165" s="20" t="str">
        <f aca="false">IF(N(D165)=0,"",_xlfn.MAXIFS('Issue Log'!$A$5:$A$1004,'Issue Log'!$B$5:$B$1004,B165))</f>
        <v/>
      </c>
      <c r="I165" s="10" t="str">
        <f aca="false">IF(B165="","",IF(D165&gt;=3,"FLAG",IF(D165=0,"Not issued","OK")))</f>
        <v/>
      </c>
      <c r="J165" s="29" t="str">
        <f aca="false">IF(I165="FLAG",COUNTIF($I$5:I165,"FLAG"),"")</f>
        <v/>
      </c>
    </row>
    <row r="166" customFormat="false" ht="15" hidden="false" customHeight="false" outlineLevel="0" collapsed="false">
      <c r="A166" s="27" t="n">
        <v>162</v>
      </c>
      <c r="B166" s="28"/>
      <c r="C166" s="22"/>
      <c r="D166" s="10" t="str">
        <f aca="false">IF(B166="","",SUMIFS('Issue Log'!$D$5:$D$1004,'Issue Log'!$B$5:$B$1004,B166))</f>
        <v/>
      </c>
      <c r="E166" s="20" t="str">
        <f aca="false">IF(OR(B166="",N(D166)&lt;1),"",_xlfn.MINIFS('Issue Log'!$A$5:$A$1004,'Issue Log'!$B$5:$B$1004,B166,'Issue Log'!$F$5:$F$1004,"&gt;="&amp;1))</f>
        <v/>
      </c>
      <c r="F166" s="20" t="str">
        <f aca="false">IF(OR(B166="",N(D166)&lt;2),"",_xlfn.MINIFS('Issue Log'!$A$5:$A$1004,'Issue Log'!$B$5:$B$1004,B166,'Issue Log'!$F$5:$F$1004,"&gt;="&amp;2))</f>
        <v/>
      </c>
      <c r="G166" s="20" t="str">
        <f aca="false">IF(OR(B166="",N(D166)&lt;3),"",_xlfn.MINIFS('Issue Log'!$A$5:$A$1004,'Issue Log'!$B$5:$B$1004,B166,'Issue Log'!$F$5:$F$1004,"&gt;="&amp;3))</f>
        <v/>
      </c>
      <c r="H166" s="20" t="str">
        <f aca="false">IF(N(D166)=0,"",_xlfn.MAXIFS('Issue Log'!$A$5:$A$1004,'Issue Log'!$B$5:$B$1004,B166))</f>
        <v/>
      </c>
      <c r="I166" s="10" t="str">
        <f aca="false">IF(B166="","",IF(D166&gt;=3,"FLAG",IF(D166=0,"Not issued","OK")))</f>
        <v/>
      </c>
      <c r="J166" s="29" t="str">
        <f aca="false">IF(I166="FLAG",COUNTIF($I$5:I166,"FLAG"),"")</f>
        <v/>
      </c>
    </row>
    <row r="167" customFormat="false" ht="15" hidden="false" customHeight="false" outlineLevel="0" collapsed="false">
      <c r="A167" s="27" t="n">
        <v>163</v>
      </c>
      <c r="B167" s="28"/>
      <c r="C167" s="22"/>
      <c r="D167" s="10" t="str">
        <f aca="false">IF(B167="","",SUMIFS('Issue Log'!$D$5:$D$1004,'Issue Log'!$B$5:$B$1004,B167))</f>
        <v/>
      </c>
      <c r="E167" s="20" t="str">
        <f aca="false">IF(OR(B167="",N(D167)&lt;1),"",_xlfn.MINIFS('Issue Log'!$A$5:$A$1004,'Issue Log'!$B$5:$B$1004,B167,'Issue Log'!$F$5:$F$1004,"&gt;="&amp;1))</f>
        <v/>
      </c>
      <c r="F167" s="20" t="str">
        <f aca="false">IF(OR(B167="",N(D167)&lt;2),"",_xlfn.MINIFS('Issue Log'!$A$5:$A$1004,'Issue Log'!$B$5:$B$1004,B167,'Issue Log'!$F$5:$F$1004,"&gt;="&amp;2))</f>
        <v/>
      </c>
      <c r="G167" s="20" t="str">
        <f aca="false">IF(OR(B167="",N(D167)&lt;3),"",_xlfn.MINIFS('Issue Log'!$A$5:$A$1004,'Issue Log'!$B$5:$B$1004,B167,'Issue Log'!$F$5:$F$1004,"&gt;="&amp;3))</f>
        <v/>
      </c>
      <c r="H167" s="20" t="str">
        <f aca="false">IF(N(D167)=0,"",_xlfn.MAXIFS('Issue Log'!$A$5:$A$1004,'Issue Log'!$B$5:$B$1004,B167))</f>
        <v/>
      </c>
      <c r="I167" s="10" t="str">
        <f aca="false">IF(B167="","",IF(D167&gt;=3,"FLAG",IF(D167=0,"Not issued","OK")))</f>
        <v/>
      </c>
      <c r="J167" s="29" t="str">
        <f aca="false">IF(I167="FLAG",COUNTIF($I$5:I167,"FLAG"),"")</f>
        <v/>
      </c>
    </row>
    <row r="168" customFormat="false" ht="15" hidden="false" customHeight="false" outlineLevel="0" collapsed="false">
      <c r="A168" s="27" t="n">
        <v>164</v>
      </c>
      <c r="B168" s="28"/>
      <c r="C168" s="22"/>
      <c r="D168" s="10" t="str">
        <f aca="false">IF(B168="","",SUMIFS('Issue Log'!$D$5:$D$1004,'Issue Log'!$B$5:$B$1004,B168))</f>
        <v/>
      </c>
      <c r="E168" s="20" t="str">
        <f aca="false">IF(OR(B168="",N(D168)&lt;1),"",_xlfn.MINIFS('Issue Log'!$A$5:$A$1004,'Issue Log'!$B$5:$B$1004,B168,'Issue Log'!$F$5:$F$1004,"&gt;="&amp;1))</f>
        <v/>
      </c>
      <c r="F168" s="20" t="str">
        <f aca="false">IF(OR(B168="",N(D168)&lt;2),"",_xlfn.MINIFS('Issue Log'!$A$5:$A$1004,'Issue Log'!$B$5:$B$1004,B168,'Issue Log'!$F$5:$F$1004,"&gt;="&amp;2))</f>
        <v/>
      </c>
      <c r="G168" s="20" t="str">
        <f aca="false">IF(OR(B168="",N(D168)&lt;3),"",_xlfn.MINIFS('Issue Log'!$A$5:$A$1004,'Issue Log'!$B$5:$B$1004,B168,'Issue Log'!$F$5:$F$1004,"&gt;="&amp;3))</f>
        <v/>
      </c>
      <c r="H168" s="20" t="str">
        <f aca="false">IF(N(D168)=0,"",_xlfn.MAXIFS('Issue Log'!$A$5:$A$1004,'Issue Log'!$B$5:$B$1004,B168))</f>
        <v/>
      </c>
      <c r="I168" s="10" t="str">
        <f aca="false">IF(B168="","",IF(D168&gt;=3,"FLAG",IF(D168=0,"Not issued","OK")))</f>
        <v/>
      </c>
      <c r="J168" s="29" t="str">
        <f aca="false">IF(I168="FLAG",COUNTIF($I$5:I168,"FLAG"),"")</f>
        <v/>
      </c>
    </row>
    <row r="169" customFormat="false" ht="15" hidden="false" customHeight="false" outlineLevel="0" collapsed="false">
      <c r="A169" s="27" t="n">
        <v>165</v>
      </c>
      <c r="B169" s="28"/>
      <c r="C169" s="22"/>
      <c r="D169" s="10" t="str">
        <f aca="false">IF(B169="","",SUMIFS('Issue Log'!$D$5:$D$1004,'Issue Log'!$B$5:$B$1004,B169))</f>
        <v/>
      </c>
      <c r="E169" s="20" t="str">
        <f aca="false">IF(OR(B169="",N(D169)&lt;1),"",_xlfn.MINIFS('Issue Log'!$A$5:$A$1004,'Issue Log'!$B$5:$B$1004,B169,'Issue Log'!$F$5:$F$1004,"&gt;="&amp;1))</f>
        <v/>
      </c>
      <c r="F169" s="20" t="str">
        <f aca="false">IF(OR(B169="",N(D169)&lt;2),"",_xlfn.MINIFS('Issue Log'!$A$5:$A$1004,'Issue Log'!$B$5:$B$1004,B169,'Issue Log'!$F$5:$F$1004,"&gt;="&amp;2))</f>
        <v/>
      </c>
      <c r="G169" s="20" t="str">
        <f aca="false">IF(OR(B169="",N(D169)&lt;3),"",_xlfn.MINIFS('Issue Log'!$A$5:$A$1004,'Issue Log'!$B$5:$B$1004,B169,'Issue Log'!$F$5:$F$1004,"&gt;="&amp;3))</f>
        <v/>
      </c>
      <c r="H169" s="20" t="str">
        <f aca="false">IF(N(D169)=0,"",_xlfn.MAXIFS('Issue Log'!$A$5:$A$1004,'Issue Log'!$B$5:$B$1004,B169))</f>
        <v/>
      </c>
      <c r="I169" s="10" t="str">
        <f aca="false">IF(B169="","",IF(D169&gt;=3,"FLAG",IF(D169=0,"Not issued","OK")))</f>
        <v/>
      </c>
      <c r="J169" s="29" t="str">
        <f aca="false">IF(I169="FLAG",COUNTIF($I$5:I169,"FLAG"),"")</f>
        <v/>
      </c>
    </row>
    <row r="170" customFormat="false" ht="15" hidden="false" customHeight="false" outlineLevel="0" collapsed="false">
      <c r="A170" s="27" t="n">
        <v>166</v>
      </c>
      <c r="B170" s="28"/>
      <c r="C170" s="22"/>
      <c r="D170" s="10" t="str">
        <f aca="false">IF(B170="","",SUMIFS('Issue Log'!$D$5:$D$1004,'Issue Log'!$B$5:$B$1004,B170))</f>
        <v/>
      </c>
      <c r="E170" s="20" t="str">
        <f aca="false">IF(OR(B170="",N(D170)&lt;1),"",_xlfn.MINIFS('Issue Log'!$A$5:$A$1004,'Issue Log'!$B$5:$B$1004,B170,'Issue Log'!$F$5:$F$1004,"&gt;="&amp;1))</f>
        <v/>
      </c>
      <c r="F170" s="20" t="str">
        <f aca="false">IF(OR(B170="",N(D170)&lt;2),"",_xlfn.MINIFS('Issue Log'!$A$5:$A$1004,'Issue Log'!$B$5:$B$1004,B170,'Issue Log'!$F$5:$F$1004,"&gt;="&amp;2))</f>
        <v/>
      </c>
      <c r="G170" s="20" t="str">
        <f aca="false">IF(OR(B170="",N(D170)&lt;3),"",_xlfn.MINIFS('Issue Log'!$A$5:$A$1004,'Issue Log'!$B$5:$B$1004,B170,'Issue Log'!$F$5:$F$1004,"&gt;="&amp;3))</f>
        <v/>
      </c>
      <c r="H170" s="20" t="str">
        <f aca="false">IF(N(D170)=0,"",_xlfn.MAXIFS('Issue Log'!$A$5:$A$1004,'Issue Log'!$B$5:$B$1004,B170))</f>
        <v/>
      </c>
      <c r="I170" s="10" t="str">
        <f aca="false">IF(B170="","",IF(D170&gt;=3,"FLAG",IF(D170=0,"Not issued","OK")))</f>
        <v/>
      </c>
      <c r="J170" s="29" t="str">
        <f aca="false">IF(I170="FLAG",COUNTIF($I$5:I170,"FLAG"),"")</f>
        <v/>
      </c>
    </row>
    <row r="171" customFormat="false" ht="15" hidden="false" customHeight="false" outlineLevel="0" collapsed="false">
      <c r="A171" s="27" t="n">
        <v>167</v>
      </c>
      <c r="B171" s="28"/>
      <c r="C171" s="22"/>
      <c r="D171" s="10" t="str">
        <f aca="false">IF(B171="","",SUMIFS('Issue Log'!$D$5:$D$1004,'Issue Log'!$B$5:$B$1004,B171))</f>
        <v/>
      </c>
      <c r="E171" s="20" t="str">
        <f aca="false">IF(OR(B171="",N(D171)&lt;1),"",_xlfn.MINIFS('Issue Log'!$A$5:$A$1004,'Issue Log'!$B$5:$B$1004,B171,'Issue Log'!$F$5:$F$1004,"&gt;="&amp;1))</f>
        <v/>
      </c>
      <c r="F171" s="20" t="str">
        <f aca="false">IF(OR(B171="",N(D171)&lt;2),"",_xlfn.MINIFS('Issue Log'!$A$5:$A$1004,'Issue Log'!$B$5:$B$1004,B171,'Issue Log'!$F$5:$F$1004,"&gt;="&amp;2))</f>
        <v/>
      </c>
      <c r="G171" s="20" t="str">
        <f aca="false">IF(OR(B171="",N(D171)&lt;3),"",_xlfn.MINIFS('Issue Log'!$A$5:$A$1004,'Issue Log'!$B$5:$B$1004,B171,'Issue Log'!$F$5:$F$1004,"&gt;="&amp;3))</f>
        <v/>
      </c>
      <c r="H171" s="20" t="str">
        <f aca="false">IF(N(D171)=0,"",_xlfn.MAXIFS('Issue Log'!$A$5:$A$1004,'Issue Log'!$B$5:$B$1004,B171))</f>
        <v/>
      </c>
      <c r="I171" s="10" t="str">
        <f aca="false">IF(B171="","",IF(D171&gt;=3,"FLAG",IF(D171=0,"Not issued","OK")))</f>
        <v/>
      </c>
      <c r="J171" s="29" t="str">
        <f aca="false">IF(I171="FLAG",COUNTIF($I$5:I171,"FLAG"),"")</f>
        <v/>
      </c>
    </row>
    <row r="172" customFormat="false" ht="15" hidden="false" customHeight="false" outlineLevel="0" collapsed="false">
      <c r="A172" s="27" t="n">
        <v>168</v>
      </c>
      <c r="B172" s="28"/>
      <c r="C172" s="22"/>
      <c r="D172" s="10" t="str">
        <f aca="false">IF(B172="","",SUMIFS('Issue Log'!$D$5:$D$1004,'Issue Log'!$B$5:$B$1004,B172))</f>
        <v/>
      </c>
      <c r="E172" s="20" t="str">
        <f aca="false">IF(OR(B172="",N(D172)&lt;1),"",_xlfn.MINIFS('Issue Log'!$A$5:$A$1004,'Issue Log'!$B$5:$B$1004,B172,'Issue Log'!$F$5:$F$1004,"&gt;="&amp;1))</f>
        <v/>
      </c>
      <c r="F172" s="20" t="str">
        <f aca="false">IF(OR(B172="",N(D172)&lt;2),"",_xlfn.MINIFS('Issue Log'!$A$5:$A$1004,'Issue Log'!$B$5:$B$1004,B172,'Issue Log'!$F$5:$F$1004,"&gt;="&amp;2))</f>
        <v/>
      </c>
      <c r="G172" s="20" t="str">
        <f aca="false">IF(OR(B172="",N(D172)&lt;3),"",_xlfn.MINIFS('Issue Log'!$A$5:$A$1004,'Issue Log'!$B$5:$B$1004,B172,'Issue Log'!$F$5:$F$1004,"&gt;="&amp;3))</f>
        <v/>
      </c>
      <c r="H172" s="20" t="str">
        <f aca="false">IF(N(D172)=0,"",_xlfn.MAXIFS('Issue Log'!$A$5:$A$1004,'Issue Log'!$B$5:$B$1004,B172))</f>
        <v/>
      </c>
      <c r="I172" s="10" t="str">
        <f aca="false">IF(B172="","",IF(D172&gt;=3,"FLAG",IF(D172=0,"Not issued","OK")))</f>
        <v/>
      </c>
      <c r="J172" s="29" t="str">
        <f aca="false">IF(I172="FLAG",COUNTIF($I$5:I172,"FLAG"),"")</f>
        <v/>
      </c>
    </row>
    <row r="173" customFormat="false" ht="15" hidden="false" customHeight="false" outlineLevel="0" collapsed="false">
      <c r="A173" s="27" t="n">
        <v>169</v>
      </c>
      <c r="B173" s="28"/>
      <c r="C173" s="22"/>
      <c r="D173" s="10" t="str">
        <f aca="false">IF(B173="","",SUMIFS('Issue Log'!$D$5:$D$1004,'Issue Log'!$B$5:$B$1004,B173))</f>
        <v/>
      </c>
      <c r="E173" s="20" t="str">
        <f aca="false">IF(OR(B173="",N(D173)&lt;1),"",_xlfn.MINIFS('Issue Log'!$A$5:$A$1004,'Issue Log'!$B$5:$B$1004,B173,'Issue Log'!$F$5:$F$1004,"&gt;="&amp;1))</f>
        <v/>
      </c>
      <c r="F173" s="20" t="str">
        <f aca="false">IF(OR(B173="",N(D173)&lt;2),"",_xlfn.MINIFS('Issue Log'!$A$5:$A$1004,'Issue Log'!$B$5:$B$1004,B173,'Issue Log'!$F$5:$F$1004,"&gt;="&amp;2))</f>
        <v/>
      </c>
      <c r="G173" s="20" t="str">
        <f aca="false">IF(OR(B173="",N(D173)&lt;3),"",_xlfn.MINIFS('Issue Log'!$A$5:$A$1004,'Issue Log'!$B$5:$B$1004,B173,'Issue Log'!$F$5:$F$1004,"&gt;="&amp;3))</f>
        <v/>
      </c>
      <c r="H173" s="20" t="str">
        <f aca="false">IF(N(D173)=0,"",_xlfn.MAXIFS('Issue Log'!$A$5:$A$1004,'Issue Log'!$B$5:$B$1004,B173))</f>
        <v/>
      </c>
      <c r="I173" s="10" t="str">
        <f aca="false">IF(B173="","",IF(D173&gt;=3,"FLAG",IF(D173=0,"Not issued","OK")))</f>
        <v/>
      </c>
      <c r="J173" s="29" t="str">
        <f aca="false">IF(I173="FLAG",COUNTIF($I$5:I173,"FLAG"),"")</f>
        <v/>
      </c>
    </row>
    <row r="174" customFormat="false" ht="15" hidden="false" customHeight="false" outlineLevel="0" collapsed="false">
      <c r="A174" s="27" t="n">
        <v>170</v>
      </c>
      <c r="B174" s="28"/>
      <c r="C174" s="22"/>
      <c r="D174" s="10" t="str">
        <f aca="false">IF(B174="","",SUMIFS('Issue Log'!$D$5:$D$1004,'Issue Log'!$B$5:$B$1004,B174))</f>
        <v/>
      </c>
      <c r="E174" s="20" t="str">
        <f aca="false">IF(OR(B174="",N(D174)&lt;1),"",_xlfn.MINIFS('Issue Log'!$A$5:$A$1004,'Issue Log'!$B$5:$B$1004,B174,'Issue Log'!$F$5:$F$1004,"&gt;="&amp;1))</f>
        <v/>
      </c>
      <c r="F174" s="20" t="str">
        <f aca="false">IF(OR(B174="",N(D174)&lt;2),"",_xlfn.MINIFS('Issue Log'!$A$5:$A$1004,'Issue Log'!$B$5:$B$1004,B174,'Issue Log'!$F$5:$F$1004,"&gt;="&amp;2))</f>
        <v/>
      </c>
      <c r="G174" s="20" t="str">
        <f aca="false">IF(OR(B174="",N(D174)&lt;3),"",_xlfn.MINIFS('Issue Log'!$A$5:$A$1004,'Issue Log'!$B$5:$B$1004,B174,'Issue Log'!$F$5:$F$1004,"&gt;="&amp;3))</f>
        <v/>
      </c>
      <c r="H174" s="20" t="str">
        <f aca="false">IF(N(D174)=0,"",_xlfn.MAXIFS('Issue Log'!$A$5:$A$1004,'Issue Log'!$B$5:$B$1004,B174))</f>
        <v/>
      </c>
      <c r="I174" s="10" t="str">
        <f aca="false">IF(B174="","",IF(D174&gt;=3,"FLAG",IF(D174=0,"Not issued","OK")))</f>
        <v/>
      </c>
      <c r="J174" s="29" t="str">
        <f aca="false">IF(I174="FLAG",COUNTIF($I$5:I174,"FLAG"),"")</f>
        <v/>
      </c>
    </row>
    <row r="175" customFormat="false" ht="15" hidden="false" customHeight="false" outlineLevel="0" collapsed="false">
      <c r="A175" s="27" t="n">
        <v>171</v>
      </c>
      <c r="B175" s="28"/>
      <c r="C175" s="22"/>
      <c r="D175" s="10" t="str">
        <f aca="false">IF(B175="","",SUMIFS('Issue Log'!$D$5:$D$1004,'Issue Log'!$B$5:$B$1004,B175))</f>
        <v/>
      </c>
      <c r="E175" s="20" t="str">
        <f aca="false">IF(OR(B175="",N(D175)&lt;1),"",_xlfn.MINIFS('Issue Log'!$A$5:$A$1004,'Issue Log'!$B$5:$B$1004,B175,'Issue Log'!$F$5:$F$1004,"&gt;="&amp;1))</f>
        <v/>
      </c>
      <c r="F175" s="20" t="str">
        <f aca="false">IF(OR(B175="",N(D175)&lt;2),"",_xlfn.MINIFS('Issue Log'!$A$5:$A$1004,'Issue Log'!$B$5:$B$1004,B175,'Issue Log'!$F$5:$F$1004,"&gt;="&amp;2))</f>
        <v/>
      </c>
      <c r="G175" s="20" t="str">
        <f aca="false">IF(OR(B175="",N(D175)&lt;3),"",_xlfn.MINIFS('Issue Log'!$A$5:$A$1004,'Issue Log'!$B$5:$B$1004,B175,'Issue Log'!$F$5:$F$1004,"&gt;="&amp;3))</f>
        <v/>
      </c>
      <c r="H175" s="20" t="str">
        <f aca="false">IF(N(D175)=0,"",_xlfn.MAXIFS('Issue Log'!$A$5:$A$1004,'Issue Log'!$B$5:$B$1004,B175))</f>
        <v/>
      </c>
      <c r="I175" s="10" t="str">
        <f aca="false">IF(B175="","",IF(D175&gt;=3,"FLAG",IF(D175=0,"Not issued","OK")))</f>
        <v/>
      </c>
      <c r="J175" s="29" t="str">
        <f aca="false">IF(I175="FLAG",COUNTIF($I$5:I175,"FLAG"),"")</f>
        <v/>
      </c>
    </row>
    <row r="176" customFormat="false" ht="15" hidden="false" customHeight="false" outlineLevel="0" collapsed="false">
      <c r="A176" s="27" t="n">
        <v>172</v>
      </c>
      <c r="B176" s="28"/>
      <c r="C176" s="22"/>
      <c r="D176" s="10" t="str">
        <f aca="false">IF(B176="","",SUMIFS('Issue Log'!$D$5:$D$1004,'Issue Log'!$B$5:$B$1004,B176))</f>
        <v/>
      </c>
      <c r="E176" s="20" t="str">
        <f aca="false">IF(OR(B176="",N(D176)&lt;1),"",_xlfn.MINIFS('Issue Log'!$A$5:$A$1004,'Issue Log'!$B$5:$B$1004,B176,'Issue Log'!$F$5:$F$1004,"&gt;="&amp;1))</f>
        <v/>
      </c>
      <c r="F176" s="20" t="str">
        <f aca="false">IF(OR(B176="",N(D176)&lt;2),"",_xlfn.MINIFS('Issue Log'!$A$5:$A$1004,'Issue Log'!$B$5:$B$1004,B176,'Issue Log'!$F$5:$F$1004,"&gt;="&amp;2))</f>
        <v/>
      </c>
      <c r="G176" s="20" t="str">
        <f aca="false">IF(OR(B176="",N(D176)&lt;3),"",_xlfn.MINIFS('Issue Log'!$A$5:$A$1004,'Issue Log'!$B$5:$B$1004,B176,'Issue Log'!$F$5:$F$1004,"&gt;="&amp;3))</f>
        <v/>
      </c>
      <c r="H176" s="20" t="str">
        <f aca="false">IF(N(D176)=0,"",_xlfn.MAXIFS('Issue Log'!$A$5:$A$1004,'Issue Log'!$B$5:$B$1004,B176))</f>
        <v/>
      </c>
      <c r="I176" s="10" t="str">
        <f aca="false">IF(B176="","",IF(D176&gt;=3,"FLAG",IF(D176=0,"Not issued","OK")))</f>
        <v/>
      </c>
      <c r="J176" s="29" t="str">
        <f aca="false">IF(I176="FLAG",COUNTIF($I$5:I176,"FLAG"),"")</f>
        <v/>
      </c>
    </row>
    <row r="177" customFormat="false" ht="15" hidden="false" customHeight="false" outlineLevel="0" collapsed="false">
      <c r="A177" s="27" t="n">
        <v>173</v>
      </c>
      <c r="B177" s="28"/>
      <c r="C177" s="22"/>
      <c r="D177" s="10" t="str">
        <f aca="false">IF(B177="","",SUMIFS('Issue Log'!$D$5:$D$1004,'Issue Log'!$B$5:$B$1004,B177))</f>
        <v/>
      </c>
      <c r="E177" s="20" t="str">
        <f aca="false">IF(OR(B177="",N(D177)&lt;1),"",_xlfn.MINIFS('Issue Log'!$A$5:$A$1004,'Issue Log'!$B$5:$B$1004,B177,'Issue Log'!$F$5:$F$1004,"&gt;="&amp;1))</f>
        <v/>
      </c>
      <c r="F177" s="20" t="str">
        <f aca="false">IF(OR(B177="",N(D177)&lt;2),"",_xlfn.MINIFS('Issue Log'!$A$5:$A$1004,'Issue Log'!$B$5:$B$1004,B177,'Issue Log'!$F$5:$F$1004,"&gt;="&amp;2))</f>
        <v/>
      </c>
      <c r="G177" s="20" t="str">
        <f aca="false">IF(OR(B177="",N(D177)&lt;3),"",_xlfn.MINIFS('Issue Log'!$A$5:$A$1004,'Issue Log'!$B$5:$B$1004,B177,'Issue Log'!$F$5:$F$1004,"&gt;="&amp;3))</f>
        <v/>
      </c>
      <c r="H177" s="20" t="str">
        <f aca="false">IF(N(D177)=0,"",_xlfn.MAXIFS('Issue Log'!$A$5:$A$1004,'Issue Log'!$B$5:$B$1004,B177))</f>
        <v/>
      </c>
      <c r="I177" s="10" t="str">
        <f aca="false">IF(B177="","",IF(D177&gt;=3,"FLAG",IF(D177=0,"Not issued","OK")))</f>
        <v/>
      </c>
      <c r="J177" s="29" t="str">
        <f aca="false">IF(I177="FLAG",COUNTIF($I$5:I177,"FLAG"),"")</f>
        <v/>
      </c>
    </row>
    <row r="178" customFormat="false" ht="15" hidden="false" customHeight="false" outlineLevel="0" collapsed="false">
      <c r="A178" s="27" t="n">
        <v>174</v>
      </c>
      <c r="B178" s="28"/>
      <c r="C178" s="22"/>
      <c r="D178" s="10" t="str">
        <f aca="false">IF(B178="","",SUMIFS('Issue Log'!$D$5:$D$1004,'Issue Log'!$B$5:$B$1004,B178))</f>
        <v/>
      </c>
      <c r="E178" s="20" t="str">
        <f aca="false">IF(OR(B178="",N(D178)&lt;1),"",_xlfn.MINIFS('Issue Log'!$A$5:$A$1004,'Issue Log'!$B$5:$B$1004,B178,'Issue Log'!$F$5:$F$1004,"&gt;="&amp;1))</f>
        <v/>
      </c>
      <c r="F178" s="20" t="str">
        <f aca="false">IF(OR(B178="",N(D178)&lt;2),"",_xlfn.MINIFS('Issue Log'!$A$5:$A$1004,'Issue Log'!$B$5:$B$1004,B178,'Issue Log'!$F$5:$F$1004,"&gt;="&amp;2))</f>
        <v/>
      </c>
      <c r="G178" s="20" t="str">
        <f aca="false">IF(OR(B178="",N(D178)&lt;3),"",_xlfn.MINIFS('Issue Log'!$A$5:$A$1004,'Issue Log'!$B$5:$B$1004,B178,'Issue Log'!$F$5:$F$1004,"&gt;="&amp;3))</f>
        <v/>
      </c>
      <c r="H178" s="20" t="str">
        <f aca="false">IF(N(D178)=0,"",_xlfn.MAXIFS('Issue Log'!$A$5:$A$1004,'Issue Log'!$B$5:$B$1004,B178))</f>
        <v/>
      </c>
      <c r="I178" s="10" t="str">
        <f aca="false">IF(B178="","",IF(D178&gt;=3,"FLAG",IF(D178=0,"Not issued","OK")))</f>
        <v/>
      </c>
      <c r="J178" s="29" t="str">
        <f aca="false">IF(I178="FLAG",COUNTIF($I$5:I178,"FLAG"),"")</f>
        <v/>
      </c>
    </row>
    <row r="179" customFormat="false" ht="15" hidden="false" customHeight="false" outlineLevel="0" collapsed="false">
      <c r="A179" s="27" t="n">
        <v>175</v>
      </c>
      <c r="B179" s="28"/>
      <c r="C179" s="22"/>
      <c r="D179" s="10" t="str">
        <f aca="false">IF(B179="","",SUMIFS('Issue Log'!$D$5:$D$1004,'Issue Log'!$B$5:$B$1004,B179))</f>
        <v/>
      </c>
      <c r="E179" s="20" t="str">
        <f aca="false">IF(OR(B179="",N(D179)&lt;1),"",_xlfn.MINIFS('Issue Log'!$A$5:$A$1004,'Issue Log'!$B$5:$B$1004,B179,'Issue Log'!$F$5:$F$1004,"&gt;="&amp;1))</f>
        <v/>
      </c>
      <c r="F179" s="20" t="str">
        <f aca="false">IF(OR(B179="",N(D179)&lt;2),"",_xlfn.MINIFS('Issue Log'!$A$5:$A$1004,'Issue Log'!$B$5:$B$1004,B179,'Issue Log'!$F$5:$F$1004,"&gt;="&amp;2))</f>
        <v/>
      </c>
      <c r="G179" s="20" t="str">
        <f aca="false">IF(OR(B179="",N(D179)&lt;3),"",_xlfn.MINIFS('Issue Log'!$A$5:$A$1004,'Issue Log'!$B$5:$B$1004,B179,'Issue Log'!$F$5:$F$1004,"&gt;="&amp;3))</f>
        <v/>
      </c>
      <c r="H179" s="20" t="str">
        <f aca="false">IF(N(D179)=0,"",_xlfn.MAXIFS('Issue Log'!$A$5:$A$1004,'Issue Log'!$B$5:$B$1004,B179))</f>
        <v/>
      </c>
      <c r="I179" s="10" t="str">
        <f aca="false">IF(B179="","",IF(D179&gt;=3,"FLAG",IF(D179=0,"Not issued","OK")))</f>
        <v/>
      </c>
      <c r="J179" s="29" t="str">
        <f aca="false">IF(I179="FLAG",COUNTIF($I$5:I179,"FLAG"),"")</f>
        <v/>
      </c>
    </row>
    <row r="180" customFormat="false" ht="15" hidden="false" customHeight="false" outlineLevel="0" collapsed="false">
      <c r="A180" s="27" t="n">
        <v>176</v>
      </c>
      <c r="B180" s="28"/>
      <c r="C180" s="22"/>
      <c r="D180" s="10" t="str">
        <f aca="false">IF(B180="","",SUMIFS('Issue Log'!$D$5:$D$1004,'Issue Log'!$B$5:$B$1004,B180))</f>
        <v/>
      </c>
      <c r="E180" s="20" t="str">
        <f aca="false">IF(OR(B180="",N(D180)&lt;1),"",_xlfn.MINIFS('Issue Log'!$A$5:$A$1004,'Issue Log'!$B$5:$B$1004,B180,'Issue Log'!$F$5:$F$1004,"&gt;="&amp;1))</f>
        <v/>
      </c>
      <c r="F180" s="20" t="str">
        <f aca="false">IF(OR(B180="",N(D180)&lt;2),"",_xlfn.MINIFS('Issue Log'!$A$5:$A$1004,'Issue Log'!$B$5:$B$1004,B180,'Issue Log'!$F$5:$F$1004,"&gt;="&amp;2))</f>
        <v/>
      </c>
      <c r="G180" s="20" t="str">
        <f aca="false">IF(OR(B180="",N(D180)&lt;3),"",_xlfn.MINIFS('Issue Log'!$A$5:$A$1004,'Issue Log'!$B$5:$B$1004,B180,'Issue Log'!$F$5:$F$1004,"&gt;="&amp;3))</f>
        <v/>
      </c>
      <c r="H180" s="20" t="str">
        <f aca="false">IF(N(D180)=0,"",_xlfn.MAXIFS('Issue Log'!$A$5:$A$1004,'Issue Log'!$B$5:$B$1004,B180))</f>
        <v/>
      </c>
      <c r="I180" s="10" t="str">
        <f aca="false">IF(B180="","",IF(D180&gt;=3,"FLAG",IF(D180=0,"Not issued","OK")))</f>
        <v/>
      </c>
      <c r="J180" s="29" t="str">
        <f aca="false">IF(I180="FLAG",COUNTIF($I$5:I180,"FLAG"),"")</f>
        <v/>
      </c>
    </row>
    <row r="181" customFormat="false" ht="15" hidden="false" customHeight="false" outlineLevel="0" collapsed="false">
      <c r="A181" s="27" t="n">
        <v>177</v>
      </c>
      <c r="B181" s="28"/>
      <c r="C181" s="22"/>
      <c r="D181" s="10" t="str">
        <f aca="false">IF(B181="","",SUMIFS('Issue Log'!$D$5:$D$1004,'Issue Log'!$B$5:$B$1004,B181))</f>
        <v/>
      </c>
      <c r="E181" s="20" t="str">
        <f aca="false">IF(OR(B181="",N(D181)&lt;1),"",_xlfn.MINIFS('Issue Log'!$A$5:$A$1004,'Issue Log'!$B$5:$B$1004,B181,'Issue Log'!$F$5:$F$1004,"&gt;="&amp;1))</f>
        <v/>
      </c>
      <c r="F181" s="20" t="str">
        <f aca="false">IF(OR(B181="",N(D181)&lt;2),"",_xlfn.MINIFS('Issue Log'!$A$5:$A$1004,'Issue Log'!$B$5:$B$1004,B181,'Issue Log'!$F$5:$F$1004,"&gt;="&amp;2))</f>
        <v/>
      </c>
      <c r="G181" s="20" t="str">
        <f aca="false">IF(OR(B181="",N(D181)&lt;3),"",_xlfn.MINIFS('Issue Log'!$A$5:$A$1004,'Issue Log'!$B$5:$B$1004,B181,'Issue Log'!$F$5:$F$1004,"&gt;="&amp;3))</f>
        <v/>
      </c>
      <c r="H181" s="20" t="str">
        <f aca="false">IF(N(D181)=0,"",_xlfn.MAXIFS('Issue Log'!$A$5:$A$1004,'Issue Log'!$B$5:$B$1004,B181))</f>
        <v/>
      </c>
      <c r="I181" s="10" t="str">
        <f aca="false">IF(B181="","",IF(D181&gt;=3,"FLAG",IF(D181=0,"Not issued","OK")))</f>
        <v/>
      </c>
      <c r="J181" s="29" t="str">
        <f aca="false">IF(I181="FLAG",COUNTIF($I$5:I181,"FLAG"),"")</f>
        <v/>
      </c>
    </row>
    <row r="182" customFormat="false" ht="15" hidden="false" customHeight="false" outlineLevel="0" collapsed="false">
      <c r="A182" s="27" t="n">
        <v>178</v>
      </c>
      <c r="B182" s="28"/>
      <c r="C182" s="22"/>
      <c r="D182" s="10" t="str">
        <f aca="false">IF(B182="","",SUMIFS('Issue Log'!$D$5:$D$1004,'Issue Log'!$B$5:$B$1004,B182))</f>
        <v/>
      </c>
      <c r="E182" s="20" t="str">
        <f aca="false">IF(OR(B182="",N(D182)&lt;1),"",_xlfn.MINIFS('Issue Log'!$A$5:$A$1004,'Issue Log'!$B$5:$B$1004,B182,'Issue Log'!$F$5:$F$1004,"&gt;="&amp;1))</f>
        <v/>
      </c>
      <c r="F182" s="20" t="str">
        <f aca="false">IF(OR(B182="",N(D182)&lt;2),"",_xlfn.MINIFS('Issue Log'!$A$5:$A$1004,'Issue Log'!$B$5:$B$1004,B182,'Issue Log'!$F$5:$F$1004,"&gt;="&amp;2))</f>
        <v/>
      </c>
      <c r="G182" s="20" t="str">
        <f aca="false">IF(OR(B182="",N(D182)&lt;3),"",_xlfn.MINIFS('Issue Log'!$A$5:$A$1004,'Issue Log'!$B$5:$B$1004,B182,'Issue Log'!$F$5:$F$1004,"&gt;="&amp;3))</f>
        <v/>
      </c>
      <c r="H182" s="20" t="str">
        <f aca="false">IF(N(D182)=0,"",_xlfn.MAXIFS('Issue Log'!$A$5:$A$1004,'Issue Log'!$B$5:$B$1004,B182))</f>
        <v/>
      </c>
      <c r="I182" s="10" t="str">
        <f aca="false">IF(B182="","",IF(D182&gt;=3,"FLAG",IF(D182=0,"Not issued","OK")))</f>
        <v/>
      </c>
      <c r="J182" s="29" t="str">
        <f aca="false">IF(I182="FLAG",COUNTIF($I$5:I182,"FLAG"),"")</f>
        <v/>
      </c>
    </row>
    <row r="183" customFormat="false" ht="15" hidden="false" customHeight="false" outlineLevel="0" collapsed="false">
      <c r="A183" s="27" t="n">
        <v>179</v>
      </c>
      <c r="B183" s="28"/>
      <c r="C183" s="22"/>
      <c r="D183" s="10" t="str">
        <f aca="false">IF(B183="","",SUMIFS('Issue Log'!$D$5:$D$1004,'Issue Log'!$B$5:$B$1004,B183))</f>
        <v/>
      </c>
      <c r="E183" s="20" t="str">
        <f aca="false">IF(OR(B183="",N(D183)&lt;1),"",_xlfn.MINIFS('Issue Log'!$A$5:$A$1004,'Issue Log'!$B$5:$B$1004,B183,'Issue Log'!$F$5:$F$1004,"&gt;="&amp;1))</f>
        <v/>
      </c>
      <c r="F183" s="20" t="str">
        <f aca="false">IF(OR(B183="",N(D183)&lt;2),"",_xlfn.MINIFS('Issue Log'!$A$5:$A$1004,'Issue Log'!$B$5:$B$1004,B183,'Issue Log'!$F$5:$F$1004,"&gt;="&amp;2))</f>
        <v/>
      </c>
      <c r="G183" s="20" t="str">
        <f aca="false">IF(OR(B183="",N(D183)&lt;3),"",_xlfn.MINIFS('Issue Log'!$A$5:$A$1004,'Issue Log'!$B$5:$B$1004,B183,'Issue Log'!$F$5:$F$1004,"&gt;="&amp;3))</f>
        <v/>
      </c>
      <c r="H183" s="20" t="str">
        <f aca="false">IF(N(D183)=0,"",_xlfn.MAXIFS('Issue Log'!$A$5:$A$1004,'Issue Log'!$B$5:$B$1004,B183))</f>
        <v/>
      </c>
      <c r="I183" s="10" t="str">
        <f aca="false">IF(B183="","",IF(D183&gt;=3,"FLAG",IF(D183=0,"Not issued","OK")))</f>
        <v/>
      </c>
      <c r="J183" s="29" t="str">
        <f aca="false">IF(I183="FLAG",COUNTIF($I$5:I183,"FLAG"),"")</f>
        <v/>
      </c>
    </row>
    <row r="184" customFormat="false" ht="15" hidden="false" customHeight="false" outlineLevel="0" collapsed="false">
      <c r="A184" s="27" t="n">
        <v>180</v>
      </c>
      <c r="B184" s="28"/>
      <c r="C184" s="22"/>
      <c r="D184" s="10" t="str">
        <f aca="false">IF(B184="","",SUMIFS('Issue Log'!$D$5:$D$1004,'Issue Log'!$B$5:$B$1004,B184))</f>
        <v/>
      </c>
      <c r="E184" s="20" t="str">
        <f aca="false">IF(OR(B184="",N(D184)&lt;1),"",_xlfn.MINIFS('Issue Log'!$A$5:$A$1004,'Issue Log'!$B$5:$B$1004,B184,'Issue Log'!$F$5:$F$1004,"&gt;="&amp;1))</f>
        <v/>
      </c>
      <c r="F184" s="20" t="str">
        <f aca="false">IF(OR(B184="",N(D184)&lt;2),"",_xlfn.MINIFS('Issue Log'!$A$5:$A$1004,'Issue Log'!$B$5:$B$1004,B184,'Issue Log'!$F$5:$F$1004,"&gt;="&amp;2))</f>
        <v/>
      </c>
      <c r="G184" s="20" t="str">
        <f aca="false">IF(OR(B184="",N(D184)&lt;3),"",_xlfn.MINIFS('Issue Log'!$A$5:$A$1004,'Issue Log'!$B$5:$B$1004,B184,'Issue Log'!$F$5:$F$1004,"&gt;="&amp;3))</f>
        <v/>
      </c>
      <c r="H184" s="20" t="str">
        <f aca="false">IF(N(D184)=0,"",_xlfn.MAXIFS('Issue Log'!$A$5:$A$1004,'Issue Log'!$B$5:$B$1004,B184))</f>
        <v/>
      </c>
      <c r="I184" s="10" t="str">
        <f aca="false">IF(B184="","",IF(D184&gt;=3,"FLAG",IF(D184=0,"Not issued","OK")))</f>
        <v/>
      </c>
      <c r="J184" s="29" t="str">
        <f aca="false">IF(I184="FLAG",COUNTIF($I$5:I184,"FLAG"),"")</f>
        <v/>
      </c>
    </row>
    <row r="185" customFormat="false" ht="15" hidden="false" customHeight="false" outlineLevel="0" collapsed="false">
      <c r="A185" s="27" t="n">
        <v>181</v>
      </c>
      <c r="B185" s="28"/>
      <c r="C185" s="22"/>
      <c r="D185" s="10" t="str">
        <f aca="false">IF(B185="","",SUMIFS('Issue Log'!$D$5:$D$1004,'Issue Log'!$B$5:$B$1004,B185))</f>
        <v/>
      </c>
      <c r="E185" s="20" t="str">
        <f aca="false">IF(OR(B185="",N(D185)&lt;1),"",_xlfn.MINIFS('Issue Log'!$A$5:$A$1004,'Issue Log'!$B$5:$B$1004,B185,'Issue Log'!$F$5:$F$1004,"&gt;="&amp;1))</f>
        <v/>
      </c>
      <c r="F185" s="20" t="str">
        <f aca="false">IF(OR(B185="",N(D185)&lt;2),"",_xlfn.MINIFS('Issue Log'!$A$5:$A$1004,'Issue Log'!$B$5:$B$1004,B185,'Issue Log'!$F$5:$F$1004,"&gt;="&amp;2))</f>
        <v/>
      </c>
      <c r="G185" s="20" t="str">
        <f aca="false">IF(OR(B185="",N(D185)&lt;3),"",_xlfn.MINIFS('Issue Log'!$A$5:$A$1004,'Issue Log'!$B$5:$B$1004,B185,'Issue Log'!$F$5:$F$1004,"&gt;="&amp;3))</f>
        <v/>
      </c>
      <c r="H185" s="20" t="str">
        <f aca="false">IF(N(D185)=0,"",_xlfn.MAXIFS('Issue Log'!$A$5:$A$1004,'Issue Log'!$B$5:$B$1004,B185))</f>
        <v/>
      </c>
      <c r="I185" s="10" t="str">
        <f aca="false">IF(B185="","",IF(D185&gt;=3,"FLAG",IF(D185=0,"Not issued","OK")))</f>
        <v/>
      </c>
      <c r="J185" s="29" t="str">
        <f aca="false">IF(I185="FLAG",COUNTIF($I$5:I185,"FLAG"),"")</f>
        <v/>
      </c>
    </row>
    <row r="186" customFormat="false" ht="15" hidden="false" customHeight="false" outlineLevel="0" collapsed="false">
      <c r="A186" s="27" t="n">
        <v>182</v>
      </c>
      <c r="B186" s="28"/>
      <c r="C186" s="22"/>
      <c r="D186" s="10" t="str">
        <f aca="false">IF(B186="","",SUMIFS('Issue Log'!$D$5:$D$1004,'Issue Log'!$B$5:$B$1004,B186))</f>
        <v/>
      </c>
      <c r="E186" s="20" t="str">
        <f aca="false">IF(OR(B186="",N(D186)&lt;1),"",_xlfn.MINIFS('Issue Log'!$A$5:$A$1004,'Issue Log'!$B$5:$B$1004,B186,'Issue Log'!$F$5:$F$1004,"&gt;="&amp;1))</f>
        <v/>
      </c>
      <c r="F186" s="20" t="str">
        <f aca="false">IF(OR(B186="",N(D186)&lt;2),"",_xlfn.MINIFS('Issue Log'!$A$5:$A$1004,'Issue Log'!$B$5:$B$1004,B186,'Issue Log'!$F$5:$F$1004,"&gt;="&amp;2))</f>
        <v/>
      </c>
      <c r="G186" s="20" t="str">
        <f aca="false">IF(OR(B186="",N(D186)&lt;3),"",_xlfn.MINIFS('Issue Log'!$A$5:$A$1004,'Issue Log'!$B$5:$B$1004,B186,'Issue Log'!$F$5:$F$1004,"&gt;="&amp;3))</f>
        <v/>
      </c>
      <c r="H186" s="20" t="str">
        <f aca="false">IF(N(D186)=0,"",_xlfn.MAXIFS('Issue Log'!$A$5:$A$1004,'Issue Log'!$B$5:$B$1004,B186))</f>
        <v/>
      </c>
      <c r="I186" s="10" t="str">
        <f aca="false">IF(B186="","",IF(D186&gt;=3,"FLAG",IF(D186=0,"Not issued","OK")))</f>
        <v/>
      </c>
      <c r="J186" s="29" t="str">
        <f aca="false">IF(I186="FLAG",COUNTIF($I$5:I186,"FLAG"),"")</f>
        <v/>
      </c>
    </row>
    <row r="187" customFormat="false" ht="15" hidden="false" customHeight="false" outlineLevel="0" collapsed="false">
      <c r="A187" s="27" t="n">
        <v>183</v>
      </c>
      <c r="B187" s="28"/>
      <c r="C187" s="22"/>
      <c r="D187" s="10" t="str">
        <f aca="false">IF(B187="","",SUMIFS('Issue Log'!$D$5:$D$1004,'Issue Log'!$B$5:$B$1004,B187))</f>
        <v/>
      </c>
      <c r="E187" s="20" t="str">
        <f aca="false">IF(OR(B187="",N(D187)&lt;1),"",_xlfn.MINIFS('Issue Log'!$A$5:$A$1004,'Issue Log'!$B$5:$B$1004,B187,'Issue Log'!$F$5:$F$1004,"&gt;="&amp;1))</f>
        <v/>
      </c>
      <c r="F187" s="20" t="str">
        <f aca="false">IF(OR(B187="",N(D187)&lt;2),"",_xlfn.MINIFS('Issue Log'!$A$5:$A$1004,'Issue Log'!$B$5:$B$1004,B187,'Issue Log'!$F$5:$F$1004,"&gt;="&amp;2))</f>
        <v/>
      </c>
      <c r="G187" s="20" t="str">
        <f aca="false">IF(OR(B187="",N(D187)&lt;3),"",_xlfn.MINIFS('Issue Log'!$A$5:$A$1004,'Issue Log'!$B$5:$B$1004,B187,'Issue Log'!$F$5:$F$1004,"&gt;="&amp;3))</f>
        <v/>
      </c>
      <c r="H187" s="20" t="str">
        <f aca="false">IF(N(D187)=0,"",_xlfn.MAXIFS('Issue Log'!$A$5:$A$1004,'Issue Log'!$B$5:$B$1004,B187))</f>
        <v/>
      </c>
      <c r="I187" s="10" t="str">
        <f aca="false">IF(B187="","",IF(D187&gt;=3,"FLAG",IF(D187=0,"Not issued","OK")))</f>
        <v/>
      </c>
      <c r="J187" s="29" t="str">
        <f aca="false">IF(I187="FLAG",COUNTIF($I$5:I187,"FLAG"),"")</f>
        <v/>
      </c>
    </row>
    <row r="188" customFormat="false" ht="15" hidden="false" customHeight="false" outlineLevel="0" collapsed="false">
      <c r="A188" s="27" t="n">
        <v>184</v>
      </c>
      <c r="B188" s="28"/>
      <c r="C188" s="22"/>
      <c r="D188" s="10" t="str">
        <f aca="false">IF(B188="","",SUMIFS('Issue Log'!$D$5:$D$1004,'Issue Log'!$B$5:$B$1004,B188))</f>
        <v/>
      </c>
      <c r="E188" s="20" t="str">
        <f aca="false">IF(OR(B188="",N(D188)&lt;1),"",_xlfn.MINIFS('Issue Log'!$A$5:$A$1004,'Issue Log'!$B$5:$B$1004,B188,'Issue Log'!$F$5:$F$1004,"&gt;="&amp;1))</f>
        <v/>
      </c>
      <c r="F188" s="20" t="str">
        <f aca="false">IF(OR(B188="",N(D188)&lt;2),"",_xlfn.MINIFS('Issue Log'!$A$5:$A$1004,'Issue Log'!$B$5:$B$1004,B188,'Issue Log'!$F$5:$F$1004,"&gt;="&amp;2))</f>
        <v/>
      </c>
      <c r="G188" s="20" t="str">
        <f aca="false">IF(OR(B188="",N(D188)&lt;3),"",_xlfn.MINIFS('Issue Log'!$A$5:$A$1004,'Issue Log'!$B$5:$B$1004,B188,'Issue Log'!$F$5:$F$1004,"&gt;="&amp;3))</f>
        <v/>
      </c>
      <c r="H188" s="20" t="str">
        <f aca="false">IF(N(D188)=0,"",_xlfn.MAXIFS('Issue Log'!$A$5:$A$1004,'Issue Log'!$B$5:$B$1004,B188))</f>
        <v/>
      </c>
      <c r="I188" s="10" t="str">
        <f aca="false">IF(B188="","",IF(D188&gt;=3,"FLAG",IF(D188=0,"Not issued","OK")))</f>
        <v/>
      </c>
      <c r="J188" s="29" t="str">
        <f aca="false">IF(I188="FLAG",COUNTIF($I$5:I188,"FLAG"),"")</f>
        <v/>
      </c>
    </row>
    <row r="189" customFormat="false" ht="15" hidden="false" customHeight="false" outlineLevel="0" collapsed="false">
      <c r="A189" s="27" t="n">
        <v>185</v>
      </c>
      <c r="B189" s="28"/>
      <c r="C189" s="22"/>
      <c r="D189" s="10" t="str">
        <f aca="false">IF(B189="","",SUMIFS('Issue Log'!$D$5:$D$1004,'Issue Log'!$B$5:$B$1004,B189))</f>
        <v/>
      </c>
      <c r="E189" s="20" t="str">
        <f aca="false">IF(OR(B189="",N(D189)&lt;1),"",_xlfn.MINIFS('Issue Log'!$A$5:$A$1004,'Issue Log'!$B$5:$B$1004,B189,'Issue Log'!$F$5:$F$1004,"&gt;="&amp;1))</f>
        <v/>
      </c>
      <c r="F189" s="20" t="str">
        <f aca="false">IF(OR(B189="",N(D189)&lt;2),"",_xlfn.MINIFS('Issue Log'!$A$5:$A$1004,'Issue Log'!$B$5:$B$1004,B189,'Issue Log'!$F$5:$F$1004,"&gt;="&amp;2))</f>
        <v/>
      </c>
      <c r="G189" s="20" t="str">
        <f aca="false">IF(OR(B189="",N(D189)&lt;3),"",_xlfn.MINIFS('Issue Log'!$A$5:$A$1004,'Issue Log'!$B$5:$B$1004,B189,'Issue Log'!$F$5:$F$1004,"&gt;="&amp;3))</f>
        <v/>
      </c>
      <c r="H189" s="20" t="str">
        <f aca="false">IF(N(D189)=0,"",_xlfn.MAXIFS('Issue Log'!$A$5:$A$1004,'Issue Log'!$B$5:$B$1004,B189))</f>
        <v/>
      </c>
      <c r="I189" s="10" t="str">
        <f aca="false">IF(B189="","",IF(D189&gt;=3,"FLAG",IF(D189=0,"Not issued","OK")))</f>
        <v/>
      </c>
      <c r="J189" s="29" t="str">
        <f aca="false">IF(I189="FLAG",COUNTIF($I$5:I189,"FLAG"),"")</f>
        <v/>
      </c>
    </row>
    <row r="190" customFormat="false" ht="15" hidden="false" customHeight="false" outlineLevel="0" collapsed="false">
      <c r="A190" s="27" t="n">
        <v>186</v>
      </c>
      <c r="B190" s="28"/>
      <c r="C190" s="22"/>
      <c r="D190" s="10" t="str">
        <f aca="false">IF(B190="","",SUMIFS('Issue Log'!$D$5:$D$1004,'Issue Log'!$B$5:$B$1004,B190))</f>
        <v/>
      </c>
      <c r="E190" s="20" t="str">
        <f aca="false">IF(OR(B190="",N(D190)&lt;1),"",_xlfn.MINIFS('Issue Log'!$A$5:$A$1004,'Issue Log'!$B$5:$B$1004,B190,'Issue Log'!$F$5:$F$1004,"&gt;="&amp;1))</f>
        <v/>
      </c>
      <c r="F190" s="20" t="str">
        <f aca="false">IF(OR(B190="",N(D190)&lt;2),"",_xlfn.MINIFS('Issue Log'!$A$5:$A$1004,'Issue Log'!$B$5:$B$1004,B190,'Issue Log'!$F$5:$F$1004,"&gt;="&amp;2))</f>
        <v/>
      </c>
      <c r="G190" s="20" t="str">
        <f aca="false">IF(OR(B190="",N(D190)&lt;3),"",_xlfn.MINIFS('Issue Log'!$A$5:$A$1004,'Issue Log'!$B$5:$B$1004,B190,'Issue Log'!$F$5:$F$1004,"&gt;="&amp;3))</f>
        <v/>
      </c>
      <c r="H190" s="20" t="str">
        <f aca="false">IF(N(D190)=0,"",_xlfn.MAXIFS('Issue Log'!$A$5:$A$1004,'Issue Log'!$B$5:$B$1004,B190))</f>
        <v/>
      </c>
      <c r="I190" s="10" t="str">
        <f aca="false">IF(B190="","",IF(D190&gt;=3,"FLAG",IF(D190=0,"Not issued","OK")))</f>
        <v/>
      </c>
      <c r="J190" s="29" t="str">
        <f aca="false">IF(I190="FLAG",COUNTIF($I$5:I190,"FLAG"),"")</f>
        <v/>
      </c>
    </row>
    <row r="191" customFormat="false" ht="15" hidden="false" customHeight="false" outlineLevel="0" collapsed="false">
      <c r="A191" s="27" t="n">
        <v>187</v>
      </c>
      <c r="B191" s="28"/>
      <c r="C191" s="22"/>
      <c r="D191" s="10" t="str">
        <f aca="false">IF(B191="","",SUMIFS('Issue Log'!$D$5:$D$1004,'Issue Log'!$B$5:$B$1004,B191))</f>
        <v/>
      </c>
      <c r="E191" s="20" t="str">
        <f aca="false">IF(OR(B191="",N(D191)&lt;1),"",_xlfn.MINIFS('Issue Log'!$A$5:$A$1004,'Issue Log'!$B$5:$B$1004,B191,'Issue Log'!$F$5:$F$1004,"&gt;="&amp;1))</f>
        <v/>
      </c>
      <c r="F191" s="20" t="str">
        <f aca="false">IF(OR(B191="",N(D191)&lt;2),"",_xlfn.MINIFS('Issue Log'!$A$5:$A$1004,'Issue Log'!$B$5:$B$1004,B191,'Issue Log'!$F$5:$F$1004,"&gt;="&amp;2))</f>
        <v/>
      </c>
      <c r="G191" s="20" t="str">
        <f aca="false">IF(OR(B191="",N(D191)&lt;3),"",_xlfn.MINIFS('Issue Log'!$A$5:$A$1004,'Issue Log'!$B$5:$B$1004,B191,'Issue Log'!$F$5:$F$1004,"&gt;="&amp;3))</f>
        <v/>
      </c>
      <c r="H191" s="20" t="str">
        <f aca="false">IF(N(D191)=0,"",_xlfn.MAXIFS('Issue Log'!$A$5:$A$1004,'Issue Log'!$B$5:$B$1004,B191))</f>
        <v/>
      </c>
      <c r="I191" s="10" t="str">
        <f aca="false">IF(B191="","",IF(D191&gt;=3,"FLAG",IF(D191=0,"Not issued","OK")))</f>
        <v/>
      </c>
      <c r="J191" s="29" t="str">
        <f aca="false">IF(I191="FLAG",COUNTIF($I$5:I191,"FLAG"),"")</f>
        <v/>
      </c>
    </row>
    <row r="192" customFormat="false" ht="15" hidden="false" customHeight="false" outlineLevel="0" collapsed="false">
      <c r="A192" s="27" t="n">
        <v>188</v>
      </c>
      <c r="B192" s="28"/>
      <c r="C192" s="22"/>
      <c r="D192" s="10" t="str">
        <f aca="false">IF(B192="","",SUMIFS('Issue Log'!$D$5:$D$1004,'Issue Log'!$B$5:$B$1004,B192))</f>
        <v/>
      </c>
      <c r="E192" s="20" t="str">
        <f aca="false">IF(OR(B192="",N(D192)&lt;1),"",_xlfn.MINIFS('Issue Log'!$A$5:$A$1004,'Issue Log'!$B$5:$B$1004,B192,'Issue Log'!$F$5:$F$1004,"&gt;="&amp;1))</f>
        <v/>
      </c>
      <c r="F192" s="20" t="str">
        <f aca="false">IF(OR(B192="",N(D192)&lt;2),"",_xlfn.MINIFS('Issue Log'!$A$5:$A$1004,'Issue Log'!$B$5:$B$1004,B192,'Issue Log'!$F$5:$F$1004,"&gt;="&amp;2))</f>
        <v/>
      </c>
      <c r="G192" s="20" t="str">
        <f aca="false">IF(OR(B192="",N(D192)&lt;3),"",_xlfn.MINIFS('Issue Log'!$A$5:$A$1004,'Issue Log'!$B$5:$B$1004,B192,'Issue Log'!$F$5:$F$1004,"&gt;="&amp;3))</f>
        <v/>
      </c>
      <c r="H192" s="20" t="str">
        <f aca="false">IF(N(D192)=0,"",_xlfn.MAXIFS('Issue Log'!$A$5:$A$1004,'Issue Log'!$B$5:$B$1004,B192))</f>
        <v/>
      </c>
      <c r="I192" s="10" t="str">
        <f aca="false">IF(B192="","",IF(D192&gt;=3,"FLAG",IF(D192=0,"Not issued","OK")))</f>
        <v/>
      </c>
      <c r="J192" s="29" t="str">
        <f aca="false">IF(I192="FLAG",COUNTIF($I$5:I192,"FLAG"),"")</f>
        <v/>
      </c>
    </row>
    <row r="193" customFormat="false" ht="15" hidden="false" customHeight="false" outlineLevel="0" collapsed="false">
      <c r="A193" s="27" t="n">
        <v>189</v>
      </c>
      <c r="B193" s="28"/>
      <c r="C193" s="22"/>
      <c r="D193" s="10" t="str">
        <f aca="false">IF(B193="","",SUMIFS('Issue Log'!$D$5:$D$1004,'Issue Log'!$B$5:$B$1004,B193))</f>
        <v/>
      </c>
      <c r="E193" s="20" t="str">
        <f aca="false">IF(OR(B193="",N(D193)&lt;1),"",_xlfn.MINIFS('Issue Log'!$A$5:$A$1004,'Issue Log'!$B$5:$B$1004,B193,'Issue Log'!$F$5:$F$1004,"&gt;="&amp;1))</f>
        <v/>
      </c>
      <c r="F193" s="20" t="str">
        <f aca="false">IF(OR(B193="",N(D193)&lt;2),"",_xlfn.MINIFS('Issue Log'!$A$5:$A$1004,'Issue Log'!$B$5:$B$1004,B193,'Issue Log'!$F$5:$F$1004,"&gt;="&amp;2))</f>
        <v/>
      </c>
      <c r="G193" s="20" t="str">
        <f aca="false">IF(OR(B193="",N(D193)&lt;3),"",_xlfn.MINIFS('Issue Log'!$A$5:$A$1004,'Issue Log'!$B$5:$B$1004,B193,'Issue Log'!$F$5:$F$1004,"&gt;="&amp;3))</f>
        <v/>
      </c>
      <c r="H193" s="20" t="str">
        <f aca="false">IF(N(D193)=0,"",_xlfn.MAXIFS('Issue Log'!$A$5:$A$1004,'Issue Log'!$B$5:$B$1004,B193))</f>
        <v/>
      </c>
      <c r="I193" s="10" t="str">
        <f aca="false">IF(B193="","",IF(D193&gt;=3,"FLAG",IF(D193=0,"Not issued","OK")))</f>
        <v/>
      </c>
      <c r="J193" s="29" t="str">
        <f aca="false">IF(I193="FLAG",COUNTIF($I$5:I193,"FLAG"),"")</f>
        <v/>
      </c>
    </row>
    <row r="194" customFormat="false" ht="15" hidden="false" customHeight="false" outlineLevel="0" collapsed="false">
      <c r="A194" s="27" t="n">
        <v>190</v>
      </c>
      <c r="B194" s="28"/>
      <c r="C194" s="22"/>
      <c r="D194" s="10" t="str">
        <f aca="false">IF(B194="","",SUMIFS('Issue Log'!$D$5:$D$1004,'Issue Log'!$B$5:$B$1004,B194))</f>
        <v/>
      </c>
      <c r="E194" s="20" t="str">
        <f aca="false">IF(OR(B194="",N(D194)&lt;1),"",_xlfn.MINIFS('Issue Log'!$A$5:$A$1004,'Issue Log'!$B$5:$B$1004,B194,'Issue Log'!$F$5:$F$1004,"&gt;="&amp;1))</f>
        <v/>
      </c>
      <c r="F194" s="20" t="str">
        <f aca="false">IF(OR(B194="",N(D194)&lt;2),"",_xlfn.MINIFS('Issue Log'!$A$5:$A$1004,'Issue Log'!$B$5:$B$1004,B194,'Issue Log'!$F$5:$F$1004,"&gt;="&amp;2))</f>
        <v/>
      </c>
      <c r="G194" s="20" t="str">
        <f aca="false">IF(OR(B194="",N(D194)&lt;3),"",_xlfn.MINIFS('Issue Log'!$A$5:$A$1004,'Issue Log'!$B$5:$B$1004,B194,'Issue Log'!$F$5:$F$1004,"&gt;="&amp;3))</f>
        <v/>
      </c>
      <c r="H194" s="20" t="str">
        <f aca="false">IF(N(D194)=0,"",_xlfn.MAXIFS('Issue Log'!$A$5:$A$1004,'Issue Log'!$B$5:$B$1004,B194))</f>
        <v/>
      </c>
      <c r="I194" s="10" t="str">
        <f aca="false">IF(B194="","",IF(D194&gt;=3,"FLAG",IF(D194=0,"Not issued","OK")))</f>
        <v/>
      </c>
      <c r="J194" s="29" t="str">
        <f aca="false">IF(I194="FLAG",COUNTIF($I$5:I194,"FLAG"),"")</f>
        <v/>
      </c>
    </row>
    <row r="195" customFormat="false" ht="15" hidden="false" customHeight="false" outlineLevel="0" collapsed="false">
      <c r="A195" s="27" t="n">
        <v>191</v>
      </c>
      <c r="B195" s="28"/>
      <c r="C195" s="22"/>
      <c r="D195" s="10" t="str">
        <f aca="false">IF(B195="","",SUMIFS('Issue Log'!$D$5:$D$1004,'Issue Log'!$B$5:$B$1004,B195))</f>
        <v/>
      </c>
      <c r="E195" s="20" t="str">
        <f aca="false">IF(OR(B195="",N(D195)&lt;1),"",_xlfn.MINIFS('Issue Log'!$A$5:$A$1004,'Issue Log'!$B$5:$B$1004,B195,'Issue Log'!$F$5:$F$1004,"&gt;="&amp;1))</f>
        <v/>
      </c>
      <c r="F195" s="20" t="str">
        <f aca="false">IF(OR(B195="",N(D195)&lt;2),"",_xlfn.MINIFS('Issue Log'!$A$5:$A$1004,'Issue Log'!$B$5:$B$1004,B195,'Issue Log'!$F$5:$F$1004,"&gt;="&amp;2))</f>
        <v/>
      </c>
      <c r="G195" s="20" t="str">
        <f aca="false">IF(OR(B195="",N(D195)&lt;3),"",_xlfn.MINIFS('Issue Log'!$A$5:$A$1004,'Issue Log'!$B$5:$B$1004,B195,'Issue Log'!$F$5:$F$1004,"&gt;="&amp;3))</f>
        <v/>
      </c>
      <c r="H195" s="20" t="str">
        <f aca="false">IF(N(D195)=0,"",_xlfn.MAXIFS('Issue Log'!$A$5:$A$1004,'Issue Log'!$B$5:$B$1004,B195))</f>
        <v/>
      </c>
      <c r="I195" s="10" t="str">
        <f aca="false">IF(B195="","",IF(D195&gt;=3,"FLAG",IF(D195=0,"Not issued","OK")))</f>
        <v/>
      </c>
      <c r="J195" s="29" t="str">
        <f aca="false">IF(I195="FLAG",COUNTIF($I$5:I195,"FLAG"),"")</f>
        <v/>
      </c>
    </row>
    <row r="196" customFormat="false" ht="15" hidden="false" customHeight="false" outlineLevel="0" collapsed="false">
      <c r="A196" s="27" t="n">
        <v>192</v>
      </c>
      <c r="B196" s="28"/>
      <c r="C196" s="22"/>
      <c r="D196" s="10" t="str">
        <f aca="false">IF(B196="","",SUMIFS('Issue Log'!$D$5:$D$1004,'Issue Log'!$B$5:$B$1004,B196))</f>
        <v/>
      </c>
      <c r="E196" s="20" t="str">
        <f aca="false">IF(OR(B196="",N(D196)&lt;1),"",_xlfn.MINIFS('Issue Log'!$A$5:$A$1004,'Issue Log'!$B$5:$B$1004,B196,'Issue Log'!$F$5:$F$1004,"&gt;="&amp;1))</f>
        <v/>
      </c>
      <c r="F196" s="20" t="str">
        <f aca="false">IF(OR(B196="",N(D196)&lt;2),"",_xlfn.MINIFS('Issue Log'!$A$5:$A$1004,'Issue Log'!$B$5:$B$1004,B196,'Issue Log'!$F$5:$F$1004,"&gt;="&amp;2))</f>
        <v/>
      </c>
      <c r="G196" s="20" t="str">
        <f aca="false">IF(OR(B196="",N(D196)&lt;3),"",_xlfn.MINIFS('Issue Log'!$A$5:$A$1004,'Issue Log'!$B$5:$B$1004,B196,'Issue Log'!$F$5:$F$1004,"&gt;="&amp;3))</f>
        <v/>
      </c>
      <c r="H196" s="20" t="str">
        <f aca="false">IF(N(D196)=0,"",_xlfn.MAXIFS('Issue Log'!$A$5:$A$1004,'Issue Log'!$B$5:$B$1004,B196))</f>
        <v/>
      </c>
      <c r="I196" s="10" t="str">
        <f aca="false">IF(B196="","",IF(D196&gt;=3,"FLAG",IF(D196=0,"Not issued","OK")))</f>
        <v/>
      </c>
      <c r="J196" s="29" t="str">
        <f aca="false">IF(I196="FLAG",COUNTIF($I$5:I196,"FLAG"),"")</f>
        <v/>
      </c>
    </row>
    <row r="197" customFormat="false" ht="15" hidden="false" customHeight="false" outlineLevel="0" collapsed="false">
      <c r="A197" s="27" t="n">
        <v>193</v>
      </c>
      <c r="B197" s="28"/>
      <c r="C197" s="22"/>
      <c r="D197" s="10" t="str">
        <f aca="false">IF(B197="","",SUMIFS('Issue Log'!$D$5:$D$1004,'Issue Log'!$B$5:$B$1004,B197))</f>
        <v/>
      </c>
      <c r="E197" s="20" t="str">
        <f aca="false">IF(OR(B197="",N(D197)&lt;1),"",_xlfn.MINIFS('Issue Log'!$A$5:$A$1004,'Issue Log'!$B$5:$B$1004,B197,'Issue Log'!$F$5:$F$1004,"&gt;="&amp;1))</f>
        <v/>
      </c>
      <c r="F197" s="20" t="str">
        <f aca="false">IF(OR(B197="",N(D197)&lt;2),"",_xlfn.MINIFS('Issue Log'!$A$5:$A$1004,'Issue Log'!$B$5:$B$1004,B197,'Issue Log'!$F$5:$F$1004,"&gt;="&amp;2))</f>
        <v/>
      </c>
      <c r="G197" s="20" t="str">
        <f aca="false">IF(OR(B197="",N(D197)&lt;3),"",_xlfn.MINIFS('Issue Log'!$A$5:$A$1004,'Issue Log'!$B$5:$B$1004,B197,'Issue Log'!$F$5:$F$1004,"&gt;="&amp;3))</f>
        <v/>
      </c>
      <c r="H197" s="20" t="str">
        <f aca="false">IF(N(D197)=0,"",_xlfn.MAXIFS('Issue Log'!$A$5:$A$1004,'Issue Log'!$B$5:$B$1004,B197))</f>
        <v/>
      </c>
      <c r="I197" s="10" t="str">
        <f aca="false">IF(B197="","",IF(D197&gt;=3,"FLAG",IF(D197=0,"Not issued","OK")))</f>
        <v/>
      </c>
      <c r="J197" s="29" t="str">
        <f aca="false">IF(I197="FLAG",COUNTIF($I$5:I197,"FLAG"),"")</f>
        <v/>
      </c>
    </row>
    <row r="198" customFormat="false" ht="15" hidden="false" customHeight="false" outlineLevel="0" collapsed="false">
      <c r="A198" s="27" t="n">
        <v>194</v>
      </c>
      <c r="B198" s="28"/>
      <c r="C198" s="22"/>
      <c r="D198" s="10" t="str">
        <f aca="false">IF(B198="","",SUMIFS('Issue Log'!$D$5:$D$1004,'Issue Log'!$B$5:$B$1004,B198))</f>
        <v/>
      </c>
      <c r="E198" s="20" t="str">
        <f aca="false">IF(OR(B198="",N(D198)&lt;1),"",_xlfn.MINIFS('Issue Log'!$A$5:$A$1004,'Issue Log'!$B$5:$B$1004,B198,'Issue Log'!$F$5:$F$1004,"&gt;="&amp;1))</f>
        <v/>
      </c>
      <c r="F198" s="20" t="str">
        <f aca="false">IF(OR(B198="",N(D198)&lt;2),"",_xlfn.MINIFS('Issue Log'!$A$5:$A$1004,'Issue Log'!$B$5:$B$1004,B198,'Issue Log'!$F$5:$F$1004,"&gt;="&amp;2))</f>
        <v/>
      </c>
      <c r="G198" s="20" t="str">
        <f aca="false">IF(OR(B198="",N(D198)&lt;3),"",_xlfn.MINIFS('Issue Log'!$A$5:$A$1004,'Issue Log'!$B$5:$B$1004,B198,'Issue Log'!$F$5:$F$1004,"&gt;="&amp;3))</f>
        <v/>
      </c>
      <c r="H198" s="20" t="str">
        <f aca="false">IF(N(D198)=0,"",_xlfn.MAXIFS('Issue Log'!$A$5:$A$1004,'Issue Log'!$B$5:$B$1004,B198))</f>
        <v/>
      </c>
      <c r="I198" s="10" t="str">
        <f aca="false">IF(B198="","",IF(D198&gt;=3,"FLAG",IF(D198=0,"Not issued","OK")))</f>
        <v/>
      </c>
      <c r="J198" s="29" t="str">
        <f aca="false">IF(I198="FLAG",COUNTIF($I$5:I198,"FLAG"),"")</f>
        <v/>
      </c>
    </row>
    <row r="199" customFormat="false" ht="15" hidden="false" customHeight="false" outlineLevel="0" collapsed="false">
      <c r="A199" s="27" t="n">
        <v>195</v>
      </c>
      <c r="B199" s="28"/>
      <c r="C199" s="22"/>
      <c r="D199" s="10" t="str">
        <f aca="false">IF(B199="","",SUMIFS('Issue Log'!$D$5:$D$1004,'Issue Log'!$B$5:$B$1004,B199))</f>
        <v/>
      </c>
      <c r="E199" s="20" t="str">
        <f aca="false">IF(OR(B199="",N(D199)&lt;1),"",_xlfn.MINIFS('Issue Log'!$A$5:$A$1004,'Issue Log'!$B$5:$B$1004,B199,'Issue Log'!$F$5:$F$1004,"&gt;="&amp;1))</f>
        <v/>
      </c>
      <c r="F199" s="20" t="str">
        <f aca="false">IF(OR(B199="",N(D199)&lt;2),"",_xlfn.MINIFS('Issue Log'!$A$5:$A$1004,'Issue Log'!$B$5:$B$1004,B199,'Issue Log'!$F$5:$F$1004,"&gt;="&amp;2))</f>
        <v/>
      </c>
      <c r="G199" s="20" t="str">
        <f aca="false">IF(OR(B199="",N(D199)&lt;3),"",_xlfn.MINIFS('Issue Log'!$A$5:$A$1004,'Issue Log'!$B$5:$B$1004,B199,'Issue Log'!$F$5:$F$1004,"&gt;="&amp;3))</f>
        <v/>
      </c>
      <c r="H199" s="20" t="str">
        <f aca="false">IF(N(D199)=0,"",_xlfn.MAXIFS('Issue Log'!$A$5:$A$1004,'Issue Log'!$B$5:$B$1004,B199))</f>
        <v/>
      </c>
      <c r="I199" s="10" t="str">
        <f aca="false">IF(B199="","",IF(D199&gt;=3,"FLAG",IF(D199=0,"Not issued","OK")))</f>
        <v/>
      </c>
      <c r="J199" s="29" t="str">
        <f aca="false">IF(I199="FLAG",COUNTIF($I$5:I199,"FLAG"),"")</f>
        <v/>
      </c>
    </row>
    <row r="200" customFormat="false" ht="15" hidden="false" customHeight="false" outlineLevel="0" collapsed="false">
      <c r="A200" s="27" t="n">
        <v>196</v>
      </c>
      <c r="B200" s="28"/>
      <c r="C200" s="22"/>
      <c r="D200" s="10" t="str">
        <f aca="false">IF(B200="","",SUMIFS('Issue Log'!$D$5:$D$1004,'Issue Log'!$B$5:$B$1004,B200))</f>
        <v/>
      </c>
      <c r="E200" s="20" t="str">
        <f aca="false">IF(OR(B200="",N(D200)&lt;1),"",_xlfn.MINIFS('Issue Log'!$A$5:$A$1004,'Issue Log'!$B$5:$B$1004,B200,'Issue Log'!$F$5:$F$1004,"&gt;="&amp;1))</f>
        <v/>
      </c>
      <c r="F200" s="20" t="str">
        <f aca="false">IF(OR(B200="",N(D200)&lt;2),"",_xlfn.MINIFS('Issue Log'!$A$5:$A$1004,'Issue Log'!$B$5:$B$1004,B200,'Issue Log'!$F$5:$F$1004,"&gt;="&amp;2))</f>
        <v/>
      </c>
      <c r="G200" s="20" t="str">
        <f aca="false">IF(OR(B200="",N(D200)&lt;3),"",_xlfn.MINIFS('Issue Log'!$A$5:$A$1004,'Issue Log'!$B$5:$B$1004,B200,'Issue Log'!$F$5:$F$1004,"&gt;="&amp;3))</f>
        <v/>
      </c>
      <c r="H200" s="20" t="str">
        <f aca="false">IF(N(D200)=0,"",_xlfn.MAXIFS('Issue Log'!$A$5:$A$1004,'Issue Log'!$B$5:$B$1004,B200))</f>
        <v/>
      </c>
      <c r="I200" s="10" t="str">
        <f aca="false">IF(B200="","",IF(D200&gt;=3,"FLAG",IF(D200=0,"Not issued","OK")))</f>
        <v/>
      </c>
      <c r="J200" s="29" t="str">
        <f aca="false">IF(I200="FLAG",COUNTIF($I$5:I200,"FLAG"),"")</f>
        <v/>
      </c>
    </row>
    <row r="201" customFormat="false" ht="15" hidden="false" customHeight="false" outlineLevel="0" collapsed="false">
      <c r="A201" s="27" t="n">
        <v>197</v>
      </c>
      <c r="B201" s="28"/>
      <c r="C201" s="22"/>
      <c r="D201" s="10" t="str">
        <f aca="false">IF(B201="","",SUMIFS('Issue Log'!$D$5:$D$1004,'Issue Log'!$B$5:$B$1004,B201))</f>
        <v/>
      </c>
      <c r="E201" s="20" t="str">
        <f aca="false">IF(OR(B201="",N(D201)&lt;1),"",_xlfn.MINIFS('Issue Log'!$A$5:$A$1004,'Issue Log'!$B$5:$B$1004,B201,'Issue Log'!$F$5:$F$1004,"&gt;="&amp;1))</f>
        <v/>
      </c>
      <c r="F201" s="20" t="str">
        <f aca="false">IF(OR(B201="",N(D201)&lt;2),"",_xlfn.MINIFS('Issue Log'!$A$5:$A$1004,'Issue Log'!$B$5:$B$1004,B201,'Issue Log'!$F$5:$F$1004,"&gt;="&amp;2))</f>
        <v/>
      </c>
      <c r="G201" s="20" t="str">
        <f aca="false">IF(OR(B201="",N(D201)&lt;3),"",_xlfn.MINIFS('Issue Log'!$A$5:$A$1004,'Issue Log'!$B$5:$B$1004,B201,'Issue Log'!$F$5:$F$1004,"&gt;="&amp;3))</f>
        <v/>
      </c>
      <c r="H201" s="20" t="str">
        <f aca="false">IF(N(D201)=0,"",_xlfn.MAXIFS('Issue Log'!$A$5:$A$1004,'Issue Log'!$B$5:$B$1004,B201))</f>
        <v/>
      </c>
      <c r="I201" s="10" t="str">
        <f aca="false">IF(B201="","",IF(D201&gt;=3,"FLAG",IF(D201=0,"Not issued","OK")))</f>
        <v/>
      </c>
      <c r="J201" s="29" t="str">
        <f aca="false">IF(I201="FLAG",COUNTIF($I$5:I201,"FLAG"),"")</f>
        <v/>
      </c>
    </row>
    <row r="202" customFormat="false" ht="15" hidden="false" customHeight="false" outlineLevel="0" collapsed="false">
      <c r="A202" s="27" t="n">
        <v>198</v>
      </c>
      <c r="B202" s="28"/>
      <c r="C202" s="22"/>
      <c r="D202" s="10" t="str">
        <f aca="false">IF(B202="","",SUMIFS('Issue Log'!$D$5:$D$1004,'Issue Log'!$B$5:$B$1004,B202))</f>
        <v/>
      </c>
      <c r="E202" s="20" t="str">
        <f aca="false">IF(OR(B202="",N(D202)&lt;1),"",_xlfn.MINIFS('Issue Log'!$A$5:$A$1004,'Issue Log'!$B$5:$B$1004,B202,'Issue Log'!$F$5:$F$1004,"&gt;="&amp;1))</f>
        <v/>
      </c>
      <c r="F202" s="20" t="str">
        <f aca="false">IF(OR(B202="",N(D202)&lt;2),"",_xlfn.MINIFS('Issue Log'!$A$5:$A$1004,'Issue Log'!$B$5:$B$1004,B202,'Issue Log'!$F$5:$F$1004,"&gt;="&amp;2))</f>
        <v/>
      </c>
      <c r="G202" s="20" t="str">
        <f aca="false">IF(OR(B202="",N(D202)&lt;3),"",_xlfn.MINIFS('Issue Log'!$A$5:$A$1004,'Issue Log'!$B$5:$B$1004,B202,'Issue Log'!$F$5:$F$1004,"&gt;="&amp;3))</f>
        <v/>
      </c>
      <c r="H202" s="20" t="str">
        <f aca="false">IF(N(D202)=0,"",_xlfn.MAXIFS('Issue Log'!$A$5:$A$1004,'Issue Log'!$B$5:$B$1004,B202))</f>
        <v/>
      </c>
      <c r="I202" s="10" t="str">
        <f aca="false">IF(B202="","",IF(D202&gt;=3,"FLAG",IF(D202=0,"Not issued","OK")))</f>
        <v/>
      </c>
      <c r="J202" s="29" t="str">
        <f aca="false">IF(I202="FLAG",COUNTIF($I$5:I202,"FLAG"),"")</f>
        <v/>
      </c>
    </row>
    <row r="203" customFormat="false" ht="15" hidden="false" customHeight="false" outlineLevel="0" collapsed="false">
      <c r="A203" s="27" t="n">
        <v>199</v>
      </c>
      <c r="B203" s="28"/>
      <c r="C203" s="22"/>
      <c r="D203" s="10" t="str">
        <f aca="false">IF(B203="","",SUMIFS('Issue Log'!$D$5:$D$1004,'Issue Log'!$B$5:$B$1004,B203))</f>
        <v/>
      </c>
      <c r="E203" s="20" t="str">
        <f aca="false">IF(OR(B203="",N(D203)&lt;1),"",_xlfn.MINIFS('Issue Log'!$A$5:$A$1004,'Issue Log'!$B$5:$B$1004,B203,'Issue Log'!$F$5:$F$1004,"&gt;="&amp;1))</f>
        <v/>
      </c>
      <c r="F203" s="20" t="str">
        <f aca="false">IF(OR(B203="",N(D203)&lt;2),"",_xlfn.MINIFS('Issue Log'!$A$5:$A$1004,'Issue Log'!$B$5:$B$1004,B203,'Issue Log'!$F$5:$F$1004,"&gt;="&amp;2))</f>
        <v/>
      </c>
      <c r="G203" s="20" t="str">
        <f aca="false">IF(OR(B203="",N(D203)&lt;3),"",_xlfn.MINIFS('Issue Log'!$A$5:$A$1004,'Issue Log'!$B$5:$B$1004,B203,'Issue Log'!$F$5:$F$1004,"&gt;="&amp;3))</f>
        <v/>
      </c>
      <c r="H203" s="20" t="str">
        <f aca="false">IF(N(D203)=0,"",_xlfn.MAXIFS('Issue Log'!$A$5:$A$1004,'Issue Log'!$B$5:$B$1004,B203))</f>
        <v/>
      </c>
      <c r="I203" s="10" t="str">
        <f aca="false">IF(B203="","",IF(D203&gt;=3,"FLAG",IF(D203=0,"Not issued","OK")))</f>
        <v/>
      </c>
      <c r="J203" s="29" t="str">
        <f aca="false">IF(I203="FLAG",COUNTIF($I$5:I203,"FLAG"),"")</f>
        <v/>
      </c>
    </row>
    <row r="204" customFormat="false" ht="15" hidden="false" customHeight="false" outlineLevel="0" collapsed="false">
      <c r="A204" s="27" t="n">
        <v>200</v>
      </c>
      <c r="B204" s="28"/>
      <c r="C204" s="22"/>
      <c r="D204" s="10" t="str">
        <f aca="false">IF(B204="","",SUMIFS('Issue Log'!$D$5:$D$1004,'Issue Log'!$B$5:$B$1004,B204))</f>
        <v/>
      </c>
      <c r="E204" s="20" t="str">
        <f aca="false">IF(OR(B204="",N(D204)&lt;1),"",_xlfn.MINIFS('Issue Log'!$A$5:$A$1004,'Issue Log'!$B$5:$B$1004,B204,'Issue Log'!$F$5:$F$1004,"&gt;="&amp;1))</f>
        <v/>
      </c>
      <c r="F204" s="20" t="str">
        <f aca="false">IF(OR(B204="",N(D204)&lt;2),"",_xlfn.MINIFS('Issue Log'!$A$5:$A$1004,'Issue Log'!$B$5:$B$1004,B204,'Issue Log'!$F$5:$F$1004,"&gt;="&amp;2))</f>
        <v/>
      </c>
      <c r="G204" s="20" t="str">
        <f aca="false">IF(OR(B204="",N(D204)&lt;3),"",_xlfn.MINIFS('Issue Log'!$A$5:$A$1004,'Issue Log'!$B$5:$B$1004,B204,'Issue Log'!$F$5:$F$1004,"&gt;="&amp;3))</f>
        <v/>
      </c>
      <c r="H204" s="20" t="str">
        <f aca="false">IF(N(D204)=0,"",_xlfn.MAXIFS('Issue Log'!$A$5:$A$1004,'Issue Log'!$B$5:$B$1004,B204))</f>
        <v/>
      </c>
      <c r="I204" s="10" t="str">
        <f aca="false">IF(B204="","",IF(D204&gt;=3,"FLAG",IF(D204=0,"Not issued","OK")))</f>
        <v/>
      </c>
      <c r="J204" s="29" t="str">
        <f aca="false">IF(I204="FLAG",COUNTIF($I$5:I204,"FLAG"),"")</f>
        <v/>
      </c>
    </row>
  </sheetData>
  <mergeCells count="2">
    <mergeCell ref="A1:J1"/>
    <mergeCell ref="A2:J2"/>
  </mergeCells>
  <conditionalFormatting sqref="A5:J204">
    <cfRule type="expression" priority="2" aboveAverage="0" equalAverage="0" bottom="0" percent="0" rank="0" text="" dxfId="2">
      <formula>$I5="FLAG"</formula>
    </cfRule>
  </conditionalFormatting>
  <conditionalFormatting sqref="I5:I204">
    <cfRule type="cellIs" priority="3" operator="equal" aboveAverage="0" equalAverage="0" bottom="0" percent="0" rank="0" text="" dxfId="3">
      <formula>"FLAG"</formula>
    </cfRule>
  </conditionalFormatting>
  <dataValidations count="1">
    <dataValidation allowBlank="true" errorStyle="stop" operator="between" showDropDown="false" showErrorMessage="false" showInputMessage="false" sqref="C5:C204" type="list">
      <formula1>"Small,Medium,Large"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1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" t="s">
        <v>40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41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7" t="s">
        <v>42</v>
      </c>
      <c r="B4" s="7" t="s">
        <v>26</v>
      </c>
      <c r="C4" s="7" t="s">
        <v>12</v>
      </c>
      <c r="D4" s="7" t="s">
        <v>43</v>
      </c>
      <c r="E4" s="7" t="s">
        <v>44</v>
      </c>
      <c r="F4" s="7" t="s">
        <v>45</v>
      </c>
      <c r="G4" s="7" t="s">
        <v>46</v>
      </c>
    </row>
    <row r="5" customFormat="false" ht="15" hidden="false" customHeight="false" outlineLevel="0" collapsed="false">
      <c r="A5" s="24"/>
      <c r="B5" s="28"/>
      <c r="C5" s="22"/>
      <c r="D5" s="22"/>
      <c r="E5" s="28"/>
      <c r="F5" s="10" t="str">
        <f aca="false">IF(B5="","",SUMIFS($D$5:D5,$B$5:B5,B5))</f>
        <v/>
      </c>
      <c r="G5" s="10" t="str">
        <f aca="false">IF(B5="","",IF(F5&gt;=3,"FLAG",""))</f>
        <v/>
      </c>
    </row>
    <row r="6" customFormat="false" ht="15" hidden="false" customHeight="false" outlineLevel="0" collapsed="false">
      <c r="A6" s="24"/>
      <c r="B6" s="28"/>
      <c r="C6" s="22"/>
      <c r="D6" s="22"/>
      <c r="E6" s="28"/>
      <c r="F6" s="10" t="str">
        <f aca="false">IF(B6="","",SUMIFS($D$5:D6,$B$5:B6,B6))</f>
        <v/>
      </c>
      <c r="G6" s="10" t="str">
        <f aca="false">IF(B6="","",IF(F6&gt;=3,"FLAG",""))</f>
        <v/>
      </c>
    </row>
    <row r="7" customFormat="false" ht="15" hidden="false" customHeight="false" outlineLevel="0" collapsed="false">
      <c r="A7" s="24"/>
      <c r="B7" s="28"/>
      <c r="C7" s="22"/>
      <c r="D7" s="22"/>
      <c r="E7" s="28"/>
      <c r="F7" s="10" t="str">
        <f aca="false">IF(B7="","",SUMIFS($D$5:D7,$B$5:B7,B7))</f>
        <v/>
      </c>
      <c r="G7" s="10" t="str">
        <f aca="false">IF(B7="","",IF(F7&gt;=3,"FLAG",""))</f>
        <v/>
      </c>
    </row>
    <row r="8" customFormat="false" ht="15" hidden="false" customHeight="false" outlineLevel="0" collapsed="false">
      <c r="A8" s="24"/>
      <c r="B8" s="28"/>
      <c r="C8" s="22"/>
      <c r="D8" s="22"/>
      <c r="E8" s="28"/>
      <c r="F8" s="10" t="str">
        <f aca="false">IF(B8="","",SUMIFS($D$5:D8,$B$5:B8,B8))</f>
        <v/>
      </c>
      <c r="G8" s="10" t="str">
        <f aca="false">IF(B8="","",IF(F8&gt;=3,"FLAG",""))</f>
        <v/>
      </c>
    </row>
    <row r="9" customFormat="false" ht="15" hidden="false" customHeight="false" outlineLevel="0" collapsed="false">
      <c r="A9" s="24"/>
      <c r="B9" s="28"/>
      <c r="C9" s="22"/>
      <c r="D9" s="22"/>
      <c r="E9" s="28"/>
      <c r="F9" s="10" t="str">
        <f aca="false">IF(B9="","",SUMIFS($D$5:D9,$B$5:B9,B9))</f>
        <v/>
      </c>
      <c r="G9" s="10" t="str">
        <f aca="false">IF(B9="","",IF(F9&gt;=3,"FLAG",""))</f>
        <v/>
      </c>
    </row>
    <row r="10" customFormat="false" ht="15" hidden="false" customHeight="false" outlineLevel="0" collapsed="false">
      <c r="A10" s="24"/>
      <c r="B10" s="28"/>
      <c r="C10" s="22"/>
      <c r="D10" s="22"/>
      <c r="E10" s="28"/>
      <c r="F10" s="10" t="str">
        <f aca="false">IF(B10="","",SUMIFS($D$5:D10,$B$5:B10,B10))</f>
        <v/>
      </c>
      <c r="G10" s="10" t="str">
        <f aca="false">IF(B10="","",IF(F10&gt;=3,"FLAG",""))</f>
        <v/>
      </c>
    </row>
    <row r="11" customFormat="false" ht="15" hidden="false" customHeight="false" outlineLevel="0" collapsed="false">
      <c r="A11" s="24"/>
      <c r="B11" s="28"/>
      <c r="C11" s="22"/>
      <c r="D11" s="22"/>
      <c r="E11" s="28"/>
      <c r="F11" s="10" t="str">
        <f aca="false">IF(B11="","",SUMIFS($D$5:D11,$B$5:B11,B11))</f>
        <v/>
      </c>
      <c r="G11" s="10" t="str">
        <f aca="false">IF(B11="","",IF(F11&gt;=3,"FLAG",""))</f>
        <v/>
      </c>
    </row>
    <row r="12" customFormat="false" ht="15" hidden="false" customHeight="false" outlineLevel="0" collapsed="false">
      <c r="A12" s="24"/>
      <c r="B12" s="28"/>
      <c r="C12" s="22"/>
      <c r="D12" s="22"/>
      <c r="E12" s="28"/>
      <c r="F12" s="10" t="str">
        <f aca="false">IF(B12="","",SUMIFS($D$5:D12,$B$5:B12,B12))</f>
        <v/>
      </c>
      <c r="G12" s="10" t="str">
        <f aca="false">IF(B12="","",IF(F12&gt;=3,"FLAG",""))</f>
        <v/>
      </c>
    </row>
    <row r="13" customFormat="false" ht="15" hidden="false" customHeight="false" outlineLevel="0" collapsed="false">
      <c r="A13" s="24"/>
      <c r="B13" s="28"/>
      <c r="C13" s="22"/>
      <c r="D13" s="22"/>
      <c r="E13" s="28"/>
      <c r="F13" s="10" t="str">
        <f aca="false">IF(B13="","",SUMIFS($D$5:D13,$B$5:B13,B13))</f>
        <v/>
      </c>
      <c r="G13" s="10" t="str">
        <f aca="false">IF(B13="","",IF(F13&gt;=3,"FLAG",""))</f>
        <v/>
      </c>
    </row>
    <row r="14" customFormat="false" ht="15" hidden="false" customHeight="false" outlineLevel="0" collapsed="false">
      <c r="A14" s="24"/>
      <c r="B14" s="28"/>
      <c r="C14" s="22"/>
      <c r="D14" s="22"/>
      <c r="E14" s="28"/>
      <c r="F14" s="10" t="str">
        <f aca="false">IF(B14="","",SUMIFS($D$5:D14,$B$5:B14,B14))</f>
        <v/>
      </c>
      <c r="G14" s="10" t="str">
        <f aca="false">IF(B14="","",IF(F14&gt;=3,"FLAG",""))</f>
        <v/>
      </c>
    </row>
    <row r="15" customFormat="false" ht="15" hidden="false" customHeight="false" outlineLevel="0" collapsed="false">
      <c r="A15" s="24"/>
      <c r="B15" s="28"/>
      <c r="C15" s="22"/>
      <c r="D15" s="22"/>
      <c r="E15" s="28"/>
      <c r="F15" s="10" t="str">
        <f aca="false">IF(B15="","",SUMIFS($D$5:D15,$B$5:B15,B15))</f>
        <v/>
      </c>
      <c r="G15" s="10" t="str">
        <f aca="false">IF(B15="","",IF(F15&gt;=3,"FLAG",""))</f>
        <v/>
      </c>
    </row>
    <row r="16" customFormat="false" ht="15" hidden="false" customHeight="false" outlineLevel="0" collapsed="false">
      <c r="A16" s="24"/>
      <c r="B16" s="28"/>
      <c r="C16" s="22"/>
      <c r="D16" s="22"/>
      <c r="E16" s="28"/>
      <c r="F16" s="10" t="str">
        <f aca="false">IF(B16="","",SUMIFS($D$5:D16,$B$5:B16,B16))</f>
        <v/>
      </c>
      <c r="G16" s="10" t="str">
        <f aca="false">IF(B16="","",IF(F16&gt;=3,"FLAG",""))</f>
        <v/>
      </c>
    </row>
    <row r="17" customFormat="false" ht="15" hidden="false" customHeight="false" outlineLevel="0" collapsed="false">
      <c r="A17" s="24"/>
      <c r="B17" s="28"/>
      <c r="C17" s="22"/>
      <c r="D17" s="22"/>
      <c r="E17" s="28"/>
      <c r="F17" s="10" t="str">
        <f aca="false">IF(B17="","",SUMIFS($D$5:D17,$B$5:B17,B17))</f>
        <v/>
      </c>
      <c r="G17" s="10" t="str">
        <f aca="false">IF(B17="","",IF(F17&gt;=3,"FLAG",""))</f>
        <v/>
      </c>
    </row>
    <row r="18" customFormat="false" ht="15" hidden="false" customHeight="false" outlineLevel="0" collapsed="false">
      <c r="A18" s="24"/>
      <c r="B18" s="28"/>
      <c r="C18" s="22"/>
      <c r="D18" s="22"/>
      <c r="E18" s="28"/>
      <c r="F18" s="10" t="str">
        <f aca="false">IF(B18="","",SUMIFS($D$5:D18,$B$5:B18,B18))</f>
        <v/>
      </c>
      <c r="G18" s="10" t="str">
        <f aca="false">IF(B18="","",IF(F18&gt;=3,"FLAG",""))</f>
        <v/>
      </c>
    </row>
    <row r="19" customFormat="false" ht="15" hidden="false" customHeight="false" outlineLevel="0" collapsed="false">
      <c r="A19" s="24"/>
      <c r="B19" s="28"/>
      <c r="C19" s="22"/>
      <c r="D19" s="22"/>
      <c r="E19" s="28"/>
      <c r="F19" s="10" t="str">
        <f aca="false">IF(B19="","",SUMIFS($D$5:D19,$B$5:B19,B19))</f>
        <v/>
      </c>
      <c r="G19" s="10" t="str">
        <f aca="false">IF(B19="","",IF(F19&gt;=3,"FLAG",""))</f>
        <v/>
      </c>
    </row>
    <row r="20" customFormat="false" ht="15" hidden="false" customHeight="false" outlineLevel="0" collapsed="false">
      <c r="A20" s="24"/>
      <c r="B20" s="28"/>
      <c r="C20" s="22"/>
      <c r="D20" s="22"/>
      <c r="E20" s="28"/>
      <c r="F20" s="10" t="str">
        <f aca="false">IF(B20="","",SUMIFS($D$5:D20,$B$5:B20,B20))</f>
        <v/>
      </c>
      <c r="G20" s="10" t="str">
        <f aca="false">IF(B20="","",IF(F20&gt;=3,"FLAG",""))</f>
        <v/>
      </c>
    </row>
    <row r="21" customFormat="false" ht="15" hidden="false" customHeight="false" outlineLevel="0" collapsed="false">
      <c r="A21" s="24"/>
      <c r="B21" s="28"/>
      <c r="C21" s="22"/>
      <c r="D21" s="22"/>
      <c r="E21" s="28"/>
      <c r="F21" s="10" t="str">
        <f aca="false">IF(B21="","",SUMIFS($D$5:D21,$B$5:B21,B21))</f>
        <v/>
      </c>
      <c r="G21" s="10" t="str">
        <f aca="false">IF(B21="","",IF(F21&gt;=3,"FLAG",""))</f>
        <v/>
      </c>
    </row>
    <row r="22" customFormat="false" ht="15" hidden="false" customHeight="false" outlineLevel="0" collapsed="false">
      <c r="A22" s="24"/>
      <c r="B22" s="28"/>
      <c r="C22" s="22"/>
      <c r="D22" s="22"/>
      <c r="E22" s="28"/>
      <c r="F22" s="10" t="str">
        <f aca="false">IF(B22="","",SUMIFS($D$5:D22,$B$5:B22,B22))</f>
        <v/>
      </c>
      <c r="G22" s="10" t="str">
        <f aca="false">IF(B22="","",IF(F22&gt;=3,"FLAG",""))</f>
        <v/>
      </c>
    </row>
    <row r="23" customFormat="false" ht="15" hidden="false" customHeight="false" outlineLevel="0" collapsed="false">
      <c r="A23" s="24"/>
      <c r="B23" s="28"/>
      <c r="C23" s="22"/>
      <c r="D23" s="22"/>
      <c r="E23" s="28"/>
      <c r="F23" s="10" t="str">
        <f aca="false">IF(B23="","",SUMIFS($D$5:D23,$B$5:B23,B23))</f>
        <v/>
      </c>
      <c r="G23" s="10" t="str">
        <f aca="false">IF(B23="","",IF(F23&gt;=3,"FLAG",""))</f>
        <v/>
      </c>
    </row>
    <row r="24" customFormat="false" ht="15" hidden="false" customHeight="false" outlineLevel="0" collapsed="false">
      <c r="A24" s="24"/>
      <c r="B24" s="28"/>
      <c r="C24" s="22"/>
      <c r="D24" s="22"/>
      <c r="E24" s="28"/>
      <c r="F24" s="10" t="str">
        <f aca="false">IF(B24="","",SUMIFS($D$5:D24,$B$5:B24,B24))</f>
        <v/>
      </c>
      <c r="G24" s="10" t="str">
        <f aca="false">IF(B24="","",IF(F24&gt;=3,"FLAG",""))</f>
        <v/>
      </c>
    </row>
    <row r="25" customFormat="false" ht="15" hidden="false" customHeight="false" outlineLevel="0" collapsed="false">
      <c r="A25" s="24"/>
      <c r="B25" s="28"/>
      <c r="C25" s="22"/>
      <c r="D25" s="22"/>
      <c r="E25" s="28"/>
      <c r="F25" s="10" t="str">
        <f aca="false">IF(B25="","",SUMIFS($D$5:D25,$B$5:B25,B25))</f>
        <v/>
      </c>
      <c r="G25" s="10" t="str">
        <f aca="false">IF(B25="","",IF(F25&gt;=3,"FLAG",""))</f>
        <v/>
      </c>
    </row>
    <row r="26" customFormat="false" ht="15" hidden="false" customHeight="false" outlineLevel="0" collapsed="false">
      <c r="A26" s="24"/>
      <c r="B26" s="28"/>
      <c r="C26" s="22"/>
      <c r="D26" s="22"/>
      <c r="E26" s="28"/>
      <c r="F26" s="10" t="str">
        <f aca="false">IF(B26="","",SUMIFS($D$5:D26,$B$5:B26,B26))</f>
        <v/>
      </c>
      <c r="G26" s="10" t="str">
        <f aca="false">IF(B26="","",IF(F26&gt;=3,"FLAG",""))</f>
        <v/>
      </c>
    </row>
    <row r="27" customFormat="false" ht="15" hidden="false" customHeight="false" outlineLevel="0" collapsed="false">
      <c r="A27" s="24"/>
      <c r="B27" s="28"/>
      <c r="C27" s="22"/>
      <c r="D27" s="22"/>
      <c r="E27" s="28"/>
      <c r="F27" s="10" t="str">
        <f aca="false">IF(B27="","",SUMIFS($D$5:D27,$B$5:B27,B27))</f>
        <v/>
      </c>
      <c r="G27" s="10" t="str">
        <f aca="false">IF(B27="","",IF(F27&gt;=3,"FLAG",""))</f>
        <v/>
      </c>
    </row>
    <row r="28" customFormat="false" ht="15" hidden="false" customHeight="false" outlineLevel="0" collapsed="false">
      <c r="A28" s="24"/>
      <c r="B28" s="28"/>
      <c r="C28" s="22"/>
      <c r="D28" s="22"/>
      <c r="E28" s="28"/>
      <c r="F28" s="10" t="str">
        <f aca="false">IF(B28="","",SUMIFS($D$5:D28,$B$5:B28,B28))</f>
        <v/>
      </c>
      <c r="G28" s="10" t="str">
        <f aca="false">IF(B28="","",IF(F28&gt;=3,"FLAG",""))</f>
        <v/>
      </c>
    </row>
    <row r="29" customFormat="false" ht="15" hidden="false" customHeight="false" outlineLevel="0" collapsed="false">
      <c r="A29" s="24"/>
      <c r="B29" s="28"/>
      <c r="C29" s="22"/>
      <c r="D29" s="22"/>
      <c r="E29" s="28"/>
      <c r="F29" s="10" t="str">
        <f aca="false">IF(B29="","",SUMIFS($D$5:D29,$B$5:B29,B29))</f>
        <v/>
      </c>
      <c r="G29" s="10" t="str">
        <f aca="false">IF(B29="","",IF(F29&gt;=3,"FLAG",""))</f>
        <v/>
      </c>
    </row>
    <row r="30" customFormat="false" ht="15" hidden="false" customHeight="false" outlineLevel="0" collapsed="false">
      <c r="A30" s="24"/>
      <c r="B30" s="28"/>
      <c r="C30" s="22"/>
      <c r="D30" s="22"/>
      <c r="E30" s="28"/>
      <c r="F30" s="10" t="str">
        <f aca="false">IF(B30="","",SUMIFS($D$5:D30,$B$5:B30,B30))</f>
        <v/>
      </c>
      <c r="G30" s="10" t="str">
        <f aca="false">IF(B30="","",IF(F30&gt;=3,"FLAG",""))</f>
        <v/>
      </c>
    </row>
    <row r="31" customFormat="false" ht="15" hidden="false" customHeight="false" outlineLevel="0" collapsed="false">
      <c r="A31" s="24"/>
      <c r="B31" s="28"/>
      <c r="C31" s="22"/>
      <c r="D31" s="22"/>
      <c r="E31" s="28"/>
      <c r="F31" s="10" t="str">
        <f aca="false">IF(B31="","",SUMIFS($D$5:D31,$B$5:B31,B31))</f>
        <v/>
      </c>
      <c r="G31" s="10" t="str">
        <f aca="false">IF(B31="","",IF(F31&gt;=3,"FLAG",""))</f>
        <v/>
      </c>
    </row>
    <row r="32" customFormat="false" ht="15" hidden="false" customHeight="false" outlineLevel="0" collapsed="false">
      <c r="A32" s="24"/>
      <c r="B32" s="28"/>
      <c r="C32" s="22"/>
      <c r="D32" s="22"/>
      <c r="E32" s="28"/>
      <c r="F32" s="10" t="str">
        <f aca="false">IF(B32="","",SUMIFS($D$5:D32,$B$5:B32,B32))</f>
        <v/>
      </c>
      <c r="G32" s="10" t="str">
        <f aca="false">IF(B32="","",IF(F32&gt;=3,"FLAG",""))</f>
        <v/>
      </c>
    </row>
    <row r="33" customFormat="false" ht="15" hidden="false" customHeight="false" outlineLevel="0" collapsed="false">
      <c r="A33" s="24"/>
      <c r="B33" s="28"/>
      <c r="C33" s="22"/>
      <c r="D33" s="22"/>
      <c r="E33" s="28"/>
      <c r="F33" s="10" t="str">
        <f aca="false">IF(B33="","",SUMIFS($D$5:D33,$B$5:B33,B33))</f>
        <v/>
      </c>
      <c r="G33" s="10" t="str">
        <f aca="false">IF(B33="","",IF(F33&gt;=3,"FLAG",""))</f>
        <v/>
      </c>
    </row>
    <row r="34" customFormat="false" ht="15" hidden="false" customHeight="false" outlineLevel="0" collapsed="false">
      <c r="A34" s="24"/>
      <c r="B34" s="28"/>
      <c r="C34" s="22"/>
      <c r="D34" s="22"/>
      <c r="E34" s="28"/>
      <c r="F34" s="10" t="str">
        <f aca="false">IF(B34="","",SUMIFS($D$5:D34,$B$5:B34,B34))</f>
        <v/>
      </c>
      <c r="G34" s="10" t="str">
        <f aca="false">IF(B34="","",IF(F34&gt;=3,"FLAG",""))</f>
        <v/>
      </c>
    </row>
    <row r="35" customFormat="false" ht="15" hidden="false" customHeight="false" outlineLevel="0" collapsed="false">
      <c r="A35" s="24"/>
      <c r="B35" s="28"/>
      <c r="C35" s="22"/>
      <c r="D35" s="22"/>
      <c r="E35" s="28"/>
      <c r="F35" s="10" t="str">
        <f aca="false">IF(B35="","",SUMIFS($D$5:D35,$B$5:B35,B35))</f>
        <v/>
      </c>
      <c r="G35" s="10" t="str">
        <f aca="false">IF(B35="","",IF(F35&gt;=3,"FLAG",""))</f>
        <v/>
      </c>
    </row>
    <row r="36" customFormat="false" ht="15" hidden="false" customHeight="false" outlineLevel="0" collapsed="false">
      <c r="A36" s="24"/>
      <c r="B36" s="28"/>
      <c r="C36" s="22"/>
      <c r="D36" s="22"/>
      <c r="E36" s="28"/>
      <c r="F36" s="10" t="str">
        <f aca="false">IF(B36="","",SUMIFS($D$5:D36,$B$5:B36,B36))</f>
        <v/>
      </c>
      <c r="G36" s="10" t="str">
        <f aca="false">IF(B36="","",IF(F36&gt;=3,"FLAG",""))</f>
        <v/>
      </c>
    </row>
    <row r="37" customFormat="false" ht="15" hidden="false" customHeight="false" outlineLevel="0" collapsed="false">
      <c r="A37" s="24"/>
      <c r="B37" s="28"/>
      <c r="C37" s="22"/>
      <c r="D37" s="22"/>
      <c r="E37" s="28"/>
      <c r="F37" s="10" t="str">
        <f aca="false">IF(B37="","",SUMIFS($D$5:D37,$B$5:B37,B37))</f>
        <v/>
      </c>
      <c r="G37" s="10" t="str">
        <f aca="false">IF(B37="","",IF(F37&gt;=3,"FLAG",""))</f>
        <v/>
      </c>
    </row>
    <row r="38" customFormat="false" ht="15" hidden="false" customHeight="false" outlineLevel="0" collapsed="false">
      <c r="A38" s="24"/>
      <c r="B38" s="28"/>
      <c r="C38" s="22"/>
      <c r="D38" s="22"/>
      <c r="E38" s="28"/>
      <c r="F38" s="10" t="str">
        <f aca="false">IF(B38="","",SUMIFS($D$5:D38,$B$5:B38,B38))</f>
        <v/>
      </c>
      <c r="G38" s="10" t="str">
        <f aca="false">IF(B38="","",IF(F38&gt;=3,"FLAG",""))</f>
        <v/>
      </c>
    </row>
    <row r="39" customFormat="false" ht="15" hidden="false" customHeight="false" outlineLevel="0" collapsed="false">
      <c r="A39" s="24"/>
      <c r="B39" s="28"/>
      <c r="C39" s="22"/>
      <c r="D39" s="22"/>
      <c r="E39" s="28"/>
      <c r="F39" s="10" t="str">
        <f aca="false">IF(B39="","",SUMIFS($D$5:D39,$B$5:B39,B39))</f>
        <v/>
      </c>
      <c r="G39" s="10" t="str">
        <f aca="false">IF(B39="","",IF(F39&gt;=3,"FLAG",""))</f>
        <v/>
      </c>
    </row>
    <row r="40" customFormat="false" ht="15" hidden="false" customHeight="false" outlineLevel="0" collapsed="false">
      <c r="A40" s="24"/>
      <c r="B40" s="28"/>
      <c r="C40" s="22"/>
      <c r="D40" s="22"/>
      <c r="E40" s="28"/>
      <c r="F40" s="10" t="str">
        <f aca="false">IF(B40="","",SUMIFS($D$5:D40,$B$5:B40,B40))</f>
        <v/>
      </c>
      <c r="G40" s="10" t="str">
        <f aca="false">IF(B40="","",IF(F40&gt;=3,"FLAG",""))</f>
        <v/>
      </c>
    </row>
    <row r="41" customFormat="false" ht="15" hidden="false" customHeight="false" outlineLevel="0" collapsed="false">
      <c r="A41" s="24"/>
      <c r="B41" s="28"/>
      <c r="C41" s="22"/>
      <c r="D41" s="22"/>
      <c r="E41" s="28"/>
      <c r="F41" s="10" t="str">
        <f aca="false">IF(B41="","",SUMIFS($D$5:D41,$B$5:B41,B41))</f>
        <v/>
      </c>
      <c r="G41" s="10" t="str">
        <f aca="false">IF(B41="","",IF(F41&gt;=3,"FLAG",""))</f>
        <v/>
      </c>
    </row>
    <row r="42" customFormat="false" ht="15" hidden="false" customHeight="false" outlineLevel="0" collapsed="false">
      <c r="A42" s="24"/>
      <c r="B42" s="28"/>
      <c r="C42" s="22"/>
      <c r="D42" s="22"/>
      <c r="E42" s="28"/>
      <c r="F42" s="10" t="str">
        <f aca="false">IF(B42="","",SUMIFS($D$5:D42,$B$5:B42,B42))</f>
        <v/>
      </c>
      <c r="G42" s="10" t="str">
        <f aca="false">IF(B42="","",IF(F42&gt;=3,"FLAG",""))</f>
        <v/>
      </c>
    </row>
    <row r="43" customFormat="false" ht="15" hidden="false" customHeight="false" outlineLevel="0" collapsed="false">
      <c r="A43" s="24"/>
      <c r="B43" s="28"/>
      <c r="C43" s="22"/>
      <c r="D43" s="22"/>
      <c r="E43" s="28"/>
      <c r="F43" s="10" t="str">
        <f aca="false">IF(B43="","",SUMIFS($D$5:D43,$B$5:B43,B43))</f>
        <v/>
      </c>
      <c r="G43" s="10" t="str">
        <f aca="false">IF(B43="","",IF(F43&gt;=3,"FLAG",""))</f>
        <v/>
      </c>
    </row>
    <row r="44" customFormat="false" ht="15" hidden="false" customHeight="false" outlineLevel="0" collapsed="false">
      <c r="A44" s="24"/>
      <c r="B44" s="28"/>
      <c r="C44" s="22"/>
      <c r="D44" s="22"/>
      <c r="E44" s="28"/>
      <c r="F44" s="10" t="str">
        <f aca="false">IF(B44="","",SUMIFS($D$5:D44,$B$5:B44,B44))</f>
        <v/>
      </c>
      <c r="G44" s="10" t="str">
        <f aca="false">IF(B44="","",IF(F44&gt;=3,"FLAG",""))</f>
        <v/>
      </c>
    </row>
    <row r="45" customFormat="false" ht="15" hidden="false" customHeight="false" outlineLevel="0" collapsed="false">
      <c r="A45" s="24"/>
      <c r="B45" s="28"/>
      <c r="C45" s="22"/>
      <c r="D45" s="22"/>
      <c r="E45" s="28"/>
      <c r="F45" s="10" t="str">
        <f aca="false">IF(B45="","",SUMIFS($D$5:D45,$B$5:B45,B45))</f>
        <v/>
      </c>
      <c r="G45" s="10" t="str">
        <f aca="false">IF(B45="","",IF(F45&gt;=3,"FLAG",""))</f>
        <v/>
      </c>
    </row>
    <row r="46" customFormat="false" ht="15" hidden="false" customHeight="false" outlineLevel="0" collapsed="false">
      <c r="A46" s="24"/>
      <c r="B46" s="28"/>
      <c r="C46" s="22"/>
      <c r="D46" s="22"/>
      <c r="E46" s="28"/>
      <c r="F46" s="10" t="str">
        <f aca="false">IF(B46="","",SUMIFS($D$5:D46,$B$5:B46,B46))</f>
        <v/>
      </c>
      <c r="G46" s="10" t="str">
        <f aca="false">IF(B46="","",IF(F46&gt;=3,"FLAG",""))</f>
        <v/>
      </c>
    </row>
    <row r="47" customFormat="false" ht="15" hidden="false" customHeight="false" outlineLevel="0" collapsed="false">
      <c r="A47" s="24"/>
      <c r="B47" s="28"/>
      <c r="C47" s="22"/>
      <c r="D47" s="22"/>
      <c r="E47" s="28"/>
      <c r="F47" s="10" t="str">
        <f aca="false">IF(B47="","",SUMIFS($D$5:D47,$B$5:B47,B47))</f>
        <v/>
      </c>
      <c r="G47" s="10" t="str">
        <f aca="false">IF(B47="","",IF(F47&gt;=3,"FLAG",""))</f>
        <v/>
      </c>
    </row>
    <row r="48" customFormat="false" ht="15" hidden="false" customHeight="false" outlineLevel="0" collapsed="false">
      <c r="A48" s="24"/>
      <c r="B48" s="28"/>
      <c r="C48" s="22"/>
      <c r="D48" s="22"/>
      <c r="E48" s="28"/>
      <c r="F48" s="10" t="str">
        <f aca="false">IF(B48="","",SUMIFS($D$5:D48,$B$5:B48,B48))</f>
        <v/>
      </c>
      <c r="G48" s="10" t="str">
        <f aca="false">IF(B48="","",IF(F48&gt;=3,"FLAG",""))</f>
        <v/>
      </c>
    </row>
    <row r="49" customFormat="false" ht="15" hidden="false" customHeight="false" outlineLevel="0" collapsed="false">
      <c r="A49" s="24"/>
      <c r="B49" s="28"/>
      <c r="C49" s="22"/>
      <c r="D49" s="22"/>
      <c r="E49" s="28"/>
      <c r="F49" s="10" t="str">
        <f aca="false">IF(B49="","",SUMIFS($D$5:D49,$B$5:B49,B49))</f>
        <v/>
      </c>
      <c r="G49" s="10" t="str">
        <f aca="false">IF(B49="","",IF(F49&gt;=3,"FLAG",""))</f>
        <v/>
      </c>
    </row>
    <row r="50" customFormat="false" ht="15" hidden="false" customHeight="false" outlineLevel="0" collapsed="false">
      <c r="A50" s="24"/>
      <c r="B50" s="28"/>
      <c r="C50" s="22"/>
      <c r="D50" s="22"/>
      <c r="E50" s="28"/>
      <c r="F50" s="10" t="str">
        <f aca="false">IF(B50="","",SUMIFS($D$5:D50,$B$5:B50,B50))</f>
        <v/>
      </c>
      <c r="G50" s="10" t="str">
        <f aca="false">IF(B50="","",IF(F50&gt;=3,"FLAG",""))</f>
        <v/>
      </c>
    </row>
    <row r="51" customFormat="false" ht="15" hidden="false" customHeight="false" outlineLevel="0" collapsed="false">
      <c r="A51" s="24"/>
      <c r="B51" s="28"/>
      <c r="C51" s="22"/>
      <c r="D51" s="22"/>
      <c r="E51" s="28"/>
      <c r="F51" s="10" t="str">
        <f aca="false">IF(B51="","",SUMIFS($D$5:D51,$B$5:B51,B51))</f>
        <v/>
      </c>
      <c r="G51" s="10" t="str">
        <f aca="false">IF(B51="","",IF(F51&gt;=3,"FLAG",""))</f>
        <v/>
      </c>
    </row>
    <row r="52" customFormat="false" ht="15" hidden="false" customHeight="false" outlineLevel="0" collapsed="false">
      <c r="A52" s="24"/>
      <c r="B52" s="28"/>
      <c r="C52" s="22"/>
      <c r="D52" s="22"/>
      <c r="E52" s="28"/>
      <c r="F52" s="10" t="str">
        <f aca="false">IF(B52="","",SUMIFS($D$5:D52,$B$5:B52,B52))</f>
        <v/>
      </c>
      <c r="G52" s="10" t="str">
        <f aca="false">IF(B52="","",IF(F52&gt;=3,"FLAG",""))</f>
        <v/>
      </c>
    </row>
    <row r="53" customFormat="false" ht="15" hidden="false" customHeight="false" outlineLevel="0" collapsed="false">
      <c r="A53" s="24"/>
      <c r="B53" s="28"/>
      <c r="C53" s="22"/>
      <c r="D53" s="22"/>
      <c r="E53" s="28"/>
      <c r="F53" s="10" t="str">
        <f aca="false">IF(B53="","",SUMIFS($D$5:D53,$B$5:B53,B53))</f>
        <v/>
      </c>
      <c r="G53" s="10" t="str">
        <f aca="false">IF(B53="","",IF(F53&gt;=3,"FLAG",""))</f>
        <v/>
      </c>
    </row>
    <row r="54" customFormat="false" ht="15" hidden="false" customHeight="false" outlineLevel="0" collapsed="false">
      <c r="A54" s="24"/>
      <c r="B54" s="28"/>
      <c r="C54" s="22"/>
      <c r="D54" s="22"/>
      <c r="E54" s="28"/>
      <c r="F54" s="10" t="str">
        <f aca="false">IF(B54="","",SUMIFS($D$5:D54,$B$5:B54,B54))</f>
        <v/>
      </c>
      <c r="G54" s="10" t="str">
        <f aca="false">IF(B54="","",IF(F54&gt;=3,"FLAG",""))</f>
        <v/>
      </c>
    </row>
    <row r="55" customFormat="false" ht="15" hidden="false" customHeight="false" outlineLevel="0" collapsed="false">
      <c r="A55" s="24"/>
      <c r="B55" s="28"/>
      <c r="C55" s="22"/>
      <c r="D55" s="22"/>
      <c r="E55" s="28"/>
      <c r="F55" s="10" t="str">
        <f aca="false">IF(B55="","",SUMIFS($D$5:D55,$B$5:B55,B55))</f>
        <v/>
      </c>
      <c r="G55" s="10" t="str">
        <f aca="false">IF(B55="","",IF(F55&gt;=3,"FLAG",""))</f>
        <v/>
      </c>
    </row>
    <row r="56" customFormat="false" ht="15" hidden="false" customHeight="false" outlineLevel="0" collapsed="false">
      <c r="A56" s="24"/>
      <c r="B56" s="28"/>
      <c r="C56" s="22"/>
      <c r="D56" s="22"/>
      <c r="E56" s="28"/>
      <c r="F56" s="10" t="str">
        <f aca="false">IF(B56="","",SUMIFS($D$5:D56,$B$5:B56,B56))</f>
        <v/>
      </c>
      <c r="G56" s="10" t="str">
        <f aca="false">IF(B56="","",IF(F56&gt;=3,"FLAG",""))</f>
        <v/>
      </c>
    </row>
    <row r="57" customFormat="false" ht="15" hidden="false" customHeight="false" outlineLevel="0" collapsed="false">
      <c r="A57" s="24"/>
      <c r="B57" s="28"/>
      <c r="C57" s="22"/>
      <c r="D57" s="22"/>
      <c r="E57" s="28"/>
      <c r="F57" s="10" t="str">
        <f aca="false">IF(B57="","",SUMIFS($D$5:D57,$B$5:B57,B57))</f>
        <v/>
      </c>
      <c r="G57" s="10" t="str">
        <f aca="false">IF(B57="","",IF(F57&gt;=3,"FLAG",""))</f>
        <v/>
      </c>
    </row>
    <row r="58" customFormat="false" ht="15" hidden="false" customHeight="false" outlineLevel="0" collapsed="false">
      <c r="A58" s="24"/>
      <c r="B58" s="28"/>
      <c r="C58" s="22"/>
      <c r="D58" s="22"/>
      <c r="E58" s="28"/>
      <c r="F58" s="10" t="str">
        <f aca="false">IF(B58="","",SUMIFS($D$5:D58,$B$5:B58,B58))</f>
        <v/>
      </c>
      <c r="G58" s="10" t="str">
        <f aca="false">IF(B58="","",IF(F58&gt;=3,"FLAG",""))</f>
        <v/>
      </c>
    </row>
    <row r="59" customFormat="false" ht="15" hidden="false" customHeight="false" outlineLevel="0" collapsed="false">
      <c r="A59" s="24"/>
      <c r="B59" s="28"/>
      <c r="C59" s="22"/>
      <c r="D59" s="22"/>
      <c r="E59" s="28"/>
      <c r="F59" s="10" t="str">
        <f aca="false">IF(B59="","",SUMIFS($D$5:D59,$B$5:B59,B59))</f>
        <v/>
      </c>
      <c r="G59" s="10" t="str">
        <f aca="false">IF(B59="","",IF(F59&gt;=3,"FLAG",""))</f>
        <v/>
      </c>
    </row>
    <row r="60" customFormat="false" ht="15" hidden="false" customHeight="false" outlineLevel="0" collapsed="false">
      <c r="A60" s="24"/>
      <c r="B60" s="28"/>
      <c r="C60" s="22"/>
      <c r="D60" s="22"/>
      <c r="E60" s="28"/>
      <c r="F60" s="10" t="str">
        <f aca="false">IF(B60="","",SUMIFS($D$5:D60,$B$5:B60,B60))</f>
        <v/>
      </c>
      <c r="G60" s="10" t="str">
        <f aca="false">IF(B60="","",IF(F60&gt;=3,"FLAG",""))</f>
        <v/>
      </c>
    </row>
    <row r="61" customFormat="false" ht="15" hidden="false" customHeight="false" outlineLevel="0" collapsed="false">
      <c r="A61" s="24"/>
      <c r="B61" s="28"/>
      <c r="C61" s="22"/>
      <c r="D61" s="22"/>
      <c r="E61" s="28"/>
      <c r="F61" s="10" t="str">
        <f aca="false">IF(B61="","",SUMIFS($D$5:D61,$B$5:B61,B61))</f>
        <v/>
      </c>
      <c r="G61" s="10" t="str">
        <f aca="false">IF(B61="","",IF(F61&gt;=3,"FLAG",""))</f>
        <v/>
      </c>
    </row>
    <row r="62" customFormat="false" ht="15" hidden="false" customHeight="false" outlineLevel="0" collapsed="false">
      <c r="A62" s="24"/>
      <c r="B62" s="28"/>
      <c r="C62" s="22"/>
      <c r="D62" s="22"/>
      <c r="E62" s="28"/>
      <c r="F62" s="10" t="str">
        <f aca="false">IF(B62="","",SUMIFS($D$5:D62,$B$5:B62,B62))</f>
        <v/>
      </c>
      <c r="G62" s="10" t="str">
        <f aca="false">IF(B62="","",IF(F62&gt;=3,"FLAG",""))</f>
        <v/>
      </c>
    </row>
    <row r="63" customFormat="false" ht="15" hidden="false" customHeight="false" outlineLevel="0" collapsed="false">
      <c r="A63" s="24"/>
      <c r="B63" s="28"/>
      <c r="C63" s="22"/>
      <c r="D63" s="22"/>
      <c r="E63" s="28"/>
      <c r="F63" s="10" t="str">
        <f aca="false">IF(B63="","",SUMIFS($D$5:D63,$B$5:B63,B63))</f>
        <v/>
      </c>
      <c r="G63" s="10" t="str">
        <f aca="false">IF(B63="","",IF(F63&gt;=3,"FLAG",""))</f>
        <v/>
      </c>
    </row>
    <row r="64" customFormat="false" ht="15" hidden="false" customHeight="false" outlineLevel="0" collapsed="false">
      <c r="A64" s="24"/>
      <c r="B64" s="28"/>
      <c r="C64" s="22"/>
      <c r="D64" s="22"/>
      <c r="E64" s="28"/>
      <c r="F64" s="10" t="str">
        <f aca="false">IF(B64="","",SUMIFS($D$5:D64,$B$5:B64,B64))</f>
        <v/>
      </c>
      <c r="G64" s="10" t="str">
        <f aca="false">IF(B64="","",IF(F64&gt;=3,"FLAG",""))</f>
        <v/>
      </c>
    </row>
    <row r="65" customFormat="false" ht="15" hidden="false" customHeight="false" outlineLevel="0" collapsed="false">
      <c r="A65" s="24"/>
      <c r="B65" s="28"/>
      <c r="C65" s="22"/>
      <c r="D65" s="22"/>
      <c r="E65" s="28"/>
      <c r="F65" s="10" t="str">
        <f aca="false">IF(B65="","",SUMIFS($D$5:D65,$B$5:B65,B65))</f>
        <v/>
      </c>
      <c r="G65" s="10" t="str">
        <f aca="false">IF(B65="","",IF(F65&gt;=3,"FLAG",""))</f>
        <v/>
      </c>
    </row>
    <row r="66" customFormat="false" ht="15" hidden="false" customHeight="false" outlineLevel="0" collapsed="false">
      <c r="A66" s="24"/>
      <c r="B66" s="28"/>
      <c r="C66" s="22"/>
      <c r="D66" s="22"/>
      <c r="E66" s="28"/>
      <c r="F66" s="10" t="str">
        <f aca="false">IF(B66="","",SUMIFS($D$5:D66,$B$5:B66,B66))</f>
        <v/>
      </c>
      <c r="G66" s="10" t="str">
        <f aca="false">IF(B66="","",IF(F66&gt;=3,"FLAG",""))</f>
        <v/>
      </c>
    </row>
    <row r="67" customFormat="false" ht="15" hidden="false" customHeight="false" outlineLevel="0" collapsed="false">
      <c r="A67" s="24"/>
      <c r="B67" s="28"/>
      <c r="C67" s="22"/>
      <c r="D67" s="22"/>
      <c r="E67" s="28"/>
      <c r="F67" s="10" t="str">
        <f aca="false">IF(B67="","",SUMIFS($D$5:D67,$B$5:B67,B67))</f>
        <v/>
      </c>
      <c r="G67" s="10" t="str">
        <f aca="false">IF(B67="","",IF(F67&gt;=3,"FLAG",""))</f>
        <v/>
      </c>
    </row>
    <row r="68" customFormat="false" ht="15" hidden="false" customHeight="false" outlineLevel="0" collapsed="false">
      <c r="A68" s="24"/>
      <c r="B68" s="28"/>
      <c r="C68" s="22"/>
      <c r="D68" s="22"/>
      <c r="E68" s="28"/>
      <c r="F68" s="10" t="str">
        <f aca="false">IF(B68="","",SUMIFS($D$5:D68,$B$5:B68,B68))</f>
        <v/>
      </c>
      <c r="G68" s="10" t="str">
        <f aca="false">IF(B68="","",IF(F68&gt;=3,"FLAG",""))</f>
        <v/>
      </c>
    </row>
    <row r="69" customFormat="false" ht="15" hidden="false" customHeight="false" outlineLevel="0" collapsed="false">
      <c r="A69" s="24"/>
      <c r="B69" s="28"/>
      <c r="C69" s="22"/>
      <c r="D69" s="22"/>
      <c r="E69" s="28"/>
      <c r="F69" s="10" t="str">
        <f aca="false">IF(B69="","",SUMIFS($D$5:D69,$B$5:B69,B69))</f>
        <v/>
      </c>
      <c r="G69" s="10" t="str">
        <f aca="false">IF(B69="","",IF(F69&gt;=3,"FLAG",""))</f>
        <v/>
      </c>
    </row>
    <row r="70" customFormat="false" ht="15" hidden="false" customHeight="false" outlineLevel="0" collapsed="false">
      <c r="A70" s="24"/>
      <c r="B70" s="28"/>
      <c r="C70" s="22"/>
      <c r="D70" s="22"/>
      <c r="E70" s="28"/>
      <c r="F70" s="10" t="str">
        <f aca="false">IF(B70="","",SUMIFS($D$5:D70,$B$5:B70,B70))</f>
        <v/>
      </c>
      <c r="G70" s="10" t="str">
        <f aca="false">IF(B70="","",IF(F70&gt;=3,"FLAG",""))</f>
        <v/>
      </c>
    </row>
    <row r="71" customFormat="false" ht="15" hidden="false" customHeight="false" outlineLevel="0" collapsed="false">
      <c r="A71" s="24"/>
      <c r="B71" s="28"/>
      <c r="C71" s="22"/>
      <c r="D71" s="22"/>
      <c r="E71" s="28"/>
      <c r="F71" s="10" t="str">
        <f aca="false">IF(B71="","",SUMIFS($D$5:D71,$B$5:B71,B71))</f>
        <v/>
      </c>
      <c r="G71" s="10" t="str">
        <f aca="false">IF(B71="","",IF(F71&gt;=3,"FLAG",""))</f>
        <v/>
      </c>
    </row>
    <row r="72" customFormat="false" ht="15" hidden="false" customHeight="false" outlineLevel="0" collapsed="false">
      <c r="A72" s="24"/>
      <c r="B72" s="28"/>
      <c r="C72" s="22"/>
      <c r="D72" s="22"/>
      <c r="E72" s="28"/>
      <c r="F72" s="10" t="str">
        <f aca="false">IF(B72="","",SUMIFS($D$5:D72,$B$5:B72,B72))</f>
        <v/>
      </c>
      <c r="G72" s="10" t="str">
        <f aca="false">IF(B72="","",IF(F72&gt;=3,"FLAG",""))</f>
        <v/>
      </c>
    </row>
    <row r="73" customFormat="false" ht="15" hidden="false" customHeight="false" outlineLevel="0" collapsed="false">
      <c r="A73" s="24"/>
      <c r="B73" s="28"/>
      <c r="C73" s="22"/>
      <c r="D73" s="22"/>
      <c r="E73" s="28"/>
      <c r="F73" s="10" t="str">
        <f aca="false">IF(B73="","",SUMIFS($D$5:D73,$B$5:B73,B73))</f>
        <v/>
      </c>
      <c r="G73" s="10" t="str">
        <f aca="false">IF(B73="","",IF(F73&gt;=3,"FLAG",""))</f>
        <v/>
      </c>
    </row>
    <row r="74" customFormat="false" ht="15" hidden="false" customHeight="false" outlineLevel="0" collapsed="false">
      <c r="A74" s="24"/>
      <c r="B74" s="28"/>
      <c r="C74" s="22"/>
      <c r="D74" s="22"/>
      <c r="E74" s="28"/>
      <c r="F74" s="10" t="str">
        <f aca="false">IF(B74="","",SUMIFS($D$5:D74,$B$5:B74,B74))</f>
        <v/>
      </c>
      <c r="G74" s="10" t="str">
        <f aca="false">IF(B74="","",IF(F74&gt;=3,"FLAG",""))</f>
        <v/>
      </c>
    </row>
    <row r="75" customFormat="false" ht="15" hidden="false" customHeight="false" outlineLevel="0" collapsed="false">
      <c r="A75" s="24"/>
      <c r="B75" s="28"/>
      <c r="C75" s="22"/>
      <c r="D75" s="22"/>
      <c r="E75" s="28"/>
      <c r="F75" s="10" t="str">
        <f aca="false">IF(B75="","",SUMIFS($D$5:D75,$B$5:B75,B75))</f>
        <v/>
      </c>
      <c r="G75" s="10" t="str">
        <f aca="false">IF(B75="","",IF(F75&gt;=3,"FLAG",""))</f>
        <v/>
      </c>
    </row>
    <row r="76" customFormat="false" ht="15" hidden="false" customHeight="false" outlineLevel="0" collapsed="false">
      <c r="A76" s="24"/>
      <c r="B76" s="28"/>
      <c r="C76" s="22"/>
      <c r="D76" s="22"/>
      <c r="E76" s="28"/>
      <c r="F76" s="10" t="str">
        <f aca="false">IF(B76="","",SUMIFS($D$5:D76,$B$5:B76,B76))</f>
        <v/>
      </c>
      <c r="G76" s="10" t="str">
        <f aca="false">IF(B76="","",IF(F76&gt;=3,"FLAG",""))</f>
        <v/>
      </c>
    </row>
    <row r="77" customFormat="false" ht="15" hidden="false" customHeight="false" outlineLevel="0" collapsed="false">
      <c r="A77" s="24"/>
      <c r="B77" s="28"/>
      <c r="C77" s="22"/>
      <c r="D77" s="22"/>
      <c r="E77" s="28"/>
      <c r="F77" s="10" t="str">
        <f aca="false">IF(B77="","",SUMIFS($D$5:D77,$B$5:B77,B77))</f>
        <v/>
      </c>
      <c r="G77" s="10" t="str">
        <f aca="false">IF(B77="","",IF(F77&gt;=3,"FLAG",""))</f>
        <v/>
      </c>
    </row>
    <row r="78" customFormat="false" ht="15" hidden="false" customHeight="false" outlineLevel="0" collapsed="false">
      <c r="A78" s="24"/>
      <c r="B78" s="28"/>
      <c r="C78" s="22"/>
      <c r="D78" s="22"/>
      <c r="E78" s="28"/>
      <c r="F78" s="10" t="str">
        <f aca="false">IF(B78="","",SUMIFS($D$5:D78,$B$5:B78,B78))</f>
        <v/>
      </c>
      <c r="G78" s="10" t="str">
        <f aca="false">IF(B78="","",IF(F78&gt;=3,"FLAG",""))</f>
        <v/>
      </c>
    </row>
    <row r="79" customFormat="false" ht="15" hidden="false" customHeight="false" outlineLevel="0" collapsed="false">
      <c r="A79" s="24"/>
      <c r="B79" s="28"/>
      <c r="C79" s="22"/>
      <c r="D79" s="22"/>
      <c r="E79" s="28"/>
      <c r="F79" s="10" t="str">
        <f aca="false">IF(B79="","",SUMIFS($D$5:D79,$B$5:B79,B79))</f>
        <v/>
      </c>
      <c r="G79" s="10" t="str">
        <f aca="false">IF(B79="","",IF(F79&gt;=3,"FLAG",""))</f>
        <v/>
      </c>
    </row>
    <row r="80" customFormat="false" ht="15" hidden="false" customHeight="false" outlineLevel="0" collapsed="false">
      <c r="A80" s="24"/>
      <c r="B80" s="28"/>
      <c r="C80" s="22"/>
      <c r="D80" s="22"/>
      <c r="E80" s="28"/>
      <c r="F80" s="10" t="str">
        <f aca="false">IF(B80="","",SUMIFS($D$5:D80,$B$5:B80,B80))</f>
        <v/>
      </c>
      <c r="G80" s="10" t="str">
        <f aca="false">IF(B80="","",IF(F80&gt;=3,"FLAG",""))</f>
        <v/>
      </c>
    </row>
    <row r="81" customFormat="false" ht="15" hidden="false" customHeight="false" outlineLevel="0" collapsed="false">
      <c r="A81" s="24"/>
      <c r="B81" s="28"/>
      <c r="C81" s="22"/>
      <c r="D81" s="22"/>
      <c r="E81" s="28"/>
      <c r="F81" s="10" t="str">
        <f aca="false">IF(B81="","",SUMIFS($D$5:D81,$B$5:B81,B81))</f>
        <v/>
      </c>
      <c r="G81" s="10" t="str">
        <f aca="false">IF(B81="","",IF(F81&gt;=3,"FLAG",""))</f>
        <v/>
      </c>
    </row>
    <row r="82" customFormat="false" ht="15" hidden="false" customHeight="false" outlineLevel="0" collapsed="false">
      <c r="A82" s="24"/>
      <c r="B82" s="28"/>
      <c r="C82" s="22"/>
      <c r="D82" s="22"/>
      <c r="E82" s="28"/>
      <c r="F82" s="10" t="str">
        <f aca="false">IF(B82="","",SUMIFS($D$5:D82,$B$5:B82,B82))</f>
        <v/>
      </c>
      <c r="G82" s="10" t="str">
        <f aca="false">IF(B82="","",IF(F82&gt;=3,"FLAG",""))</f>
        <v/>
      </c>
    </row>
    <row r="83" customFormat="false" ht="15" hidden="false" customHeight="false" outlineLevel="0" collapsed="false">
      <c r="A83" s="24"/>
      <c r="B83" s="28"/>
      <c r="C83" s="22"/>
      <c r="D83" s="22"/>
      <c r="E83" s="28"/>
      <c r="F83" s="10" t="str">
        <f aca="false">IF(B83="","",SUMIFS($D$5:D83,$B$5:B83,B83))</f>
        <v/>
      </c>
      <c r="G83" s="10" t="str">
        <f aca="false">IF(B83="","",IF(F83&gt;=3,"FLAG",""))</f>
        <v/>
      </c>
    </row>
    <row r="84" customFormat="false" ht="15" hidden="false" customHeight="false" outlineLevel="0" collapsed="false">
      <c r="A84" s="24"/>
      <c r="B84" s="28"/>
      <c r="C84" s="22"/>
      <c r="D84" s="22"/>
      <c r="E84" s="28"/>
      <c r="F84" s="10" t="str">
        <f aca="false">IF(B84="","",SUMIFS($D$5:D84,$B$5:B84,B84))</f>
        <v/>
      </c>
      <c r="G84" s="10" t="str">
        <f aca="false">IF(B84="","",IF(F84&gt;=3,"FLAG",""))</f>
        <v/>
      </c>
    </row>
    <row r="85" customFormat="false" ht="15" hidden="false" customHeight="false" outlineLevel="0" collapsed="false">
      <c r="A85" s="24"/>
      <c r="B85" s="28"/>
      <c r="C85" s="22"/>
      <c r="D85" s="22"/>
      <c r="E85" s="28"/>
      <c r="F85" s="10" t="str">
        <f aca="false">IF(B85="","",SUMIFS($D$5:D85,$B$5:B85,B85))</f>
        <v/>
      </c>
      <c r="G85" s="10" t="str">
        <f aca="false">IF(B85="","",IF(F85&gt;=3,"FLAG",""))</f>
        <v/>
      </c>
    </row>
    <row r="86" customFormat="false" ht="15" hidden="false" customHeight="false" outlineLevel="0" collapsed="false">
      <c r="A86" s="24"/>
      <c r="B86" s="28"/>
      <c r="C86" s="22"/>
      <c r="D86" s="22"/>
      <c r="E86" s="28"/>
      <c r="F86" s="10" t="str">
        <f aca="false">IF(B86="","",SUMIFS($D$5:D86,$B$5:B86,B86))</f>
        <v/>
      </c>
      <c r="G86" s="10" t="str">
        <f aca="false">IF(B86="","",IF(F86&gt;=3,"FLAG",""))</f>
        <v/>
      </c>
    </row>
    <row r="87" customFormat="false" ht="15" hidden="false" customHeight="false" outlineLevel="0" collapsed="false">
      <c r="A87" s="24"/>
      <c r="B87" s="28"/>
      <c r="C87" s="22"/>
      <c r="D87" s="22"/>
      <c r="E87" s="28"/>
      <c r="F87" s="10" t="str">
        <f aca="false">IF(B87="","",SUMIFS($D$5:D87,$B$5:B87,B87))</f>
        <v/>
      </c>
      <c r="G87" s="10" t="str">
        <f aca="false">IF(B87="","",IF(F87&gt;=3,"FLAG",""))</f>
        <v/>
      </c>
    </row>
    <row r="88" customFormat="false" ht="15" hidden="false" customHeight="false" outlineLevel="0" collapsed="false">
      <c r="A88" s="24"/>
      <c r="B88" s="28"/>
      <c r="C88" s="22"/>
      <c r="D88" s="22"/>
      <c r="E88" s="28"/>
      <c r="F88" s="10" t="str">
        <f aca="false">IF(B88="","",SUMIFS($D$5:D88,$B$5:B88,B88))</f>
        <v/>
      </c>
      <c r="G88" s="10" t="str">
        <f aca="false">IF(B88="","",IF(F88&gt;=3,"FLAG",""))</f>
        <v/>
      </c>
    </row>
    <row r="89" customFormat="false" ht="15" hidden="false" customHeight="false" outlineLevel="0" collapsed="false">
      <c r="A89" s="24"/>
      <c r="B89" s="28"/>
      <c r="C89" s="22"/>
      <c r="D89" s="22"/>
      <c r="E89" s="28"/>
      <c r="F89" s="10" t="str">
        <f aca="false">IF(B89="","",SUMIFS($D$5:D89,$B$5:B89,B89))</f>
        <v/>
      </c>
      <c r="G89" s="10" t="str">
        <f aca="false">IF(B89="","",IF(F89&gt;=3,"FLAG",""))</f>
        <v/>
      </c>
    </row>
    <row r="90" customFormat="false" ht="15" hidden="false" customHeight="false" outlineLevel="0" collapsed="false">
      <c r="A90" s="24"/>
      <c r="B90" s="28"/>
      <c r="C90" s="22"/>
      <c r="D90" s="22"/>
      <c r="E90" s="28"/>
      <c r="F90" s="10" t="str">
        <f aca="false">IF(B90="","",SUMIFS($D$5:D90,$B$5:B90,B90))</f>
        <v/>
      </c>
      <c r="G90" s="10" t="str">
        <f aca="false">IF(B90="","",IF(F90&gt;=3,"FLAG",""))</f>
        <v/>
      </c>
    </row>
    <row r="91" customFormat="false" ht="15" hidden="false" customHeight="false" outlineLevel="0" collapsed="false">
      <c r="A91" s="24"/>
      <c r="B91" s="28"/>
      <c r="C91" s="22"/>
      <c r="D91" s="22"/>
      <c r="E91" s="28"/>
      <c r="F91" s="10" t="str">
        <f aca="false">IF(B91="","",SUMIFS($D$5:D91,$B$5:B91,B91))</f>
        <v/>
      </c>
      <c r="G91" s="10" t="str">
        <f aca="false">IF(B91="","",IF(F91&gt;=3,"FLAG",""))</f>
        <v/>
      </c>
    </row>
    <row r="92" customFormat="false" ht="15" hidden="false" customHeight="false" outlineLevel="0" collapsed="false">
      <c r="A92" s="24"/>
      <c r="B92" s="28"/>
      <c r="C92" s="22"/>
      <c r="D92" s="22"/>
      <c r="E92" s="28"/>
      <c r="F92" s="10" t="str">
        <f aca="false">IF(B92="","",SUMIFS($D$5:D92,$B$5:B92,B92))</f>
        <v/>
      </c>
      <c r="G92" s="10" t="str">
        <f aca="false">IF(B92="","",IF(F92&gt;=3,"FLAG",""))</f>
        <v/>
      </c>
    </row>
    <row r="93" customFormat="false" ht="15" hidden="false" customHeight="false" outlineLevel="0" collapsed="false">
      <c r="A93" s="24"/>
      <c r="B93" s="28"/>
      <c r="C93" s="22"/>
      <c r="D93" s="22"/>
      <c r="E93" s="28"/>
      <c r="F93" s="10" t="str">
        <f aca="false">IF(B93="","",SUMIFS($D$5:D93,$B$5:B93,B93))</f>
        <v/>
      </c>
      <c r="G93" s="10" t="str">
        <f aca="false">IF(B93="","",IF(F93&gt;=3,"FLAG",""))</f>
        <v/>
      </c>
    </row>
    <row r="94" customFormat="false" ht="15" hidden="false" customHeight="false" outlineLevel="0" collapsed="false">
      <c r="A94" s="24"/>
      <c r="B94" s="28"/>
      <c r="C94" s="22"/>
      <c r="D94" s="22"/>
      <c r="E94" s="28"/>
      <c r="F94" s="10" t="str">
        <f aca="false">IF(B94="","",SUMIFS($D$5:D94,$B$5:B94,B94))</f>
        <v/>
      </c>
      <c r="G94" s="10" t="str">
        <f aca="false">IF(B94="","",IF(F94&gt;=3,"FLAG",""))</f>
        <v/>
      </c>
    </row>
    <row r="95" customFormat="false" ht="15" hidden="false" customHeight="false" outlineLevel="0" collapsed="false">
      <c r="A95" s="24"/>
      <c r="B95" s="28"/>
      <c r="C95" s="22"/>
      <c r="D95" s="22"/>
      <c r="E95" s="28"/>
      <c r="F95" s="10" t="str">
        <f aca="false">IF(B95="","",SUMIFS($D$5:D95,$B$5:B95,B95))</f>
        <v/>
      </c>
      <c r="G95" s="10" t="str">
        <f aca="false">IF(B95="","",IF(F95&gt;=3,"FLAG",""))</f>
        <v/>
      </c>
    </row>
    <row r="96" customFormat="false" ht="15" hidden="false" customHeight="false" outlineLevel="0" collapsed="false">
      <c r="A96" s="24"/>
      <c r="B96" s="28"/>
      <c r="C96" s="22"/>
      <c r="D96" s="22"/>
      <c r="E96" s="28"/>
      <c r="F96" s="10" t="str">
        <f aca="false">IF(B96="","",SUMIFS($D$5:D96,$B$5:B96,B96))</f>
        <v/>
      </c>
      <c r="G96" s="10" t="str">
        <f aca="false">IF(B96="","",IF(F96&gt;=3,"FLAG",""))</f>
        <v/>
      </c>
    </row>
    <row r="97" customFormat="false" ht="15" hidden="false" customHeight="false" outlineLevel="0" collapsed="false">
      <c r="A97" s="24"/>
      <c r="B97" s="28"/>
      <c r="C97" s="22"/>
      <c r="D97" s="22"/>
      <c r="E97" s="28"/>
      <c r="F97" s="10" t="str">
        <f aca="false">IF(B97="","",SUMIFS($D$5:D97,$B$5:B97,B97))</f>
        <v/>
      </c>
      <c r="G97" s="10" t="str">
        <f aca="false">IF(B97="","",IF(F97&gt;=3,"FLAG",""))</f>
        <v/>
      </c>
    </row>
    <row r="98" customFormat="false" ht="15" hidden="false" customHeight="false" outlineLevel="0" collapsed="false">
      <c r="A98" s="24"/>
      <c r="B98" s="28"/>
      <c r="C98" s="22"/>
      <c r="D98" s="22"/>
      <c r="E98" s="28"/>
      <c r="F98" s="10" t="str">
        <f aca="false">IF(B98="","",SUMIFS($D$5:D98,$B$5:B98,B98))</f>
        <v/>
      </c>
      <c r="G98" s="10" t="str">
        <f aca="false">IF(B98="","",IF(F98&gt;=3,"FLAG",""))</f>
        <v/>
      </c>
    </row>
    <row r="99" customFormat="false" ht="15" hidden="false" customHeight="false" outlineLevel="0" collapsed="false">
      <c r="A99" s="24"/>
      <c r="B99" s="28"/>
      <c r="C99" s="22"/>
      <c r="D99" s="22"/>
      <c r="E99" s="28"/>
      <c r="F99" s="10" t="str">
        <f aca="false">IF(B99="","",SUMIFS($D$5:D99,$B$5:B99,B99))</f>
        <v/>
      </c>
      <c r="G99" s="10" t="str">
        <f aca="false">IF(B99="","",IF(F99&gt;=3,"FLAG",""))</f>
        <v/>
      </c>
    </row>
    <row r="100" customFormat="false" ht="15" hidden="false" customHeight="false" outlineLevel="0" collapsed="false">
      <c r="A100" s="24"/>
      <c r="B100" s="28"/>
      <c r="C100" s="22"/>
      <c r="D100" s="22"/>
      <c r="E100" s="28"/>
      <c r="F100" s="10" t="str">
        <f aca="false">IF(B100="","",SUMIFS($D$5:D100,$B$5:B100,B100))</f>
        <v/>
      </c>
      <c r="G100" s="10" t="str">
        <f aca="false">IF(B100="","",IF(F100&gt;=3,"FLAG",""))</f>
        <v/>
      </c>
    </row>
    <row r="101" customFormat="false" ht="15" hidden="false" customHeight="false" outlineLevel="0" collapsed="false">
      <c r="A101" s="24"/>
      <c r="B101" s="28"/>
      <c r="C101" s="22"/>
      <c r="D101" s="22"/>
      <c r="E101" s="28"/>
      <c r="F101" s="10" t="str">
        <f aca="false">IF(B101="","",SUMIFS($D$5:D101,$B$5:B101,B101))</f>
        <v/>
      </c>
      <c r="G101" s="10" t="str">
        <f aca="false">IF(B101="","",IF(F101&gt;=3,"FLAG",""))</f>
        <v/>
      </c>
    </row>
    <row r="102" customFormat="false" ht="15" hidden="false" customHeight="false" outlineLevel="0" collapsed="false">
      <c r="A102" s="24"/>
      <c r="B102" s="28"/>
      <c r="C102" s="22"/>
      <c r="D102" s="22"/>
      <c r="E102" s="28"/>
      <c r="F102" s="10" t="str">
        <f aca="false">IF(B102="","",SUMIFS($D$5:D102,$B$5:B102,B102))</f>
        <v/>
      </c>
      <c r="G102" s="10" t="str">
        <f aca="false">IF(B102="","",IF(F102&gt;=3,"FLAG",""))</f>
        <v/>
      </c>
    </row>
    <row r="103" customFormat="false" ht="15" hidden="false" customHeight="false" outlineLevel="0" collapsed="false">
      <c r="A103" s="24"/>
      <c r="B103" s="28"/>
      <c r="C103" s="22"/>
      <c r="D103" s="22"/>
      <c r="E103" s="28"/>
      <c r="F103" s="10" t="str">
        <f aca="false">IF(B103="","",SUMIFS($D$5:D103,$B$5:B103,B103))</f>
        <v/>
      </c>
      <c r="G103" s="10" t="str">
        <f aca="false">IF(B103="","",IF(F103&gt;=3,"FLAG",""))</f>
        <v/>
      </c>
    </row>
    <row r="104" customFormat="false" ht="15" hidden="false" customHeight="false" outlineLevel="0" collapsed="false">
      <c r="A104" s="24"/>
      <c r="B104" s="28"/>
      <c r="C104" s="22"/>
      <c r="D104" s="22"/>
      <c r="E104" s="28"/>
      <c r="F104" s="10" t="str">
        <f aca="false">IF(B104="","",SUMIFS($D$5:D104,$B$5:B104,B104))</f>
        <v/>
      </c>
      <c r="G104" s="10" t="str">
        <f aca="false">IF(B104="","",IF(F104&gt;=3,"FLAG",""))</f>
        <v/>
      </c>
    </row>
    <row r="105" customFormat="false" ht="15" hidden="false" customHeight="false" outlineLevel="0" collapsed="false">
      <c r="A105" s="24"/>
      <c r="B105" s="28"/>
      <c r="C105" s="22"/>
      <c r="D105" s="22"/>
      <c r="E105" s="28"/>
      <c r="F105" s="10" t="str">
        <f aca="false">IF(B105="","",SUMIFS($D$5:D105,$B$5:B105,B105))</f>
        <v/>
      </c>
      <c r="G105" s="10" t="str">
        <f aca="false">IF(B105="","",IF(F105&gt;=3,"FLAG",""))</f>
        <v/>
      </c>
    </row>
    <row r="106" customFormat="false" ht="15" hidden="false" customHeight="false" outlineLevel="0" collapsed="false">
      <c r="A106" s="24"/>
      <c r="B106" s="28"/>
      <c r="C106" s="22"/>
      <c r="D106" s="22"/>
      <c r="E106" s="28"/>
      <c r="F106" s="10" t="str">
        <f aca="false">IF(B106="","",SUMIFS($D$5:D106,$B$5:B106,B106))</f>
        <v/>
      </c>
      <c r="G106" s="10" t="str">
        <f aca="false">IF(B106="","",IF(F106&gt;=3,"FLAG",""))</f>
        <v/>
      </c>
    </row>
    <row r="107" customFormat="false" ht="15" hidden="false" customHeight="false" outlineLevel="0" collapsed="false">
      <c r="A107" s="24"/>
      <c r="B107" s="28"/>
      <c r="C107" s="22"/>
      <c r="D107" s="22"/>
      <c r="E107" s="28"/>
      <c r="F107" s="10" t="str">
        <f aca="false">IF(B107="","",SUMIFS($D$5:D107,$B$5:B107,B107))</f>
        <v/>
      </c>
      <c r="G107" s="10" t="str">
        <f aca="false">IF(B107="","",IF(F107&gt;=3,"FLAG",""))</f>
        <v/>
      </c>
    </row>
    <row r="108" customFormat="false" ht="15" hidden="false" customHeight="false" outlineLevel="0" collapsed="false">
      <c r="A108" s="24"/>
      <c r="B108" s="28"/>
      <c r="C108" s="22"/>
      <c r="D108" s="22"/>
      <c r="E108" s="28"/>
      <c r="F108" s="10" t="str">
        <f aca="false">IF(B108="","",SUMIFS($D$5:D108,$B$5:B108,B108))</f>
        <v/>
      </c>
      <c r="G108" s="10" t="str">
        <f aca="false">IF(B108="","",IF(F108&gt;=3,"FLAG",""))</f>
        <v/>
      </c>
    </row>
    <row r="109" customFormat="false" ht="15" hidden="false" customHeight="false" outlineLevel="0" collapsed="false">
      <c r="A109" s="24"/>
      <c r="B109" s="28"/>
      <c r="C109" s="22"/>
      <c r="D109" s="22"/>
      <c r="E109" s="28"/>
      <c r="F109" s="10" t="str">
        <f aca="false">IF(B109="","",SUMIFS($D$5:D109,$B$5:B109,B109))</f>
        <v/>
      </c>
      <c r="G109" s="10" t="str">
        <f aca="false">IF(B109="","",IF(F109&gt;=3,"FLAG",""))</f>
        <v/>
      </c>
    </row>
    <row r="110" customFormat="false" ht="15" hidden="false" customHeight="false" outlineLevel="0" collapsed="false">
      <c r="A110" s="24"/>
      <c r="B110" s="28"/>
      <c r="C110" s="22"/>
      <c r="D110" s="22"/>
      <c r="E110" s="28"/>
      <c r="F110" s="10" t="str">
        <f aca="false">IF(B110="","",SUMIFS($D$5:D110,$B$5:B110,B110))</f>
        <v/>
      </c>
      <c r="G110" s="10" t="str">
        <f aca="false">IF(B110="","",IF(F110&gt;=3,"FLAG",""))</f>
        <v/>
      </c>
    </row>
    <row r="111" customFormat="false" ht="15" hidden="false" customHeight="false" outlineLevel="0" collapsed="false">
      <c r="A111" s="24"/>
      <c r="B111" s="28"/>
      <c r="C111" s="22"/>
      <c r="D111" s="22"/>
      <c r="E111" s="28"/>
      <c r="F111" s="10" t="str">
        <f aca="false">IF(B111="","",SUMIFS($D$5:D111,$B$5:B111,B111))</f>
        <v/>
      </c>
      <c r="G111" s="10" t="str">
        <f aca="false">IF(B111="","",IF(F111&gt;=3,"FLAG",""))</f>
        <v/>
      </c>
    </row>
    <row r="112" customFormat="false" ht="15" hidden="false" customHeight="false" outlineLevel="0" collapsed="false">
      <c r="A112" s="24"/>
      <c r="B112" s="28"/>
      <c r="C112" s="22"/>
      <c r="D112" s="22"/>
      <c r="E112" s="28"/>
      <c r="F112" s="10" t="str">
        <f aca="false">IF(B112="","",SUMIFS($D$5:D112,$B$5:B112,B112))</f>
        <v/>
      </c>
      <c r="G112" s="10" t="str">
        <f aca="false">IF(B112="","",IF(F112&gt;=3,"FLAG",""))</f>
        <v/>
      </c>
    </row>
    <row r="113" customFormat="false" ht="15" hidden="false" customHeight="false" outlineLevel="0" collapsed="false">
      <c r="A113" s="24"/>
      <c r="B113" s="28"/>
      <c r="C113" s="22"/>
      <c r="D113" s="22"/>
      <c r="E113" s="28"/>
      <c r="F113" s="10" t="str">
        <f aca="false">IF(B113="","",SUMIFS($D$5:D113,$B$5:B113,B113))</f>
        <v/>
      </c>
      <c r="G113" s="10" t="str">
        <f aca="false">IF(B113="","",IF(F113&gt;=3,"FLAG",""))</f>
        <v/>
      </c>
    </row>
    <row r="114" customFormat="false" ht="15" hidden="false" customHeight="false" outlineLevel="0" collapsed="false">
      <c r="A114" s="24"/>
      <c r="B114" s="28"/>
      <c r="C114" s="22"/>
      <c r="D114" s="22"/>
      <c r="E114" s="28"/>
      <c r="F114" s="10" t="str">
        <f aca="false">IF(B114="","",SUMIFS($D$5:D114,$B$5:B114,B114))</f>
        <v/>
      </c>
      <c r="G114" s="10" t="str">
        <f aca="false">IF(B114="","",IF(F114&gt;=3,"FLAG",""))</f>
        <v/>
      </c>
    </row>
    <row r="115" customFormat="false" ht="15" hidden="false" customHeight="false" outlineLevel="0" collapsed="false">
      <c r="A115" s="24"/>
      <c r="B115" s="28"/>
      <c r="C115" s="22"/>
      <c r="D115" s="22"/>
      <c r="E115" s="28"/>
      <c r="F115" s="10" t="str">
        <f aca="false">IF(B115="","",SUMIFS($D$5:D115,$B$5:B115,B115))</f>
        <v/>
      </c>
      <c r="G115" s="10" t="str">
        <f aca="false">IF(B115="","",IF(F115&gt;=3,"FLAG",""))</f>
        <v/>
      </c>
    </row>
    <row r="116" customFormat="false" ht="15" hidden="false" customHeight="false" outlineLevel="0" collapsed="false">
      <c r="A116" s="24"/>
      <c r="B116" s="28"/>
      <c r="C116" s="22"/>
      <c r="D116" s="22"/>
      <c r="E116" s="28"/>
      <c r="F116" s="10" t="str">
        <f aca="false">IF(B116="","",SUMIFS($D$5:D116,$B$5:B116,B116))</f>
        <v/>
      </c>
      <c r="G116" s="10" t="str">
        <f aca="false">IF(B116="","",IF(F116&gt;=3,"FLAG",""))</f>
        <v/>
      </c>
    </row>
    <row r="117" customFormat="false" ht="15" hidden="false" customHeight="false" outlineLevel="0" collapsed="false">
      <c r="A117" s="24"/>
      <c r="B117" s="28"/>
      <c r="C117" s="22"/>
      <c r="D117" s="22"/>
      <c r="E117" s="28"/>
      <c r="F117" s="10" t="str">
        <f aca="false">IF(B117="","",SUMIFS($D$5:D117,$B$5:B117,B117))</f>
        <v/>
      </c>
      <c r="G117" s="10" t="str">
        <f aca="false">IF(B117="","",IF(F117&gt;=3,"FLAG",""))</f>
        <v/>
      </c>
    </row>
    <row r="118" customFormat="false" ht="15" hidden="false" customHeight="false" outlineLevel="0" collapsed="false">
      <c r="A118" s="24"/>
      <c r="B118" s="28"/>
      <c r="C118" s="22"/>
      <c r="D118" s="22"/>
      <c r="E118" s="28"/>
      <c r="F118" s="10" t="str">
        <f aca="false">IF(B118="","",SUMIFS($D$5:D118,$B$5:B118,B118))</f>
        <v/>
      </c>
      <c r="G118" s="10" t="str">
        <f aca="false">IF(B118="","",IF(F118&gt;=3,"FLAG",""))</f>
        <v/>
      </c>
    </row>
    <row r="119" customFormat="false" ht="15" hidden="false" customHeight="false" outlineLevel="0" collapsed="false">
      <c r="A119" s="24"/>
      <c r="B119" s="28"/>
      <c r="C119" s="22"/>
      <c r="D119" s="22"/>
      <c r="E119" s="28"/>
      <c r="F119" s="10" t="str">
        <f aca="false">IF(B119="","",SUMIFS($D$5:D119,$B$5:B119,B119))</f>
        <v/>
      </c>
      <c r="G119" s="10" t="str">
        <f aca="false">IF(B119="","",IF(F119&gt;=3,"FLAG",""))</f>
        <v/>
      </c>
    </row>
    <row r="120" customFormat="false" ht="15" hidden="false" customHeight="false" outlineLevel="0" collapsed="false">
      <c r="A120" s="24"/>
      <c r="B120" s="28"/>
      <c r="C120" s="22"/>
      <c r="D120" s="22"/>
      <c r="E120" s="28"/>
      <c r="F120" s="10" t="str">
        <f aca="false">IF(B120="","",SUMIFS($D$5:D120,$B$5:B120,B120))</f>
        <v/>
      </c>
      <c r="G120" s="10" t="str">
        <f aca="false">IF(B120="","",IF(F120&gt;=3,"FLAG",""))</f>
        <v/>
      </c>
    </row>
    <row r="121" customFormat="false" ht="15" hidden="false" customHeight="false" outlineLevel="0" collapsed="false">
      <c r="A121" s="24"/>
      <c r="B121" s="28"/>
      <c r="C121" s="22"/>
      <c r="D121" s="22"/>
      <c r="E121" s="28"/>
      <c r="F121" s="10" t="str">
        <f aca="false">IF(B121="","",SUMIFS($D$5:D121,$B$5:B121,B121))</f>
        <v/>
      </c>
      <c r="G121" s="10" t="str">
        <f aca="false">IF(B121="","",IF(F121&gt;=3,"FLAG",""))</f>
        <v/>
      </c>
    </row>
    <row r="122" customFormat="false" ht="15" hidden="false" customHeight="false" outlineLevel="0" collapsed="false">
      <c r="A122" s="24"/>
      <c r="B122" s="28"/>
      <c r="C122" s="22"/>
      <c r="D122" s="22"/>
      <c r="E122" s="28"/>
      <c r="F122" s="10" t="str">
        <f aca="false">IF(B122="","",SUMIFS($D$5:D122,$B$5:B122,B122))</f>
        <v/>
      </c>
      <c r="G122" s="10" t="str">
        <f aca="false">IF(B122="","",IF(F122&gt;=3,"FLAG",""))</f>
        <v/>
      </c>
    </row>
    <row r="123" customFormat="false" ht="15" hidden="false" customHeight="false" outlineLevel="0" collapsed="false">
      <c r="A123" s="24"/>
      <c r="B123" s="28"/>
      <c r="C123" s="22"/>
      <c r="D123" s="22"/>
      <c r="E123" s="28"/>
      <c r="F123" s="10" t="str">
        <f aca="false">IF(B123="","",SUMIFS($D$5:D123,$B$5:B123,B123))</f>
        <v/>
      </c>
      <c r="G123" s="10" t="str">
        <f aca="false">IF(B123="","",IF(F123&gt;=3,"FLAG",""))</f>
        <v/>
      </c>
    </row>
    <row r="124" customFormat="false" ht="15" hidden="false" customHeight="false" outlineLevel="0" collapsed="false">
      <c r="A124" s="24"/>
      <c r="B124" s="28"/>
      <c r="C124" s="22"/>
      <c r="D124" s="22"/>
      <c r="E124" s="28"/>
      <c r="F124" s="10" t="str">
        <f aca="false">IF(B124="","",SUMIFS($D$5:D124,$B$5:B124,B124))</f>
        <v/>
      </c>
      <c r="G124" s="10" t="str">
        <f aca="false">IF(B124="","",IF(F124&gt;=3,"FLAG",""))</f>
        <v/>
      </c>
    </row>
    <row r="125" customFormat="false" ht="15" hidden="false" customHeight="false" outlineLevel="0" collapsed="false">
      <c r="A125" s="24"/>
      <c r="B125" s="28"/>
      <c r="C125" s="22"/>
      <c r="D125" s="22"/>
      <c r="E125" s="28"/>
      <c r="F125" s="10" t="str">
        <f aca="false">IF(B125="","",SUMIFS($D$5:D125,$B$5:B125,B125))</f>
        <v/>
      </c>
      <c r="G125" s="10" t="str">
        <f aca="false">IF(B125="","",IF(F125&gt;=3,"FLAG",""))</f>
        <v/>
      </c>
    </row>
    <row r="126" customFormat="false" ht="15" hidden="false" customHeight="false" outlineLevel="0" collapsed="false">
      <c r="A126" s="24"/>
      <c r="B126" s="28"/>
      <c r="C126" s="22"/>
      <c r="D126" s="22"/>
      <c r="E126" s="28"/>
      <c r="F126" s="10" t="str">
        <f aca="false">IF(B126="","",SUMIFS($D$5:D126,$B$5:B126,B126))</f>
        <v/>
      </c>
      <c r="G126" s="10" t="str">
        <f aca="false">IF(B126="","",IF(F126&gt;=3,"FLAG",""))</f>
        <v/>
      </c>
    </row>
    <row r="127" customFormat="false" ht="15" hidden="false" customHeight="false" outlineLevel="0" collapsed="false">
      <c r="A127" s="24"/>
      <c r="B127" s="28"/>
      <c r="C127" s="22"/>
      <c r="D127" s="22"/>
      <c r="E127" s="28"/>
      <c r="F127" s="10" t="str">
        <f aca="false">IF(B127="","",SUMIFS($D$5:D127,$B$5:B127,B127))</f>
        <v/>
      </c>
      <c r="G127" s="10" t="str">
        <f aca="false">IF(B127="","",IF(F127&gt;=3,"FLAG",""))</f>
        <v/>
      </c>
    </row>
    <row r="128" customFormat="false" ht="15" hidden="false" customHeight="false" outlineLevel="0" collapsed="false">
      <c r="A128" s="24"/>
      <c r="B128" s="28"/>
      <c r="C128" s="22"/>
      <c r="D128" s="22"/>
      <c r="E128" s="28"/>
      <c r="F128" s="10" t="str">
        <f aca="false">IF(B128="","",SUMIFS($D$5:D128,$B$5:B128,B128))</f>
        <v/>
      </c>
      <c r="G128" s="10" t="str">
        <f aca="false">IF(B128="","",IF(F128&gt;=3,"FLAG",""))</f>
        <v/>
      </c>
    </row>
    <row r="129" customFormat="false" ht="15" hidden="false" customHeight="false" outlineLevel="0" collapsed="false">
      <c r="A129" s="24"/>
      <c r="B129" s="28"/>
      <c r="C129" s="22"/>
      <c r="D129" s="22"/>
      <c r="E129" s="28"/>
      <c r="F129" s="10" t="str">
        <f aca="false">IF(B129="","",SUMIFS($D$5:D129,$B$5:B129,B129))</f>
        <v/>
      </c>
      <c r="G129" s="10" t="str">
        <f aca="false">IF(B129="","",IF(F129&gt;=3,"FLAG",""))</f>
        <v/>
      </c>
    </row>
    <row r="130" customFormat="false" ht="15" hidden="false" customHeight="false" outlineLevel="0" collapsed="false">
      <c r="A130" s="24"/>
      <c r="B130" s="28"/>
      <c r="C130" s="22"/>
      <c r="D130" s="22"/>
      <c r="E130" s="28"/>
      <c r="F130" s="10" t="str">
        <f aca="false">IF(B130="","",SUMIFS($D$5:D130,$B$5:B130,B130))</f>
        <v/>
      </c>
      <c r="G130" s="10" t="str">
        <f aca="false">IF(B130="","",IF(F130&gt;=3,"FLAG",""))</f>
        <v/>
      </c>
    </row>
    <row r="131" customFormat="false" ht="15" hidden="false" customHeight="false" outlineLevel="0" collapsed="false">
      <c r="A131" s="24"/>
      <c r="B131" s="28"/>
      <c r="C131" s="22"/>
      <c r="D131" s="22"/>
      <c r="E131" s="28"/>
      <c r="F131" s="10" t="str">
        <f aca="false">IF(B131="","",SUMIFS($D$5:D131,$B$5:B131,B131))</f>
        <v/>
      </c>
      <c r="G131" s="10" t="str">
        <f aca="false">IF(B131="","",IF(F131&gt;=3,"FLAG",""))</f>
        <v/>
      </c>
    </row>
    <row r="132" customFormat="false" ht="15" hidden="false" customHeight="false" outlineLevel="0" collapsed="false">
      <c r="A132" s="24"/>
      <c r="B132" s="28"/>
      <c r="C132" s="22"/>
      <c r="D132" s="22"/>
      <c r="E132" s="28"/>
      <c r="F132" s="10" t="str">
        <f aca="false">IF(B132="","",SUMIFS($D$5:D132,$B$5:B132,B132))</f>
        <v/>
      </c>
      <c r="G132" s="10" t="str">
        <f aca="false">IF(B132="","",IF(F132&gt;=3,"FLAG",""))</f>
        <v/>
      </c>
    </row>
    <row r="133" customFormat="false" ht="15" hidden="false" customHeight="false" outlineLevel="0" collapsed="false">
      <c r="A133" s="24"/>
      <c r="B133" s="28"/>
      <c r="C133" s="22"/>
      <c r="D133" s="22"/>
      <c r="E133" s="28"/>
      <c r="F133" s="10" t="str">
        <f aca="false">IF(B133="","",SUMIFS($D$5:D133,$B$5:B133,B133))</f>
        <v/>
      </c>
      <c r="G133" s="10" t="str">
        <f aca="false">IF(B133="","",IF(F133&gt;=3,"FLAG",""))</f>
        <v/>
      </c>
    </row>
    <row r="134" customFormat="false" ht="15" hidden="false" customHeight="false" outlineLevel="0" collapsed="false">
      <c r="A134" s="24"/>
      <c r="B134" s="28"/>
      <c r="C134" s="22"/>
      <c r="D134" s="22"/>
      <c r="E134" s="28"/>
      <c r="F134" s="10" t="str">
        <f aca="false">IF(B134="","",SUMIFS($D$5:D134,$B$5:B134,B134))</f>
        <v/>
      </c>
      <c r="G134" s="10" t="str">
        <f aca="false">IF(B134="","",IF(F134&gt;=3,"FLAG",""))</f>
        <v/>
      </c>
    </row>
    <row r="135" customFormat="false" ht="15" hidden="false" customHeight="false" outlineLevel="0" collapsed="false">
      <c r="A135" s="24"/>
      <c r="B135" s="28"/>
      <c r="C135" s="22"/>
      <c r="D135" s="22"/>
      <c r="E135" s="28"/>
      <c r="F135" s="10" t="str">
        <f aca="false">IF(B135="","",SUMIFS($D$5:D135,$B$5:B135,B135))</f>
        <v/>
      </c>
      <c r="G135" s="10" t="str">
        <f aca="false">IF(B135="","",IF(F135&gt;=3,"FLAG",""))</f>
        <v/>
      </c>
    </row>
    <row r="136" customFormat="false" ht="15" hidden="false" customHeight="false" outlineLevel="0" collapsed="false">
      <c r="A136" s="24"/>
      <c r="B136" s="28"/>
      <c r="C136" s="22"/>
      <c r="D136" s="22"/>
      <c r="E136" s="28"/>
      <c r="F136" s="10" t="str">
        <f aca="false">IF(B136="","",SUMIFS($D$5:D136,$B$5:B136,B136))</f>
        <v/>
      </c>
      <c r="G136" s="10" t="str">
        <f aca="false">IF(B136="","",IF(F136&gt;=3,"FLAG",""))</f>
        <v/>
      </c>
    </row>
    <row r="137" customFormat="false" ht="15" hidden="false" customHeight="false" outlineLevel="0" collapsed="false">
      <c r="A137" s="24"/>
      <c r="B137" s="28"/>
      <c r="C137" s="22"/>
      <c r="D137" s="22"/>
      <c r="E137" s="28"/>
      <c r="F137" s="10" t="str">
        <f aca="false">IF(B137="","",SUMIFS($D$5:D137,$B$5:B137,B137))</f>
        <v/>
      </c>
      <c r="G137" s="10" t="str">
        <f aca="false">IF(B137="","",IF(F137&gt;=3,"FLAG",""))</f>
        <v/>
      </c>
    </row>
    <row r="138" customFormat="false" ht="15" hidden="false" customHeight="false" outlineLevel="0" collapsed="false">
      <c r="A138" s="24"/>
      <c r="B138" s="28"/>
      <c r="C138" s="22"/>
      <c r="D138" s="22"/>
      <c r="E138" s="28"/>
      <c r="F138" s="10" t="str">
        <f aca="false">IF(B138="","",SUMIFS($D$5:D138,$B$5:B138,B138))</f>
        <v/>
      </c>
      <c r="G138" s="10" t="str">
        <f aca="false">IF(B138="","",IF(F138&gt;=3,"FLAG",""))</f>
        <v/>
      </c>
    </row>
    <row r="139" customFormat="false" ht="15" hidden="false" customHeight="false" outlineLevel="0" collapsed="false">
      <c r="A139" s="24"/>
      <c r="B139" s="28"/>
      <c r="C139" s="22"/>
      <c r="D139" s="22"/>
      <c r="E139" s="28"/>
      <c r="F139" s="10" t="str">
        <f aca="false">IF(B139="","",SUMIFS($D$5:D139,$B$5:B139,B139))</f>
        <v/>
      </c>
      <c r="G139" s="10" t="str">
        <f aca="false">IF(B139="","",IF(F139&gt;=3,"FLAG",""))</f>
        <v/>
      </c>
    </row>
    <row r="140" customFormat="false" ht="15" hidden="false" customHeight="false" outlineLevel="0" collapsed="false">
      <c r="A140" s="24"/>
      <c r="B140" s="28"/>
      <c r="C140" s="22"/>
      <c r="D140" s="22"/>
      <c r="E140" s="28"/>
      <c r="F140" s="10" t="str">
        <f aca="false">IF(B140="","",SUMIFS($D$5:D140,$B$5:B140,B140))</f>
        <v/>
      </c>
      <c r="G140" s="10" t="str">
        <f aca="false">IF(B140="","",IF(F140&gt;=3,"FLAG",""))</f>
        <v/>
      </c>
    </row>
    <row r="141" customFormat="false" ht="15" hidden="false" customHeight="false" outlineLevel="0" collapsed="false">
      <c r="A141" s="24"/>
      <c r="B141" s="28"/>
      <c r="C141" s="22"/>
      <c r="D141" s="22"/>
      <c r="E141" s="28"/>
      <c r="F141" s="10" t="str">
        <f aca="false">IF(B141="","",SUMIFS($D$5:D141,$B$5:B141,B141))</f>
        <v/>
      </c>
      <c r="G141" s="10" t="str">
        <f aca="false">IF(B141="","",IF(F141&gt;=3,"FLAG",""))</f>
        <v/>
      </c>
    </row>
    <row r="142" customFormat="false" ht="15" hidden="false" customHeight="false" outlineLevel="0" collapsed="false">
      <c r="A142" s="24"/>
      <c r="B142" s="28"/>
      <c r="C142" s="22"/>
      <c r="D142" s="22"/>
      <c r="E142" s="28"/>
      <c r="F142" s="10" t="str">
        <f aca="false">IF(B142="","",SUMIFS($D$5:D142,$B$5:B142,B142))</f>
        <v/>
      </c>
      <c r="G142" s="10" t="str">
        <f aca="false">IF(B142="","",IF(F142&gt;=3,"FLAG",""))</f>
        <v/>
      </c>
    </row>
    <row r="143" customFormat="false" ht="15" hidden="false" customHeight="false" outlineLevel="0" collapsed="false">
      <c r="A143" s="24"/>
      <c r="B143" s="28"/>
      <c r="C143" s="22"/>
      <c r="D143" s="22"/>
      <c r="E143" s="28"/>
      <c r="F143" s="10" t="str">
        <f aca="false">IF(B143="","",SUMIFS($D$5:D143,$B$5:B143,B143))</f>
        <v/>
      </c>
      <c r="G143" s="10" t="str">
        <f aca="false">IF(B143="","",IF(F143&gt;=3,"FLAG",""))</f>
        <v/>
      </c>
    </row>
    <row r="144" customFormat="false" ht="15" hidden="false" customHeight="false" outlineLevel="0" collapsed="false">
      <c r="A144" s="24"/>
      <c r="B144" s="28"/>
      <c r="C144" s="22"/>
      <c r="D144" s="22"/>
      <c r="E144" s="28"/>
      <c r="F144" s="10" t="str">
        <f aca="false">IF(B144="","",SUMIFS($D$5:D144,$B$5:B144,B144))</f>
        <v/>
      </c>
      <c r="G144" s="10" t="str">
        <f aca="false">IF(B144="","",IF(F144&gt;=3,"FLAG",""))</f>
        <v/>
      </c>
    </row>
    <row r="145" customFormat="false" ht="15" hidden="false" customHeight="false" outlineLevel="0" collapsed="false">
      <c r="A145" s="24"/>
      <c r="B145" s="28"/>
      <c r="C145" s="22"/>
      <c r="D145" s="22"/>
      <c r="E145" s="28"/>
      <c r="F145" s="10" t="str">
        <f aca="false">IF(B145="","",SUMIFS($D$5:D145,$B$5:B145,B145))</f>
        <v/>
      </c>
      <c r="G145" s="10" t="str">
        <f aca="false">IF(B145="","",IF(F145&gt;=3,"FLAG",""))</f>
        <v/>
      </c>
    </row>
    <row r="146" customFormat="false" ht="15" hidden="false" customHeight="false" outlineLevel="0" collapsed="false">
      <c r="A146" s="24"/>
      <c r="B146" s="28"/>
      <c r="C146" s="22"/>
      <c r="D146" s="22"/>
      <c r="E146" s="28"/>
      <c r="F146" s="10" t="str">
        <f aca="false">IF(B146="","",SUMIFS($D$5:D146,$B$5:B146,B146))</f>
        <v/>
      </c>
      <c r="G146" s="10" t="str">
        <f aca="false">IF(B146="","",IF(F146&gt;=3,"FLAG",""))</f>
        <v/>
      </c>
    </row>
    <row r="147" customFormat="false" ht="15" hidden="false" customHeight="false" outlineLevel="0" collapsed="false">
      <c r="A147" s="24"/>
      <c r="B147" s="28"/>
      <c r="C147" s="22"/>
      <c r="D147" s="22"/>
      <c r="E147" s="28"/>
      <c r="F147" s="10" t="str">
        <f aca="false">IF(B147="","",SUMIFS($D$5:D147,$B$5:B147,B147))</f>
        <v/>
      </c>
      <c r="G147" s="10" t="str">
        <f aca="false">IF(B147="","",IF(F147&gt;=3,"FLAG",""))</f>
        <v/>
      </c>
    </row>
    <row r="148" customFormat="false" ht="15" hidden="false" customHeight="false" outlineLevel="0" collapsed="false">
      <c r="A148" s="24"/>
      <c r="B148" s="28"/>
      <c r="C148" s="22"/>
      <c r="D148" s="22"/>
      <c r="E148" s="28"/>
      <c r="F148" s="10" t="str">
        <f aca="false">IF(B148="","",SUMIFS($D$5:D148,$B$5:B148,B148))</f>
        <v/>
      </c>
      <c r="G148" s="10" t="str">
        <f aca="false">IF(B148="","",IF(F148&gt;=3,"FLAG",""))</f>
        <v/>
      </c>
    </row>
    <row r="149" customFormat="false" ht="15" hidden="false" customHeight="false" outlineLevel="0" collapsed="false">
      <c r="A149" s="24"/>
      <c r="B149" s="28"/>
      <c r="C149" s="22"/>
      <c r="D149" s="22"/>
      <c r="E149" s="28"/>
      <c r="F149" s="10" t="str">
        <f aca="false">IF(B149="","",SUMIFS($D$5:D149,$B$5:B149,B149))</f>
        <v/>
      </c>
      <c r="G149" s="10" t="str">
        <f aca="false">IF(B149="","",IF(F149&gt;=3,"FLAG",""))</f>
        <v/>
      </c>
    </row>
    <row r="150" customFormat="false" ht="15" hidden="false" customHeight="false" outlineLevel="0" collapsed="false">
      <c r="A150" s="24"/>
      <c r="B150" s="28"/>
      <c r="C150" s="22"/>
      <c r="D150" s="22"/>
      <c r="E150" s="28"/>
      <c r="F150" s="10" t="str">
        <f aca="false">IF(B150="","",SUMIFS($D$5:D150,$B$5:B150,B150))</f>
        <v/>
      </c>
      <c r="G150" s="10" t="str">
        <f aca="false">IF(B150="","",IF(F150&gt;=3,"FLAG",""))</f>
        <v/>
      </c>
    </row>
    <row r="151" customFormat="false" ht="15" hidden="false" customHeight="false" outlineLevel="0" collapsed="false">
      <c r="A151" s="24"/>
      <c r="B151" s="28"/>
      <c r="C151" s="22"/>
      <c r="D151" s="22"/>
      <c r="E151" s="28"/>
      <c r="F151" s="10" t="str">
        <f aca="false">IF(B151="","",SUMIFS($D$5:D151,$B$5:B151,B151))</f>
        <v/>
      </c>
      <c r="G151" s="10" t="str">
        <f aca="false">IF(B151="","",IF(F151&gt;=3,"FLAG",""))</f>
        <v/>
      </c>
    </row>
    <row r="152" customFormat="false" ht="15" hidden="false" customHeight="false" outlineLevel="0" collapsed="false">
      <c r="A152" s="24"/>
      <c r="B152" s="28"/>
      <c r="C152" s="22"/>
      <c r="D152" s="22"/>
      <c r="E152" s="28"/>
      <c r="F152" s="10" t="str">
        <f aca="false">IF(B152="","",SUMIFS($D$5:D152,$B$5:B152,B152))</f>
        <v/>
      </c>
      <c r="G152" s="10" t="str">
        <f aca="false">IF(B152="","",IF(F152&gt;=3,"FLAG",""))</f>
        <v/>
      </c>
    </row>
    <row r="153" customFormat="false" ht="15" hidden="false" customHeight="false" outlineLevel="0" collapsed="false">
      <c r="A153" s="24"/>
      <c r="B153" s="28"/>
      <c r="C153" s="22"/>
      <c r="D153" s="22"/>
      <c r="E153" s="28"/>
      <c r="F153" s="10" t="str">
        <f aca="false">IF(B153="","",SUMIFS($D$5:D153,$B$5:B153,B153))</f>
        <v/>
      </c>
      <c r="G153" s="10" t="str">
        <f aca="false">IF(B153="","",IF(F153&gt;=3,"FLAG",""))</f>
        <v/>
      </c>
    </row>
    <row r="154" customFormat="false" ht="15" hidden="false" customHeight="false" outlineLevel="0" collapsed="false">
      <c r="A154" s="24"/>
      <c r="B154" s="28"/>
      <c r="C154" s="22"/>
      <c r="D154" s="22"/>
      <c r="E154" s="28"/>
      <c r="F154" s="10" t="str">
        <f aca="false">IF(B154="","",SUMIFS($D$5:D154,$B$5:B154,B154))</f>
        <v/>
      </c>
      <c r="G154" s="10" t="str">
        <f aca="false">IF(B154="","",IF(F154&gt;=3,"FLAG",""))</f>
        <v/>
      </c>
    </row>
    <row r="155" customFormat="false" ht="15" hidden="false" customHeight="false" outlineLevel="0" collapsed="false">
      <c r="A155" s="24"/>
      <c r="B155" s="28"/>
      <c r="C155" s="22"/>
      <c r="D155" s="22"/>
      <c r="E155" s="28"/>
      <c r="F155" s="10" t="str">
        <f aca="false">IF(B155="","",SUMIFS($D$5:D155,$B$5:B155,B155))</f>
        <v/>
      </c>
      <c r="G155" s="10" t="str">
        <f aca="false">IF(B155="","",IF(F155&gt;=3,"FLAG",""))</f>
        <v/>
      </c>
    </row>
    <row r="156" customFormat="false" ht="15" hidden="false" customHeight="false" outlineLevel="0" collapsed="false">
      <c r="A156" s="24"/>
      <c r="B156" s="28"/>
      <c r="C156" s="22"/>
      <c r="D156" s="22"/>
      <c r="E156" s="28"/>
      <c r="F156" s="10" t="str">
        <f aca="false">IF(B156="","",SUMIFS($D$5:D156,$B$5:B156,B156))</f>
        <v/>
      </c>
      <c r="G156" s="10" t="str">
        <f aca="false">IF(B156="","",IF(F156&gt;=3,"FLAG",""))</f>
        <v/>
      </c>
    </row>
    <row r="157" customFormat="false" ht="15" hidden="false" customHeight="false" outlineLevel="0" collapsed="false">
      <c r="A157" s="24"/>
      <c r="B157" s="28"/>
      <c r="C157" s="22"/>
      <c r="D157" s="22"/>
      <c r="E157" s="28"/>
      <c r="F157" s="10" t="str">
        <f aca="false">IF(B157="","",SUMIFS($D$5:D157,$B$5:B157,B157))</f>
        <v/>
      </c>
      <c r="G157" s="10" t="str">
        <f aca="false">IF(B157="","",IF(F157&gt;=3,"FLAG",""))</f>
        <v/>
      </c>
    </row>
    <row r="158" customFormat="false" ht="15" hidden="false" customHeight="false" outlineLevel="0" collapsed="false">
      <c r="A158" s="24"/>
      <c r="B158" s="28"/>
      <c r="C158" s="22"/>
      <c r="D158" s="22"/>
      <c r="E158" s="28"/>
      <c r="F158" s="10" t="str">
        <f aca="false">IF(B158="","",SUMIFS($D$5:D158,$B$5:B158,B158))</f>
        <v/>
      </c>
      <c r="G158" s="10" t="str">
        <f aca="false">IF(B158="","",IF(F158&gt;=3,"FLAG",""))</f>
        <v/>
      </c>
    </row>
    <row r="159" customFormat="false" ht="15" hidden="false" customHeight="false" outlineLevel="0" collapsed="false">
      <c r="A159" s="24"/>
      <c r="B159" s="28"/>
      <c r="C159" s="22"/>
      <c r="D159" s="22"/>
      <c r="E159" s="28"/>
      <c r="F159" s="10" t="str">
        <f aca="false">IF(B159="","",SUMIFS($D$5:D159,$B$5:B159,B159))</f>
        <v/>
      </c>
      <c r="G159" s="10" t="str">
        <f aca="false">IF(B159="","",IF(F159&gt;=3,"FLAG",""))</f>
        <v/>
      </c>
    </row>
    <row r="160" customFormat="false" ht="15" hidden="false" customHeight="false" outlineLevel="0" collapsed="false">
      <c r="A160" s="24"/>
      <c r="B160" s="28"/>
      <c r="C160" s="22"/>
      <c r="D160" s="22"/>
      <c r="E160" s="28"/>
      <c r="F160" s="10" t="str">
        <f aca="false">IF(B160="","",SUMIFS($D$5:D160,$B$5:B160,B160))</f>
        <v/>
      </c>
      <c r="G160" s="10" t="str">
        <f aca="false">IF(B160="","",IF(F160&gt;=3,"FLAG",""))</f>
        <v/>
      </c>
    </row>
    <row r="161" customFormat="false" ht="15" hidden="false" customHeight="false" outlineLevel="0" collapsed="false">
      <c r="A161" s="24"/>
      <c r="B161" s="28"/>
      <c r="C161" s="22"/>
      <c r="D161" s="22"/>
      <c r="E161" s="28"/>
      <c r="F161" s="10" t="str">
        <f aca="false">IF(B161="","",SUMIFS($D$5:D161,$B$5:B161,B161))</f>
        <v/>
      </c>
      <c r="G161" s="10" t="str">
        <f aca="false">IF(B161="","",IF(F161&gt;=3,"FLAG",""))</f>
        <v/>
      </c>
    </row>
    <row r="162" customFormat="false" ht="15" hidden="false" customHeight="false" outlineLevel="0" collapsed="false">
      <c r="A162" s="24"/>
      <c r="B162" s="28"/>
      <c r="C162" s="22"/>
      <c r="D162" s="22"/>
      <c r="E162" s="28"/>
      <c r="F162" s="10" t="str">
        <f aca="false">IF(B162="","",SUMIFS($D$5:D162,$B$5:B162,B162))</f>
        <v/>
      </c>
      <c r="G162" s="10" t="str">
        <f aca="false">IF(B162="","",IF(F162&gt;=3,"FLAG",""))</f>
        <v/>
      </c>
    </row>
    <row r="163" customFormat="false" ht="15" hidden="false" customHeight="false" outlineLevel="0" collapsed="false">
      <c r="A163" s="24"/>
      <c r="B163" s="28"/>
      <c r="C163" s="22"/>
      <c r="D163" s="22"/>
      <c r="E163" s="28"/>
      <c r="F163" s="10" t="str">
        <f aca="false">IF(B163="","",SUMIFS($D$5:D163,$B$5:B163,B163))</f>
        <v/>
      </c>
      <c r="G163" s="10" t="str">
        <f aca="false">IF(B163="","",IF(F163&gt;=3,"FLAG",""))</f>
        <v/>
      </c>
    </row>
    <row r="164" customFormat="false" ht="15" hidden="false" customHeight="false" outlineLevel="0" collapsed="false">
      <c r="A164" s="24"/>
      <c r="B164" s="28"/>
      <c r="C164" s="22"/>
      <c r="D164" s="22"/>
      <c r="E164" s="28"/>
      <c r="F164" s="10" t="str">
        <f aca="false">IF(B164="","",SUMIFS($D$5:D164,$B$5:B164,B164))</f>
        <v/>
      </c>
      <c r="G164" s="10" t="str">
        <f aca="false">IF(B164="","",IF(F164&gt;=3,"FLAG",""))</f>
        <v/>
      </c>
    </row>
    <row r="165" customFormat="false" ht="15" hidden="false" customHeight="false" outlineLevel="0" collapsed="false">
      <c r="A165" s="24"/>
      <c r="B165" s="28"/>
      <c r="C165" s="22"/>
      <c r="D165" s="22"/>
      <c r="E165" s="28"/>
      <c r="F165" s="10" t="str">
        <f aca="false">IF(B165="","",SUMIFS($D$5:D165,$B$5:B165,B165))</f>
        <v/>
      </c>
      <c r="G165" s="10" t="str">
        <f aca="false">IF(B165="","",IF(F165&gt;=3,"FLAG",""))</f>
        <v/>
      </c>
    </row>
    <row r="166" customFormat="false" ht="15" hidden="false" customHeight="false" outlineLevel="0" collapsed="false">
      <c r="A166" s="24"/>
      <c r="B166" s="28"/>
      <c r="C166" s="22"/>
      <c r="D166" s="22"/>
      <c r="E166" s="28"/>
      <c r="F166" s="10" t="str">
        <f aca="false">IF(B166="","",SUMIFS($D$5:D166,$B$5:B166,B166))</f>
        <v/>
      </c>
      <c r="G166" s="10" t="str">
        <f aca="false">IF(B166="","",IF(F166&gt;=3,"FLAG",""))</f>
        <v/>
      </c>
    </row>
    <row r="167" customFormat="false" ht="15" hidden="false" customHeight="false" outlineLevel="0" collapsed="false">
      <c r="A167" s="24"/>
      <c r="B167" s="28"/>
      <c r="C167" s="22"/>
      <c r="D167" s="22"/>
      <c r="E167" s="28"/>
      <c r="F167" s="10" t="str">
        <f aca="false">IF(B167="","",SUMIFS($D$5:D167,$B$5:B167,B167))</f>
        <v/>
      </c>
      <c r="G167" s="10" t="str">
        <f aca="false">IF(B167="","",IF(F167&gt;=3,"FLAG",""))</f>
        <v/>
      </c>
    </row>
    <row r="168" customFormat="false" ht="15" hidden="false" customHeight="false" outlineLevel="0" collapsed="false">
      <c r="A168" s="24"/>
      <c r="B168" s="28"/>
      <c r="C168" s="22"/>
      <c r="D168" s="22"/>
      <c r="E168" s="28"/>
      <c r="F168" s="10" t="str">
        <f aca="false">IF(B168="","",SUMIFS($D$5:D168,$B$5:B168,B168))</f>
        <v/>
      </c>
      <c r="G168" s="10" t="str">
        <f aca="false">IF(B168="","",IF(F168&gt;=3,"FLAG",""))</f>
        <v/>
      </c>
    </row>
    <row r="169" customFormat="false" ht="15" hidden="false" customHeight="false" outlineLevel="0" collapsed="false">
      <c r="A169" s="24"/>
      <c r="B169" s="28"/>
      <c r="C169" s="22"/>
      <c r="D169" s="22"/>
      <c r="E169" s="28"/>
      <c r="F169" s="10" t="str">
        <f aca="false">IF(B169="","",SUMIFS($D$5:D169,$B$5:B169,B169))</f>
        <v/>
      </c>
      <c r="G169" s="10" t="str">
        <f aca="false">IF(B169="","",IF(F169&gt;=3,"FLAG",""))</f>
        <v/>
      </c>
    </row>
    <row r="170" customFormat="false" ht="15" hidden="false" customHeight="false" outlineLevel="0" collapsed="false">
      <c r="A170" s="24"/>
      <c r="B170" s="28"/>
      <c r="C170" s="22"/>
      <c r="D170" s="22"/>
      <c r="E170" s="28"/>
      <c r="F170" s="10" t="str">
        <f aca="false">IF(B170="","",SUMIFS($D$5:D170,$B$5:B170,B170))</f>
        <v/>
      </c>
      <c r="G170" s="10" t="str">
        <f aca="false">IF(B170="","",IF(F170&gt;=3,"FLAG",""))</f>
        <v/>
      </c>
    </row>
    <row r="171" customFormat="false" ht="15" hidden="false" customHeight="false" outlineLevel="0" collapsed="false">
      <c r="A171" s="24"/>
      <c r="B171" s="28"/>
      <c r="C171" s="22"/>
      <c r="D171" s="22"/>
      <c r="E171" s="28"/>
      <c r="F171" s="10" t="str">
        <f aca="false">IF(B171="","",SUMIFS($D$5:D171,$B$5:B171,B171))</f>
        <v/>
      </c>
      <c r="G171" s="10" t="str">
        <f aca="false">IF(B171="","",IF(F171&gt;=3,"FLAG",""))</f>
        <v/>
      </c>
    </row>
    <row r="172" customFormat="false" ht="15" hidden="false" customHeight="false" outlineLevel="0" collapsed="false">
      <c r="A172" s="24"/>
      <c r="B172" s="28"/>
      <c r="C172" s="22"/>
      <c r="D172" s="22"/>
      <c r="E172" s="28"/>
      <c r="F172" s="10" t="str">
        <f aca="false">IF(B172="","",SUMIFS($D$5:D172,$B$5:B172,B172))</f>
        <v/>
      </c>
      <c r="G172" s="10" t="str">
        <f aca="false">IF(B172="","",IF(F172&gt;=3,"FLAG",""))</f>
        <v/>
      </c>
    </row>
    <row r="173" customFormat="false" ht="15" hidden="false" customHeight="false" outlineLevel="0" collapsed="false">
      <c r="A173" s="24"/>
      <c r="B173" s="28"/>
      <c r="C173" s="22"/>
      <c r="D173" s="22"/>
      <c r="E173" s="28"/>
      <c r="F173" s="10" t="str">
        <f aca="false">IF(B173="","",SUMIFS($D$5:D173,$B$5:B173,B173))</f>
        <v/>
      </c>
      <c r="G173" s="10" t="str">
        <f aca="false">IF(B173="","",IF(F173&gt;=3,"FLAG",""))</f>
        <v/>
      </c>
    </row>
    <row r="174" customFormat="false" ht="15" hidden="false" customHeight="false" outlineLevel="0" collapsed="false">
      <c r="A174" s="24"/>
      <c r="B174" s="28"/>
      <c r="C174" s="22"/>
      <c r="D174" s="22"/>
      <c r="E174" s="28"/>
      <c r="F174" s="10" t="str">
        <f aca="false">IF(B174="","",SUMIFS($D$5:D174,$B$5:B174,B174))</f>
        <v/>
      </c>
      <c r="G174" s="10" t="str">
        <f aca="false">IF(B174="","",IF(F174&gt;=3,"FLAG",""))</f>
        <v/>
      </c>
    </row>
    <row r="175" customFormat="false" ht="15" hidden="false" customHeight="false" outlineLevel="0" collapsed="false">
      <c r="A175" s="24"/>
      <c r="B175" s="28"/>
      <c r="C175" s="22"/>
      <c r="D175" s="22"/>
      <c r="E175" s="28"/>
      <c r="F175" s="10" t="str">
        <f aca="false">IF(B175="","",SUMIFS($D$5:D175,$B$5:B175,B175))</f>
        <v/>
      </c>
      <c r="G175" s="10" t="str">
        <f aca="false">IF(B175="","",IF(F175&gt;=3,"FLAG",""))</f>
        <v/>
      </c>
    </row>
    <row r="176" customFormat="false" ht="15" hidden="false" customHeight="false" outlineLevel="0" collapsed="false">
      <c r="A176" s="24"/>
      <c r="B176" s="28"/>
      <c r="C176" s="22"/>
      <c r="D176" s="22"/>
      <c r="E176" s="28"/>
      <c r="F176" s="10" t="str">
        <f aca="false">IF(B176="","",SUMIFS($D$5:D176,$B$5:B176,B176))</f>
        <v/>
      </c>
      <c r="G176" s="10" t="str">
        <f aca="false">IF(B176="","",IF(F176&gt;=3,"FLAG",""))</f>
        <v/>
      </c>
    </row>
    <row r="177" customFormat="false" ht="15" hidden="false" customHeight="false" outlineLevel="0" collapsed="false">
      <c r="A177" s="24"/>
      <c r="B177" s="28"/>
      <c r="C177" s="22"/>
      <c r="D177" s="22"/>
      <c r="E177" s="28"/>
      <c r="F177" s="10" t="str">
        <f aca="false">IF(B177="","",SUMIFS($D$5:D177,$B$5:B177,B177))</f>
        <v/>
      </c>
      <c r="G177" s="10" t="str">
        <f aca="false">IF(B177="","",IF(F177&gt;=3,"FLAG",""))</f>
        <v/>
      </c>
    </row>
    <row r="178" customFormat="false" ht="15" hidden="false" customHeight="false" outlineLevel="0" collapsed="false">
      <c r="A178" s="24"/>
      <c r="B178" s="28"/>
      <c r="C178" s="22"/>
      <c r="D178" s="22"/>
      <c r="E178" s="28"/>
      <c r="F178" s="10" t="str">
        <f aca="false">IF(B178="","",SUMIFS($D$5:D178,$B$5:B178,B178))</f>
        <v/>
      </c>
      <c r="G178" s="10" t="str">
        <f aca="false">IF(B178="","",IF(F178&gt;=3,"FLAG",""))</f>
        <v/>
      </c>
    </row>
    <row r="179" customFormat="false" ht="15" hidden="false" customHeight="false" outlineLevel="0" collapsed="false">
      <c r="A179" s="24"/>
      <c r="B179" s="28"/>
      <c r="C179" s="22"/>
      <c r="D179" s="22"/>
      <c r="E179" s="28"/>
      <c r="F179" s="10" t="str">
        <f aca="false">IF(B179="","",SUMIFS($D$5:D179,$B$5:B179,B179))</f>
        <v/>
      </c>
      <c r="G179" s="10" t="str">
        <f aca="false">IF(B179="","",IF(F179&gt;=3,"FLAG",""))</f>
        <v/>
      </c>
    </row>
    <row r="180" customFormat="false" ht="15" hidden="false" customHeight="false" outlineLevel="0" collapsed="false">
      <c r="A180" s="24"/>
      <c r="B180" s="28"/>
      <c r="C180" s="22"/>
      <c r="D180" s="22"/>
      <c r="E180" s="28"/>
      <c r="F180" s="10" t="str">
        <f aca="false">IF(B180="","",SUMIFS($D$5:D180,$B$5:B180,B180))</f>
        <v/>
      </c>
      <c r="G180" s="10" t="str">
        <f aca="false">IF(B180="","",IF(F180&gt;=3,"FLAG",""))</f>
        <v/>
      </c>
    </row>
    <row r="181" customFormat="false" ht="15" hidden="false" customHeight="false" outlineLevel="0" collapsed="false">
      <c r="A181" s="24"/>
      <c r="B181" s="28"/>
      <c r="C181" s="22"/>
      <c r="D181" s="22"/>
      <c r="E181" s="28"/>
      <c r="F181" s="10" t="str">
        <f aca="false">IF(B181="","",SUMIFS($D$5:D181,$B$5:B181,B181))</f>
        <v/>
      </c>
      <c r="G181" s="10" t="str">
        <f aca="false">IF(B181="","",IF(F181&gt;=3,"FLAG",""))</f>
        <v/>
      </c>
    </row>
    <row r="182" customFormat="false" ht="15" hidden="false" customHeight="false" outlineLevel="0" collapsed="false">
      <c r="A182" s="24"/>
      <c r="B182" s="28"/>
      <c r="C182" s="22"/>
      <c r="D182" s="22"/>
      <c r="E182" s="28"/>
      <c r="F182" s="10" t="str">
        <f aca="false">IF(B182="","",SUMIFS($D$5:D182,$B$5:B182,B182))</f>
        <v/>
      </c>
      <c r="G182" s="10" t="str">
        <f aca="false">IF(B182="","",IF(F182&gt;=3,"FLAG",""))</f>
        <v/>
      </c>
    </row>
    <row r="183" customFormat="false" ht="15" hidden="false" customHeight="false" outlineLevel="0" collapsed="false">
      <c r="A183" s="24"/>
      <c r="B183" s="28"/>
      <c r="C183" s="22"/>
      <c r="D183" s="22"/>
      <c r="E183" s="28"/>
      <c r="F183" s="10" t="str">
        <f aca="false">IF(B183="","",SUMIFS($D$5:D183,$B$5:B183,B183))</f>
        <v/>
      </c>
      <c r="G183" s="10" t="str">
        <f aca="false">IF(B183="","",IF(F183&gt;=3,"FLAG",""))</f>
        <v/>
      </c>
    </row>
    <row r="184" customFormat="false" ht="15" hidden="false" customHeight="false" outlineLevel="0" collapsed="false">
      <c r="A184" s="24"/>
      <c r="B184" s="28"/>
      <c r="C184" s="22"/>
      <c r="D184" s="22"/>
      <c r="E184" s="28"/>
      <c r="F184" s="10" t="str">
        <f aca="false">IF(B184="","",SUMIFS($D$5:D184,$B$5:B184,B184))</f>
        <v/>
      </c>
      <c r="G184" s="10" t="str">
        <f aca="false">IF(B184="","",IF(F184&gt;=3,"FLAG",""))</f>
        <v/>
      </c>
    </row>
    <row r="185" customFormat="false" ht="15" hidden="false" customHeight="false" outlineLevel="0" collapsed="false">
      <c r="A185" s="24"/>
      <c r="B185" s="28"/>
      <c r="C185" s="22"/>
      <c r="D185" s="22"/>
      <c r="E185" s="28"/>
      <c r="F185" s="10" t="str">
        <f aca="false">IF(B185="","",SUMIFS($D$5:D185,$B$5:B185,B185))</f>
        <v/>
      </c>
      <c r="G185" s="10" t="str">
        <f aca="false">IF(B185="","",IF(F185&gt;=3,"FLAG",""))</f>
        <v/>
      </c>
    </row>
    <row r="186" customFormat="false" ht="15" hidden="false" customHeight="false" outlineLevel="0" collapsed="false">
      <c r="A186" s="24"/>
      <c r="B186" s="28"/>
      <c r="C186" s="22"/>
      <c r="D186" s="22"/>
      <c r="E186" s="28"/>
      <c r="F186" s="10" t="str">
        <f aca="false">IF(B186="","",SUMIFS($D$5:D186,$B$5:B186,B186))</f>
        <v/>
      </c>
      <c r="G186" s="10" t="str">
        <f aca="false">IF(B186="","",IF(F186&gt;=3,"FLAG",""))</f>
        <v/>
      </c>
    </row>
    <row r="187" customFormat="false" ht="15" hidden="false" customHeight="false" outlineLevel="0" collapsed="false">
      <c r="A187" s="24"/>
      <c r="B187" s="28"/>
      <c r="C187" s="22"/>
      <c r="D187" s="22"/>
      <c r="E187" s="28"/>
      <c r="F187" s="10" t="str">
        <f aca="false">IF(B187="","",SUMIFS($D$5:D187,$B$5:B187,B187))</f>
        <v/>
      </c>
      <c r="G187" s="10" t="str">
        <f aca="false">IF(B187="","",IF(F187&gt;=3,"FLAG",""))</f>
        <v/>
      </c>
    </row>
    <row r="188" customFormat="false" ht="15" hidden="false" customHeight="false" outlineLevel="0" collapsed="false">
      <c r="A188" s="24"/>
      <c r="B188" s="28"/>
      <c r="C188" s="22"/>
      <c r="D188" s="22"/>
      <c r="E188" s="28"/>
      <c r="F188" s="10" t="str">
        <f aca="false">IF(B188="","",SUMIFS($D$5:D188,$B$5:B188,B188))</f>
        <v/>
      </c>
      <c r="G188" s="10" t="str">
        <f aca="false">IF(B188="","",IF(F188&gt;=3,"FLAG",""))</f>
        <v/>
      </c>
    </row>
    <row r="189" customFormat="false" ht="15" hidden="false" customHeight="false" outlineLevel="0" collapsed="false">
      <c r="A189" s="24"/>
      <c r="B189" s="28"/>
      <c r="C189" s="22"/>
      <c r="D189" s="22"/>
      <c r="E189" s="28"/>
      <c r="F189" s="10" t="str">
        <f aca="false">IF(B189="","",SUMIFS($D$5:D189,$B$5:B189,B189))</f>
        <v/>
      </c>
      <c r="G189" s="10" t="str">
        <f aca="false">IF(B189="","",IF(F189&gt;=3,"FLAG",""))</f>
        <v/>
      </c>
    </row>
    <row r="190" customFormat="false" ht="15" hidden="false" customHeight="false" outlineLevel="0" collapsed="false">
      <c r="A190" s="24"/>
      <c r="B190" s="28"/>
      <c r="C190" s="22"/>
      <c r="D190" s="22"/>
      <c r="E190" s="28"/>
      <c r="F190" s="10" t="str">
        <f aca="false">IF(B190="","",SUMIFS($D$5:D190,$B$5:B190,B190))</f>
        <v/>
      </c>
      <c r="G190" s="10" t="str">
        <f aca="false">IF(B190="","",IF(F190&gt;=3,"FLAG",""))</f>
        <v/>
      </c>
    </row>
    <row r="191" customFormat="false" ht="15" hidden="false" customHeight="false" outlineLevel="0" collapsed="false">
      <c r="A191" s="24"/>
      <c r="B191" s="28"/>
      <c r="C191" s="22"/>
      <c r="D191" s="22"/>
      <c r="E191" s="28"/>
      <c r="F191" s="10" t="str">
        <f aca="false">IF(B191="","",SUMIFS($D$5:D191,$B$5:B191,B191))</f>
        <v/>
      </c>
      <c r="G191" s="10" t="str">
        <f aca="false">IF(B191="","",IF(F191&gt;=3,"FLAG",""))</f>
        <v/>
      </c>
    </row>
    <row r="192" customFormat="false" ht="15" hidden="false" customHeight="false" outlineLevel="0" collapsed="false">
      <c r="A192" s="24"/>
      <c r="B192" s="28"/>
      <c r="C192" s="22"/>
      <c r="D192" s="22"/>
      <c r="E192" s="28"/>
      <c r="F192" s="10" t="str">
        <f aca="false">IF(B192="","",SUMIFS($D$5:D192,$B$5:B192,B192))</f>
        <v/>
      </c>
      <c r="G192" s="10" t="str">
        <f aca="false">IF(B192="","",IF(F192&gt;=3,"FLAG",""))</f>
        <v/>
      </c>
    </row>
    <row r="193" customFormat="false" ht="15" hidden="false" customHeight="false" outlineLevel="0" collapsed="false">
      <c r="A193" s="24"/>
      <c r="B193" s="28"/>
      <c r="C193" s="22"/>
      <c r="D193" s="22"/>
      <c r="E193" s="28"/>
      <c r="F193" s="10" t="str">
        <f aca="false">IF(B193="","",SUMIFS($D$5:D193,$B$5:B193,B193))</f>
        <v/>
      </c>
      <c r="G193" s="10" t="str">
        <f aca="false">IF(B193="","",IF(F193&gt;=3,"FLAG",""))</f>
        <v/>
      </c>
    </row>
    <row r="194" customFormat="false" ht="15" hidden="false" customHeight="false" outlineLevel="0" collapsed="false">
      <c r="A194" s="24"/>
      <c r="B194" s="28"/>
      <c r="C194" s="22"/>
      <c r="D194" s="22"/>
      <c r="E194" s="28"/>
      <c r="F194" s="10" t="str">
        <f aca="false">IF(B194="","",SUMIFS($D$5:D194,$B$5:B194,B194))</f>
        <v/>
      </c>
      <c r="G194" s="10" t="str">
        <f aca="false">IF(B194="","",IF(F194&gt;=3,"FLAG",""))</f>
        <v/>
      </c>
    </row>
    <row r="195" customFormat="false" ht="15" hidden="false" customHeight="false" outlineLevel="0" collapsed="false">
      <c r="A195" s="24"/>
      <c r="B195" s="28"/>
      <c r="C195" s="22"/>
      <c r="D195" s="22"/>
      <c r="E195" s="28"/>
      <c r="F195" s="10" t="str">
        <f aca="false">IF(B195="","",SUMIFS($D$5:D195,$B$5:B195,B195))</f>
        <v/>
      </c>
      <c r="G195" s="10" t="str">
        <f aca="false">IF(B195="","",IF(F195&gt;=3,"FLAG",""))</f>
        <v/>
      </c>
    </row>
    <row r="196" customFormat="false" ht="15" hidden="false" customHeight="false" outlineLevel="0" collapsed="false">
      <c r="A196" s="24"/>
      <c r="B196" s="28"/>
      <c r="C196" s="22"/>
      <c r="D196" s="22"/>
      <c r="E196" s="28"/>
      <c r="F196" s="10" t="str">
        <f aca="false">IF(B196="","",SUMIFS($D$5:D196,$B$5:B196,B196))</f>
        <v/>
      </c>
      <c r="G196" s="10" t="str">
        <f aca="false">IF(B196="","",IF(F196&gt;=3,"FLAG",""))</f>
        <v/>
      </c>
    </row>
    <row r="197" customFormat="false" ht="15" hidden="false" customHeight="false" outlineLevel="0" collapsed="false">
      <c r="A197" s="24"/>
      <c r="B197" s="28"/>
      <c r="C197" s="22"/>
      <c r="D197" s="22"/>
      <c r="E197" s="28"/>
      <c r="F197" s="10" t="str">
        <f aca="false">IF(B197="","",SUMIFS($D$5:D197,$B$5:B197,B197))</f>
        <v/>
      </c>
      <c r="G197" s="10" t="str">
        <f aca="false">IF(B197="","",IF(F197&gt;=3,"FLAG",""))</f>
        <v/>
      </c>
    </row>
    <row r="198" customFormat="false" ht="15" hidden="false" customHeight="false" outlineLevel="0" collapsed="false">
      <c r="A198" s="24"/>
      <c r="B198" s="28"/>
      <c r="C198" s="22"/>
      <c r="D198" s="22"/>
      <c r="E198" s="28"/>
      <c r="F198" s="10" t="str">
        <f aca="false">IF(B198="","",SUMIFS($D$5:D198,$B$5:B198,B198))</f>
        <v/>
      </c>
      <c r="G198" s="10" t="str">
        <f aca="false">IF(B198="","",IF(F198&gt;=3,"FLAG",""))</f>
        <v/>
      </c>
    </row>
    <row r="199" customFormat="false" ht="15" hidden="false" customHeight="false" outlineLevel="0" collapsed="false">
      <c r="A199" s="24"/>
      <c r="B199" s="28"/>
      <c r="C199" s="22"/>
      <c r="D199" s="22"/>
      <c r="E199" s="28"/>
      <c r="F199" s="10" t="str">
        <f aca="false">IF(B199="","",SUMIFS($D$5:D199,$B$5:B199,B199))</f>
        <v/>
      </c>
      <c r="G199" s="10" t="str">
        <f aca="false">IF(B199="","",IF(F199&gt;=3,"FLAG",""))</f>
        <v/>
      </c>
    </row>
    <row r="200" customFormat="false" ht="15" hidden="false" customHeight="false" outlineLevel="0" collapsed="false">
      <c r="A200" s="24"/>
      <c r="B200" s="28"/>
      <c r="C200" s="22"/>
      <c r="D200" s="22"/>
      <c r="E200" s="28"/>
      <c r="F200" s="10" t="str">
        <f aca="false">IF(B200="","",SUMIFS($D$5:D200,$B$5:B200,B200))</f>
        <v/>
      </c>
      <c r="G200" s="10" t="str">
        <f aca="false">IF(B200="","",IF(F200&gt;=3,"FLAG",""))</f>
        <v/>
      </c>
    </row>
    <row r="201" customFormat="false" ht="15" hidden="false" customHeight="false" outlineLevel="0" collapsed="false">
      <c r="A201" s="24"/>
      <c r="B201" s="28"/>
      <c r="C201" s="22"/>
      <c r="D201" s="22"/>
      <c r="E201" s="28"/>
      <c r="F201" s="10" t="str">
        <f aca="false">IF(B201="","",SUMIFS($D$5:D201,$B$5:B201,B201))</f>
        <v/>
      </c>
      <c r="G201" s="10" t="str">
        <f aca="false">IF(B201="","",IF(F201&gt;=3,"FLAG",""))</f>
        <v/>
      </c>
    </row>
    <row r="202" customFormat="false" ht="15" hidden="false" customHeight="false" outlineLevel="0" collapsed="false">
      <c r="A202" s="24"/>
      <c r="B202" s="28"/>
      <c r="C202" s="22"/>
      <c r="D202" s="22"/>
      <c r="E202" s="28"/>
      <c r="F202" s="10" t="str">
        <f aca="false">IF(B202="","",SUMIFS($D$5:D202,$B$5:B202,B202))</f>
        <v/>
      </c>
      <c r="G202" s="10" t="str">
        <f aca="false">IF(B202="","",IF(F202&gt;=3,"FLAG",""))</f>
        <v/>
      </c>
    </row>
    <row r="203" customFormat="false" ht="15" hidden="false" customHeight="false" outlineLevel="0" collapsed="false">
      <c r="A203" s="24"/>
      <c r="B203" s="28"/>
      <c r="C203" s="22"/>
      <c r="D203" s="22"/>
      <c r="E203" s="28"/>
      <c r="F203" s="10" t="str">
        <f aca="false">IF(B203="","",SUMIFS($D$5:D203,$B$5:B203,B203))</f>
        <v/>
      </c>
      <c r="G203" s="10" t="str">
        <f aca="false">IF(B203="","",IF(F203&gt;=3,"FLAG",""))</f>
        <v/>
      </c>
    </row>
    <row r="204" customFormat="false" ht="15" hidden="false" customHeight="false" outlineLevel="0" collapsed="false">
      <c r="A204" s="24"/>
      <c r="B204" s="28"/>
      <c r="C204" s="22"/>
      <c r="D204" s="22"/>
      <c r="E204" s="28"/>
      <c r="F204" s="10" t="str">
        <f aca="false">IF(B204="","",SUMIFS($D$5:D204,$B$5:B204,B204))</f>
        <v/>
      </c>
      <c r="G204" s="10" t="str">
        <f aca="false">IF(B204="","",IF(F204&gt;=3,"FLAG",""))</f>
        <v/>
      </c>
    </row>
    <row r="205" customFormat="false" ht="15" hidden="false" customHeight="false" outlineLevel="0" collapsed="false">
      <c r="A205" s="24"/>
      <c r="B205" s="28"/>
      <c r="C205" s="22"/>
      <c r="D205" s="22"/>
      <c r="E205" s="28"/>
      <c r="F205" s="10" t="str">
        <f aca="false">IF(B205="","",SUMIFS($D$5:D205,$B$5:B205,B205))</f>
        <v/>
      </c>
      <c r="G205" s="10" t="str">
        <f aca="false">IF(B205="","",IF(F205&gt;=3,"FLAG",""))</f>
        <v/>
      </c>
    </row>
    <row r="206" customFormat="false" ht="15" hidden="false" customHeight="false" outlineLevel="0" collapsed="false">
      <c r="A206" s="24"/>
      <c r="B206" s="28"/>
      <c r="C206" s="22"/>
      <c r="D206" s="22"/>
      <c r="E206" s="28"/>
      <c r="F206" s="10" t="str">
        <f aca="false">IF(B206="","",SUMIFS($D$5:D206,$B$5:B206,B206))</f>
        <v/>
      </c>
      <c r="G206" s="10" t="str">
        <f aca="false">IF(B206="","",IF(F206&gt;=3,"FLAG",""))</f>
        <v/>
      </c>
    </row>
    <row r="207" customFormat="false" ht="15" hidden="false" customHeight="false" outlineLevel="0" collapsed="false">
      <c r="A207" s="24"/>
      <c r="B207" s="28"/>
      <c r="C207" s="22"/>
      <c r="D207" s="22"/>
      <c r="E207" s="28"/>
      <c r="F207" s="10" t="str">
        <f aca="false">IF(B207="","",SUMIFS($D$5:D207,$B$5:B207,B207))</f>
        <v/>
      </c>
      <c r="G207" s="10" t="str">
        <f aca="false">IF(B207="","",IF(F207&gt;=3,"FLAG",""))</f>
        <v/>
      </c>
    </row>
    <row r="208" customFormat="false" ht="15" hidden="false" customHeight="false" outlineLevel="0" collapsed="false">
      <c r="A208" s="24"/>
      <c r="B208" s="28"/>
      <c r="C208" s="22"/>
      <c r="D208" s="22"/>
      <c r="E208" s="28"/>
      <c r="F208" s="10" t="str">
        <f aca="false">IF(B208="","",SUMIFS($D$5:D208,$B$5:B208,B208))</f>
        <v/>
      </c>
      <c r="G208" s="10" t="str">
        <f aca="false">IF(B208="","",IF(F208&gt;=3,"FLAG",""))</f>
        <v/>
      </c>
    </row>
    <row r="209" customFormat="false" ht="15" hidden="false" customHeight="false" outlineLevel="0" collapsed="false">
      <c r="A209" s="24"/>
      <c r="B209" s="28"/>
      <c r="C209" s="22"/>
      <c r="D209" s="22"/>
      <c r="E209" s="28"/>
      <c r="F209" s="10" t="str">
        <f aca="false">IF(B209="","",SUMIFS($D$5:D209,$B$5:B209,B209))</f>
        <v/>
      </c>
      <c r="G209" s="10" t="str">
        <f aca="false">IF(B209="","",IF(F209&gt;=3,"FLAG",""))</f>
        <v/>
      </c>
    </row>
    <row r="210" customFormat="false" ht="15" hidden="false" customHeight="false" outlineLevel="0" collapsed="false">
      <c r="A210" s="24"/>
      <c r="B210" s="28"/>
      <c r="C210" s="22"/>
      <c r="D210" s="22"/>
      <c r="E210" s="28"/>
      <c r="F210" s="10" t="str">
        <f aca="false">IF(B210="","",SUMIFS($D$5:D210,$B$5:B210,B210))</f>
        <v/>
      </c>
      <c r="G210" s="10" t="str">
        <f aca="false">IF(B210="","",IF(F210&gt;=3,"FLAG",""))</f>
        <v/>
      </c>
    </row>
    <row r="211" customFormat="false" ht="15" hidden="false" customHeight="false" outlineLevel="0" collapsed="false">
      <c r="A211" s="24"/>
      <c r="B211" s="28"/>
      <c r="C211" s="22"/>
      <c r="D211" s="22"/>
      <c r="E211" s="28"/>
      <c r="F211" s="10" t="str">
        <f aca="false">IF(B211="","",SUMIFS($D$5:D211,$B$5:B211,B211))</f>
        <v/>
      </c>
      <c r="G211" s="10" t="str">
        <f aca="false">IF(B211="","",IF(F211&gt;=3,"FLAG",""))</f>
        <v/>
      </c>
    </row>
    <row r="212" customFormat="false" ht="15" hidden="false" customHeight="false" outlineLevel="0" collapsed="false">
      <c r="A212" s="24"/>
      <c r="B212" s="28"/>
      <c r="C212" s="22"/>
      <c r="D212" s="22"/>
      <c r="E212" s="28"/>
      <c r="F212" s="10" t="str">
        <f aca="false">IF(B212="","",SUMIFS($D$5:D212,$B$5:B212,B212))</f>
        <v/>
      </c>
      <c r="G212" s="10" t="str">
        <f aca="false">IF(B212="","",IF(F212&gt;=3,"FLAG",""))</f>
        <v/>
      </c>
    </row>
    <row r="213" customFormat="false" ht="15" hidden="false" customHeight="false" outlineLevel="0" collapsed="false">
      <c r="A213" s="24"/>
      <c r="B213" s="28"/>
      <c r="C213" s="22"/>
      <c r="D213" s="22"/>
      <c r="E213" s="28"/>
      <c r="F213" s="10" t="str">
        <f aca="false">IF(B213="","",SUMIFS($D$5:D213,$B$5:B213,B213))</f>
        <v/>
      </c>
      <c r="G213" s="10" t="str">
        <f aca="false">IF(B213="","",IF(F213&gt;=3,"FLAG",""))</f>
        <v/>
      </c>
    </row>
    <row r="214" customFormat="false" ht="15" hidden="false" customHeight="false" outlineLevel="0" collapsed="false">
      <c r="A214" s="24"/>
      <c r="B214" s="28"/>
      <c r="C214" s="22"/>
      <c r="D214" s="22"/>
      <c r="E214" s="28"/>
      <c r="F214" s="10" t="str">
        <f aca="false">IF(B214="","",SUMIFS($D$5:D214,$B$5:B214,B214))</f>
        <v/>
      </c>
      <c r="G214" s="10" t="str">
        <f aca="false">IF(B214="","",IF(F214&gt;=3,"FLAG",""))</f>
        <v/>
      </c>
    </row>
    <row r="215" customFormat="false" ht="15" hidden="false" customHeight="false" outlineLevel="0" collapsed="false">
      <c r="A215" s="24"/>
      <c r="B215" s="28"/>
      <c r="C215" s="22"/>
      <c r="D215" s="22"/>
      <c r="E215" s="28"/>
      <c r="F215" s="10" t="str">
        <f aca="false">IF(B215="","",SUMIFS($D$5:D215,$B$5:B215,B215))</f>
        <v/>
      </c>
      <c r="G215" s="10" t="str">
        <f aca="false">IF(B215="","",IF(F215&gt;=3,"FLAG",""))</f>
        <v/>
      </c>
    </row>
    <row r="216" customFormat="false" ht="15" hidden="false" customHeight="false" outlineLevel="0" collapsed="false">
      <c r="A216" s="24"/>
      <c r="B216" s="28"/>
      <c r="C216" s="22"/>
      <c r="D216" s="22"/>
      <c r="E216" s="28"/>
      <c r="F216" s="10" t="str">
        <f aca="false">IF(B216="","",SUMIFS($D$5:D216,$B$5:B216,B216))</f>
        <v/>
      </c>
      <c r="G216" s="10" t="str">
        <f aca="false">IF(B216="","",IF(F216&gt;=3,"FLAG",""))</f>
        <v/>
      </c>
    </row>
    <row r="217" customFormat="false" ht="15" hidden="false" customHeight="false" outlineLevel="0" collapsed="false">
      <c r="A217" s="24"/>
      <c r="B217" s="28"/>
      <c r="C217" s="22"/>
      <c r="D217" s="22"/>
      <c r="E217" s="28"/>
      <c r="F217" s="10" t="str">
        <f aca="false">IF(B217="","",SUMIFS($D$5:D217,$B$5:B217,B217))</f>
        <v/>
      </c>
      <c r="G217" s="10" t="str">
        <f aca="false">IF(B217="","",IF(F217&gt;=3,"FLAG",""))</f>
        <v/>
      </c>
    </row>
    <row r="218" customFormat="false" ht="15" hidden="false" customHeight="false" outlineLevel="0" collapsed="false">
      <c r="A218" s="24"/>
      <c r="B218" s="28"/>
      <c r="C218" s="22"/>
      <c r="D218" s="22"/>
      <c r="E218" s="28"/>
      <c r="F218" s="10" t="str">
        <f aca="false">IF(B218="","",SUMIFS($D$5:D218,$B$5:B218,B218))</f>
        <v/>
      </c>
      <c r="G218" s="10" t="str">
        <f aca="false">IF(B218="","",IF(F218&gt;=3,"FLAG",""))</f>
        <v/>
      </c>
    </row>
    <row r="219" customFormat="false" ht="15" hidden="false" customHeight="false" outlineLevel="0" collapsed="false">
      <c r="A219" s="24"/>
      <c r="B219" s="28"/>
      <c r="C219" s="22"/>
      <c r="D219" s="22"/>
      <c r="E219" s="28"/>
      <c r="F219" s="10" t="str">
        <f aca="false">IF(B219="","",SUMIFS($D$5:D219,$B$5:B219,B219))</f>
        <v/>
      </c>
      <c r="G219" s="10" t="str">
        <f aca="false">IF(B219="","",IF(F219&gt;=3,"FLAG",""))</f>
        <v/>
      </c>
    </row>
    <row r="220" customFormat="false" ht="15" hidden="false" customHeight="false" outlineLevel="0" collapsed="false">
      <c r="A220" s="24"/>
      <c r="B220" s="28"/>
      <c r="C220" s="22"/>
      <c r="D220" s="22"/>
      <c r="E220" s="28"/>
      <c r="F220" s="10" t="str">
        <f aca="false">IF(B220="","",SUMIFS($D$5:D220,$B$5:B220,B220))</f>
        <v/>
      </c>
      <c r="G220" s="10" t="str">
        <f aca="false">IF(B220="","",IF(F220&gt;=3,"FLAG",""))</f>
        <v/>
      </c>
    </row>
    <row r="221" customFormat="false" ht="15" hidden="false" customHeight="false" outlineLevel="0" collapsed="false">
      <c r="A221" s="24"/>
      <c r="B221" s="28"/>
      <c r="C221" s="22"/>
      <c r="D221" s="22"/>
      <c r="E221" s="28"/>
      <c r="F221" s="10" t="str">
        <f aca="false">IF(B221="","",SUMIFS($D$5:D221,$B$5:B221,B221))</f>
        <v/>
      </c>
      <c r="G221" s="10" t="str">
        <f aca="false">IF(B221="","",IF(F221&gt;=3,"FLAG",""))</f>
        <v/>
      </c>
    </row>
    <row r="222" customFormat="false" ht="15" hidden="false" customHeight="false" outlineLevel="0" collapsed="false">
      <c r="A222" s="24"/>
      <c r="B222" s="28"/>
      <c r="C222" s="22"/>
      <c r="D222" s="22"/>
      <c r="E222" s="28"/>
      <c r="F222" s="10" t="str">
        <f aca="false">IF(B222="","",SUMIFS($D$5:D222,$B$5:B222,B222))</f>
        <v/>
      </c>
      <c r="G222" s="10" t="str">
        <f aca="false">IF(B222="","",IF(F222&gt;=3,"FLAG",""))</f>
        <v/>
      </c>
    </row>
    <row r="223" customFormat="false" ht="15" hidden="false" customHeight="false" outlineLevel="0" collapsed="false">
      <c r="A223" s="24"/>
      <c r="B223" s="28"/>
      <c r="C223" s="22"/>
      <c r="D223" s="22"/>
      <c r="E223" s="28"/>
      <c r="F223" s="10" t="str">
        <f aca="false">IF(B223="","",SUMIFS($D$5:D223,$B$5:B223,B223))</f>
        <v/>
      </c>
      <c r="G223" s="10" t="str">
        <f aca="false">IF(B223="","",IF(F223&gt;=3,"FLAG",""))</f>
        <v/>
      </c>
    </row>
    <row r="224" customFormat="false" ht="15" hidden="false" customHeight="false" outlineLevel="0" collapsed="false">
      <c r="A224" s="24"/>
      <c r="B224" s="28"/>
      <c r="C224" s="22"/>
      <c r="D224" s="22"/>
      <c r="E224" s="28"/>
      <c r="F224" s="10" t="str">
        <f aca="false">IF(B224="","",SUMIFS($D$5:D224,$B$5:B224,B224))</f>
        <v/>
      </c>
      <c r="G224" s="10" t="str">
        <f aca="false">IF(B224="","",IF(F224&gt;=3,"FLAG",""))</f>
        <v/>
      </c>
    </row>
    <row r="225" customFormat="false" ht="15" hidden="false" customHeight="false" outlineLevel="0" collapsed="false">
      <c r="A225" s="24"/>
      <c r="B225" s="28"/>
      <c r="C225" s="22"/>
      <c r="D225" s="22"/>
      <c r="E225" s="28"/>
      <c r="F225" s="10" t="str">
        <f aca="false">IF(B225="","",SUMIFS($D$5:D225,$B$5:B225,B225))</f>
        <v/>
      </c>
      <c r="G225" s="10" t="str">
        <f aca="false">IF(B225="","",IF(F225&gt;=3,"FLAG",""))</f>
        <v/>
      </c>
    </row>
    <row r="226" customFormat="false" ht="15" hidden="false" customHeight="false" outlineLevel="0" collapsed="false">
      <c r="A226" s="24"/>
      <c r="B226" s="28"/>
      <c r="C226" s="22"/>
      <c r="D226" s="22"/>
      <c r="E226" s="28"/>
      <c r="F226" s="10" t="str">
        <f aca="false">IF(B226="","",SUMIFS($D$5:D226,$B$5:B226,B226))</f>
        <v/>
      </c>
      <c r="G226" s="10" t="str">
        <f aca="false">IF(B226="","",IF(F226&gt;=3,"FLAG",""))</f>
        <v/>
      </c>
    </row>
    <row r="227" customFormat="false" ht="15" hidden="false" customHeight="false" outlineLevel="0" collapsed="false">
      <c r="A227" s="24"/>
      <c r="B227" s="28"/>
      <c r="C227" s="22"/>
      <c r="D227" s="22"/>
      <c r="E227" s="28"/>
      <c r="F227" s="10" t="str">
        <f aca="false">IF(B227="","",SUMIFS($D$5:D227,$B$5:B227,B227))</f>
        <v/>
      </c>
      <c r="G227" s="10" t="str">
        <f aca="false">IF(B227="","",IF(F227&gt;=3,"FLAG",""))</f>
        <v/>
      </c>
    </row>
    <row r="228" customFormat="false" ht="15" hidden="false" customHeight="false" outlineLevel="0" collapsed="false">
      <c r="A228" s="24"/>
      <c r="B228" s="28"/>
      <c r="C228" s="22"/>
      <c r="D228" s="22"/>
      <c r="E228" s="28"/>
      <c r="F228" s="10" t="str">
        <f aca="false">IF(B228="","",SUMIFS($D$5:D228,$B$5:B228,B228))</f>
        <v/>
      </c>
      <c r="G228" s="10" t="str">
        <f aca="false">IF(B228="","",IF(F228&gt;=3,"FLAG",""))</f>
        <v/>
      </c>
    </row>
    <row r="229" customFormat="false" ht="15" hidden="false" customHeight="false" outlineLevel="0" collapsed="false">
      <c r="A229" s="24"/>
      <c r="B229" s="28"/>
      <c r="C229" s="22"/>
      <c r="D229" s="22"/>
      <c r="E229" s="28"/>
      <c r="F229" s="10" t="str">
        <f aca="false">IF(B229="","",SUMIFS($D$5:D229,$B$5:B229,B229))</f>
        <v/>
      </c>
      <c r="G229" s="10" t="str">
        <f aca="false">IF(B229="","",IF(F229&gt;=3,"FLAG",""))</f>
        <v/>
      </c>
    </row>
    <row r="230" customFormat="false" ht="15" hidden="false" customHeight="false" outlineLevel="0" collapsed="false">
      <c r="A230" s="24"/>
      <c r="B230" s="28"/>
      <c r="C230" s="22"/>
      <c r="D230" s="22"/>
      <c r="E230" s="28"/>
      <c r="F230" s="10" t="str">
        <f aca="false">IF(B230="","",SUMIFS($D$5:D230,$B$5:B230,B230))</f>
        <v/>
      </c>
      <c r="G230" s="10" t="str">
        <f aca="false">IF(B230="","",IF(F230&gt;=3,"FLAG",""))</f>
        <v/>
      </c>
    </row>
    <row r="231" customFormat="false" ht="15" hidden="false" customHeight="false" outlineLevel="0" collapsed="false">
      <c r="A231" s="24"/>
      <c r="B231" s="28"/>
      <c r="C231" s="22"/>
      <c r="D231" s="22"/>
      <c r="E231" s="28"/>
      <c r="F231" s="10" t="str">
        <f aca="false">IF(B231="","",SUMIFS($D$5:D231,$B$5:B231,B231))</f>
        <v/>
      </c>
      <c r="G231" s="10" t="str">
        <f aca="false">IF(B231="","",IF(F231&gt;=3,"FLAG",""))</f>
        <v/>
      </c>
    </row>
    <row r="232" customFormat="false" ht="15" hidden="false" customHeight="false" outlineLevel="0" collapsed="false">
      <c r="A232" s="24"/>
      <c r="B232" s="28"/>
      <c r="C232" s="22"/>
      <c r="D232" s="22"/>
      <c r="E232" s="28"/>
      <c r="F232" s="10" t="str">
        <f aca="false">IF(B232="","",SUMIFS($D$5:D232,$B$5:B232,B232))</f>
        <v/>
      </c>
      <c r="G232" s="10" t="str">
        <f aca="false">IF(B232="","",IF(F232&gt;=3,"FLAG",""))</f>
        <v/>
      </c>
    </row>
    <row r="233" customFormat="false" ht="15" hidden="false" customHeight="false" outlineLevel="0" collapsed="false">
      <c r="A233" s="24"/>
      <c r="B233" s="28"/>
      <c r="C233" s="22"/>
      <c r="D233" s="22"/>
      <c r="E233" s="28"/>
      <c r="F233" s="10" t="str">
        <f aca="false">IF(B233="","",SUMIFS($D$5:D233,$B$5:B233,B233))</f>
        <v/>
      </c>
      <c r="G233" s="10" t="str">
        <f aca="false">IF(B233="","",IF(F233&gt;=3,"FLAG",""))</f>
        <v/>
      </c>
    </row>
    <row r="234" customFormat="false" ht="15" hidden="false" customHeight="false" outlineLevel="0" collapsed="false">
      <c r="A234" s="24"/>
      <c r="B234" s="28"/>
      <c r="C234" s="22"/>
      <c r="D234" s="22"/>
      <c r="E234" s="28"/>
      <c r="F234" s="10" t="str">
        <f aca="false">IF(B234="","",SUMIFS($D$5:D234,$B$5:B234,B234))</f>
        <v/>
      </c>
      <c r="G234" s="10" t="str">
        <f aca="false">IF(B234="","",IF(F234&gt;=3,"FLAG",""))</f>
        <v/>
      </c>
    </row>
    <row r="235" customFormat="false" ht="15" hidden="false" customHeight="false" outlineLevel="0" collapsed="false">
      <c r="A235" s="24"/>
      <c r="B235" s="28"/>
      <c r="C235" s="22"/>
      <c r="D235" s="22"/>
      <c r="E235" s="28"/>
      <c r="F235" s="10" t="str">
        <f aca="false">IF(B235="","",SUMIFS($D$5:D235,$B$5:B235,B235))</f>
        <v/>
      </c>
      <c r="G235" s="10" t="str">
        <f aca="false">IF(B235="","",IF(F235&gt;=3,"FLAG",""))</f>
        <v/>
      </c>
    </row>
    <row r="236" customFormat="false" ht="15" hidden="false" customHeight="false" outlineLevel="0" collapsed="false">
      <c r="A236" s="24"/>
      <c r="B236" s="28"/>
      <c r="C236" s="22"/>
      <c r="D236" s="22"/>
      <c r="E236" s="28"/>
      <c r="F236" s="10" t="str">
        <f aca="false">IF(B236="","",SUMIFS($D$5:D236,$B$5:B236,B236))</f>
        <v/>
      </c>
      <c r="G236" s="10" t="str">
        <f aca="false">IF(B236="","",IF(F236&gt;=3,"FLAG",""))</f>
        <v/>
      </c>
    </row>
    <row r="237" customFormat="false" ht="15" hidden="false" customHeight="false" outlineLevel="0" collapsed="false">
      <c r="A237" s="24"/>
      <c r="B237" s="28"/>
      <c r="C237" s="22"/>
      <c r="D237" s="22"/>
      <c r="E237" s="28"/>
      <c r="F237" s="10" t="str">
        <f aca="false">IF(B237="","",SUMIFS($D$5:D237,$B$5:B237,B237))</f>
        <v/>
      </c>
      <c r="G237" s="10" t="str">
        <f aca="false">IF(B237="","",IF(F237&gt;=3,"FLAG",""))</f>
        <v/>
      </c>
    </row>
    <row r="238" customFormat="false" ht="15" hidden="false" customHeight="false" outlineLevel="0" collapsed="false">
      <c r="A238" s="24"/>
      <c r="B238" s="28"/>
      <c r="C238" s="22"/>
      <c r="D238" s="22"/>
      <c r="E238" s="28"/>
      <c r="F238" s="10" t="str">
        <f aca="false">IF(B238="","",SUMIFS($D$5:D238,$B$5:B238,B238))</f>
        <v/>
      </c>
      <c r="G238" s="10" t="str">
        <f aca="false">IF(B238="","",IF(F238&gt;=3,"FLAG",""))</f>
        <v/>
      </c>
    </row>
    <row r="239" customFormat="false" ht="15" hidden="false" customHeight="false" outlineLevel="0" collapsed="false">
      <c r="A239" s="24"/>
      <c r="B239" s="28"/>
      <c r="C239" s="22"/>
      <c r="D239" s="22"/>
      <c r="E239" s="28"/>
      <c r="F239" s="10" t="str">
        <f aca="false">IF(B239="","",SUMIFS($D$5:D239,$B$5:B239,B239))</f>
        <v/>
      </c>
      <c r="G239" s="10" t="str">
        <f aca="false">IF(B239="","",IF(F239&gt;=3,"FLAG",""))</f>
        <v/>
      </c>
    </row>
    <row r="240" customFormat="false" ht="15" hidden="false" customHeight="false" outlineLevel="0" collapsed="false">
      <c r="A240" s="24"/>
      <c r="B240" s="28"/>
      <c r="C240" s="22"/>
      <c r="D240" s="22"/>
      <c r="E240" s="28"/>
      <c r="F240" s="10" t="str">
        <f aca="false">IF(B240="","",SUMIFS($D$5:D240,$B$5:B240,B240))</f>
        <v/>
      </c>
      <c r="G240" s="10" t="str">
        <f aca="false">IF(B240="","",IF(F240&gt;=3,"FLAG",""))</f>
        <v/>
      </c>
    </row>
    <row r="241" customFormat="false" ht="15" hidden="false" customHeight="false" outlineLevel="0" collapsed="false">
      <c r="A241" s="24"/>
      <c r="B241" s="28"/>
      <c r="C241" s="22"/>
      <c r="D241" s="22"/>
      <c r="E241" s="28"/>
      <c r="F241" s="10" t="str">
        <f aca="false">IF(B241="","",SUMIFS($D$5:D241,$B$5:B241,B241))</f>
        <v/>
      </c>
      <c r="G241" s="10" t="str">
        <f aca="false">IF(B241="","",IF(F241&gt;=3,"FLAG",""))</f>
        <v/>
      </c>
    </row>
    <row r="242" customFormat="false" ht="15" hidden="false" customHeight="false" outlineLevel="0" collapsed="false">
      <c r="A242" s="24"/>
      <c r="B242" s="28"/>
      <c r="C242" s="22"/>
      <c r="D242" s="22"/>
      <c r="E242" s="28"/>
      <c r="F242" s="10" t="str">
        <f aca="false">IF(B242="","",SUMIFS($D$5:D242,$B$5:B242,B242))</f>
        <v/>
      </c>
      <c r="G242" s="10" t="str">
        <f aca="false">IF(B242="","",IF(F242&gt;=3,"FLAG",""))</f>
        <v/>
      </c>
    </row>
    <row r="243" customFormat="false" ht="15" hidden="false" customHeight="false" outlineLevel="0" collapsed="false">
      <c r="A243" s="24"/>
      <c r="B243" s="28"/>
      <c r="C243" s="22"/>
      <c r="D243" s="22"/>
      <c r="E243" s="28"/>
      <c r="F243" s="10" t="str">
        <f aca="false">IF(B243="","",SUMIFS($D$5:D243,$B$5:B243,B243))</f>
        <v/>
      </c>
      <c r="G243" s="10" t="str">
        <f aca="false">IF(B243="","",IF(F243&gt;=3,"FLAG",""))</f>
        <v/>
      </c>
    </row>
    <row r="244" customFormat="false" ht="15" hidden="false" customHeight="false" outlineLevel="0" collapsed="false">
      <c r="A244" s="24"/>
      <c r="B244" s="28"/>
      <c r="C244" s="22"/>
      <c r="D244" s="22"/>
      <c r="E244" s="28"/>
      <c r="F244" s="10" t="str">
        <f aca="false">IF(B244="","",SUMIFS($D$5:D244,$B$5:B244,B244))</f>
        <v/>
      </c>
      <c r="G244" s="10" t="str">
        <f aca="false">IF(B244="","",IF(F244&gt;=3,"FLAG",""))</f>
        <v/>
      </c>
    </row>
    <row r="245" customFormat="false" ht="15" hidden="false" customHeight="false" outlineLevel="0" collapsed="false">
      <c r="A245" s="24"/>
      <c r="B245" s="28"/>
      <c r="C245" s="22"/>
      <c r="D245" s="22"/>
      <c r="E245" s="28"/>
      <c r="F245" s="10" t="str">
        <f aca="false">IF(B245="","",SUMIFS($D$5:D245,$B$5:B245,B245))</f>
        <v/>
      </c>
      <c r="G245" s="10" t="str">
        <f aca="false">IF(B245="","",IF(F245&gt;=3,"FLAG",""))</f>
        <v/>
      </c>
    </row>
    <row r="246" customFormat="false" ht="15" hidden="false" customHeight="false" outlineLevel="0" collapsed="false">
      <c r="A246" s="24"/>
      <c r="B246" s="28"/>
      <c r="C246" s="22"/>
      <c r="D246" s="22"/>
      <c r="E246" s="28"/>
      <c r="F246" s="10" t="str">
        <f aca="false">IF(B246="","",SUMIFS($D$5:D246,$B$5:B246,B246))</f>
        <v/>
      </c>
      <c r="G246" s="10" t="str">
        <f aca="false">IF(B246="","",IF(F246&gt;=3,"FLAG",""))</f>
        <v/>
      </c>
    </row>
    <row r="247" customFormat="false" ht="15" hidden="false" customHeight="false" outlineLevel="0" collapsed="false">
      <c r="A247" s="24"/>
      <c r="B247" s="28"/>
      <c r="C247" s="22"/>
      <c r="D247" s="22"/>
      <c r="E247" s="28"/>
      <c r="F247" s="10" t="str">
        <f aca="false">IF(B247="","",SUMIFS($D$5:D247,$B$5:B247,B247))</f>
        <v/>
      </c>
      <c r="G247" s="10" t="str">
        <f aca="false">IF(B247="","",IF(F247&gt;=3,"FLAG",""))</f>
        <v/>
      </c>
    </row>
    <row r="248" customFormat="false" ht="15" hidden="false" customHeight="false" outlineLevel="0" collapsed="false">
      <c r="A248" s="24"/>
      <c r="B248" s="28"/>
      <c r="C248" s="22"/>
      <c r="D248" s="22"/>
      <c r="E248" s="28"/>
      <c r="F248" s="10" t="str">
        <f aca="false">IF(B248="","",SUMIFS($D$5:D248,$B$5:B248,B248))</f>
        <v/>
      </c>
      <c r="G248" s="10" t="str">
        <f aca="false">IF(B248="","",IF(F248&gt;=3,"FLAG",""))</f>
        <v/>
      </c>
    </row>
    <row r="249" customFormat="false" ht="15" hidden="false" customHeight="false" outlineLevel="0" collapsed="false">
      <c r="A249" s="24"/>
      <c r="B249" s="28"/>
      <c r="C249" s="22"/>
      <c r="D249" s="22"/>
      <c r="E249" s="28"/>
      <c r="F249" s="10" t="str">
        <f aca="false">IF(B249="","",SUMIFS($D$5:D249,$B$5:B249,B249))</f>
        <v/>
      </c>
      <c r="G249" s="10" t="str">
        <f aca="false">IF(B249="","",IF(F249&gt;=3,"FLAG",""))</f>
        <v/>
      </c>
    </row>
    <row r="250" customFormat="false" ht="15" hidden="false" customHeight="false" outlineLevel="0" collapsed="false">
      <c r="A250" s="24"/>
      <c r="B250" s="28"/>
      <c r="C250" s="22"/>
      <c r="D250" s="22"/>
      <c r="E250" s="28"/>
      <c r="F250" s="10" t="str">
        <f aca="false">IF(B250="","",SUMIFS($D$5:D250,$B$5:B250,B250))</f>
        <v/>
      </c>
      <c r="G250" s="10" t="str">
        <f aca="false">IF(B250="","",IF(F250&gt;=3,"FLAG",""))</f>
        <v/>
      </c>
    </row>
    <row r="251" customFormat="false" ht="15" hidden="false" customHeight="false" outlineLevel="0" collapsed="false">
      <c r="A251" s="24"/>
      <c r="B251" s="28"/>
      <c r="C251" s="22"/>
      <c r="D251" s="22"/>
      <c r="E251" s="28"/>
      <c r="F251" s="10" t="str">
        <f aca="false">IF(B251="","",SUMIFS($D$5:D251,$B$5:B251,B251))</f>
        <v/>
      </c>
      <c r="G251" s="10" t="str">
        <f aca="false">IF(B251="","",IF(F251&gt;=3,"FLAG",""))</f>
        <v/>
      </c>
    </row>
    <row r="252" customFormat="false" ht="15" hidden="false" customHeight="false" outlineLevel="0" collapsed="false">
      <c r="A252" s="24"/>
      <c r="B252" s="28"/>
      <c r="C252" s="22"/>
      <c r="D252" s="22"/>
      <c r="E252" s="28"/>
      <c r="F252" s="10" t="str">
        <f aca="false">IF(B252="","",SUMIFS($D$5:D252,$B$5:B252,B252))</f>
        <v/>
      </c>
      <c r="G252" s="10" t="str">
        <f aca="false">IF(B252="","",IF(F252&gt;=3,"FLAG",""))</f>
        <v/>
      </c>
    </row>
    <row r="253" customFormat="false" ht="15" hidden="false" customHeight="false" outlineLevel="0" collapsed="false">
      <c r="A253" s="24"/>
      <c r="B253" s="28"/>
      <c r="C253" s="22"/>
      <c r="D253" s="22"/>
      <c r="E253" s="28"/>
      <c r="F253" s="10" t="str">
        <f aca="false">IF(B253="","",SUMIFS($D$5:D253,$B$5:B253,B253))</f>
        <v/>
      </c>
      <c r="G253" s="10" t="str">
        <f aca="false">IF(B253="","",IF(F253&gt;=3,"FLAG",""))</f>
        <v/>
      </c>
    </row>
    <row r="254" customFormat="false" ht="15" hidden="false" customHeight="false" outlineLevel="0" collapsed="false">
      <c r="A254" s="24"/>
      <c r="B254" s="28"/>
      <c r="C254" s="22"/>
      <c r="D254" s="22"/>
      <c r="E254" s="28"/>
      <c r="F254" s="10" t="str">
        <f aca="false">IF(B254="","",SUMIFS($D$5:D254,$B$5:B254,B254))</f>
        <v/>
      </c>
      <c r="G254" s="10" t="str">
        <f aca="false">IF(B254="","",IF(F254&gt;=3,"FLAG",""))</f>
        <v/>
      </c>
    </row>
    <row r="255" customFormat="false" ht="15" hidden="false" customHeight="false" outlineLevel="0" collapsed="false">
      <c r="A255" s="24"/>
      <c r="B255" s="28"/>
      <c r="C255" s="22"/>
      <c r="D255" s="22"/>
      <c r="E255" s="28"/>
      <c r="F255" s="10" t="str">
        <f aca="false">IF(B255="","",SUMIFS($D$5:D255,$B$5:B255,B255))</f>
        <v/>
      </c>
      <c r="G255" s="10" t="str">
        <f aca="false">IF(B255="","",IF(F255&gt;=3,"FLAG",""))</f>
        <v/>
      </c>
    </row>
    <row r="256" customFormat="false" ht="15" hidden="false" customHeight="false" outlineLevel="0" collapsed="false">
      <c r="A256" s="24"/>
      <c r="B256" s="28"/>
      <c r="C256" s="22"/>
      <c r="D256" s="22"/>
      <c r="E256" s="28"/>
      <c r="F256" s="10" t="str">
        <f aca="false">IF(B256="","",SUMIFS($D$5:D256,$B$5:B256,B256))</f>
        <v/>
      </c>
      <c r="G256" s="10" t="str">
        <f aca="false">IF(B256="","",IF(F256&gt;=3,"FLAG",""))</f>
        <v/>
      </c>
    </row>
    <row r="257" customFormat="false" ht="15" hidden="false" customHeight="false" outlineLevel="0" collapsed="false">
      <c r="A257" s="24"/>
      <c r="B257" s="28"/>
      <c r="C257" s="22"/>
      <c r="D257" s="22"/>
      <c r="E257" s="28"/>
      <c r="F257" s="10" t="str">
        <f aca="false">IF(B257="","",SUMIFS($D$5:D257,$B$5:B257,B257))</f>
        <v/>
      </c>
      <c r="G257" s="10" t="str">
        <f aca="false">IF(B257="","",IF(F257&gt;=3,"FLAG",""))</f>
        <v/>
      </c>
    </row>
    <row r="258" customFormat="false" ht="15" hidden="false" customHeight="false" outlineLevel="0" collapsed="false">
      <c r="A258" s="24"/>
      <c r="B258" s="28"/>
      <c r="C258" s="22"/>
      <c r="D258" s="22"/>
      <c r="E258" s="28"/>
      <c r="F258" s="10" t="str">
        <f aca="false">IF(B258="","",SUMIFS($D$5:D258,$B$5:B258,B258))</f>
        <v/>
      </c>
      <c r="G258" s="10" t="str">
        <f aca="false">IF(B258="","",IF(F258&gt;=3,"FLAG",""))</f>
        <v/>
      </c>
    </row>
    <row r="259" customFormat="false" ht="15" hidden="false" customHeight="false" outlineLevel="0" collapsed="false">
      <c r="A259" s="24"/>
      <c r="B259" s="28"/>
      <c r="C259" s="22"/>
      <c r="D259" s="22"/>
      <c r="E259" s="28"/>
      <c r="F259" s="10" t="str">
        <f aca="false">IF(B259="","",SUMIFS($D$5:D259,$B$5:B259,B259))</f>
        <v/>
      </c>
      <c r="G259" s="10" t="str">
        <f aca="false">IF(B259="","",IF(F259&gt;=3,"FLAG",""))</f>
        <v/>
      </c>
    </row>
    <row r="260" customFormat="false" ht="15" hidden="false" customHeight="false" outlineLevel="0" collapsed="false">
      <c r="A260" s="24"/>
      <c r="B260" s="28"/>
      <c r="C260" s="22"/>
      <c r="D260" s="22"/>
      <c r="E260" s="28"/>
      <c r="F260" s="10" t="str">
        <f aca="false">IF(B260="","",SUMIFS($D$5:D260,$B$5:B260,B260))</f>
        <v/>
      </c>
      <c r="G260" s="10" t="str">
        <f aca="false">IF(B260="","",IF(F260&gt;=3,"FLAG",""))</f>
        <v/>
      </c>
    </row>
    <row r="261" customFormat="false" ht="15" hidden="false" customHeight="false" outlineLevel="0" collapsed="false">
      <c r="A261" s="24"/>
      <c r="B261" s="28"/>
      <c r="C261" s="22"/>
      <c r="D261" s="22"/>
      <c r="E261" s="28"/>
      <c r="F261" s="10" t="str">
        <f aca="false">IF(B261="","",SUMIFS($D$5:D261,$B$5:B261,B261))</f>
        <v/>
      </c>
      <c r="G261" s="10" t="str">
        <f aca="false">IF(B261="","",IF(F261&gt;=3,"FLAG",""))</f>
        <v/>
      </c>
    </row>
    <row r="262" customFormat="false" ht="15" hidden="false" customHeight="false" outlineLevel="0" collapsed="false">
      <c r="A262" s="24"/>
      <c r="B262" s="28"/>
      <c r="C262" s="22"/>
      <c r="D262" s="22"/>
      <c r="E262" s="28"/>
      <c r="F262" s="10" t="str">
        <f aca="false">IF(B262="","",SUMIFS($D$5:D262,$B$5:B262,B262))</f>
        <v/>
      </c>
      <c r="G262" s="10" t="str">
        <f aca="false">IF(B262="","",IF(F262&gt;=3,"FLAG",""))</f>
        <v/>
      </c>
    </row>
    <row r="263" customFormat="false" ht="15" hidden="false" customHeight="false" outlineLevel="0" collapsed="false">
      <c r="A263" s="24"/>
      <c r="B263" s="28"/>
      <c r="C263" s="22"/>
      <c r="D263" s="22"/>
      <c r="E263" s="28"/>
      <c r="F263" s="10" t="str">
        <f aca="false">IF(B263="","",SUMIFS($D$5:D263,$B$5:B263,B263))</f>
        <v/>
      </c>
      <c r="G263" s="10" t="str">
        <f aca="false">IF(B263="","",IF(F263&gt;=3,"FLAG",""))</f>
        <v/>
      </c>
    </row>
    <row r="264" customFormat="false" ht="15" hidden="false" customHeight="false" outlineLevel="0" collapsed="false">
      <c r="A264" s="24"/>
      <c r="B264" s="28"/>
      <c r="C264" s="22"/>
      <c r="D264" s="22"/>
      <c r="E264" s="28"/>
      <c r="F264" s="10" t="str">
        <f aca="false">IF(B264="","",SUMIFS($D$5:D264,$B$5:B264,B264))</f>
        <v/>
      </c>
      <c r="G264" s="10" t="str">
        <f aca="false">IF(B264="","",IF(F264&gt;=3,"FLAG",""))</f>
        <v/>
      </c>
    </row>
    <row r="265" customFormat="false" ht="15" hidden="false" customHeight="false" outlineLevel="0" collapsed="false">
      <c r="A265" s="24"/>
      <c r="B265" s="28"/>
      <c r="C265" s="22"/>
      <c r="D265" s="22"/>
      <c r="E265" s="28"/>
      <c r="F265" s="10" t="str">
        <f aca="false">IF(B265="","",SUMIFS($D$5:D265,$B$5:B265,B265))</f>
        <v/>
      </c>
      <c r="G265" s="10" t="str">
        <f aca="false">IF(B265="","",IF(F265&gt;=3,"FLAG",""))</f>
        <v/>
      </c>
    </row>
    <row r="266" customFormat="false" ht="15" hidden="false" customHeight="false" outlineLevel="0" collapsed="false">
      <c r="A266" s="24"/>
      <c r="B266" s="28"/>
      <c r="C266" s="22"/>
      <c r="D266" s="22"/>
      <c r="E266" s="28"/>
      <c r="F266" s="10" t="str">
        <f aca="false">IF(B266="","",SUMIFS($D$5:D266,$B$5:B266,B266))</f>
        <v/>
      </c>
      <c r="G266" s="10" t="str">
        <f aca="false">IF(B266="","",IF(F266&gt;=3,"FLAG",""))</f>
        <v/>
      </c>
    </row>
    <row r="267" customFormat="false" ht="15" hidden="false" customHeight="false" outlineLevel="0" collapsed="false">
      <c r="A267" s="24"/>
      <c r="B267" s="28"/>
      <c r="C267" s="22"/>
      <c r="D267" s="22"/>
      <c r="E267" s="28"/>
      <c r="F267" s="10" t="str">
        <f aca="false">IF(B267="","",SUMIFS($D$5:D267,$B$5:B267,B267))</f>
        <v/>
      </c>
      <c r="G267" s="10" t="str">
        <f aca="false">IF(B267="","",IF(F267&gt;=3,"FLAG",""))</f>
        <v/>
      </c>
    </row>
    <row r="268" customFormat="false" ht="15" hidden="false" customHeight="false" outlineLevel="0" collapsed="false">
      <c r="A268" s="24"/>
      <c r="B268" s="28"/>
      <c r="C268" s="22"/>
      <c r="D268" s="22"/>
      <c r="E268" s="28"/>
      <c r="F268" s="10" t="str">
        <f aca="false">IF(B268="","",SUMIFS($D$5:D268,$B$5:B268,B268))</f>
        <v/>
      </c>
      <c r="G268" s="10" t="str">
        <f aca="false">IF(B268="","",IF(F268&gt;=3,"FLAG",""))</f>
        <v/>
      </c>
    </row>
    <row r="269" customFormat="false" ht="15" hidden="false" customHeight="false" outlineLevel="0" collapsed="false">
      <c r="A269" s="24"/>
      <c r="B269" s="28"/>
      <c r="C269" s="22"/>
      <c r="D269" s="22"/>
      <c r="E269" s="28"/>
      <c r="F269" s="10" t="str">
        <f aca="false">IF(B269="","",SUMIFS($D$5:D269,$B$5:B269,B269))</f>
        <v/>
      </c>
      <c r="G269" s="10" t="str">
        <f aca="false">IF(B269="","",IF(F269&gt;=3,"FLAG",""))</f>
        <v/>
      </c>
    </row>
    <row r="270" customFormat="false" ht="15" hidden="false" customHeight="false" outlineLevel="0" collapsed="false">
      <c r="A270" s="24"/>
      <c r="B270" s="28"/>
      <c r="C270" s="22"/>
      <c r="D270" s="22"/>
      <c r="E270" s="28"/>
      <c r="F270" s="10" t="str">
        <f aca="false">IF(B270="","",SUMIFS($D$5:D270,$B$5:B270,B270))</f>
        <v/>
      </c>
      <c r="G270" s="10" t="str">
        <f aca="false">IF(B270="","",IF(F270&gt;=3,"FLAG",""))</f>
        <v/>
      </c>
    </row>
    <row r="271" customFormat="false" ht="15" hidden="false" customHeight="false" outlineLevel="0" collapsed="false">
      <c r="A271" s="24"/>
      <c r="B271" s="28"/>
      <c r="C271" s="22"/>
      <c r="D271" s="22"/>
      <c r="E271" s="28"/>
      <c r="F271" s="10" t="str">
        <f aca="false">IF(B271="","",SUMIFS($D$5:D271,$B$5:B271,B271))</f>
        <v/>
      </c>
      <c r="G271" s="10" t="str">
        <f aca="false">IF(B271="","",IF(F271&gt;=3,"FLAG",""))</f>
        <v/>
      </c>
    </row>
    <row r="272" customFormat="false" ht="15" hidden="false" customHeight="false" outlineLevel="0" collapsed="false">
      <c r="A272" s="24"/>
      <c r="B272" s="28"/>
      <c r="C272" s="22"/>
      <c r="D272" s="22"/>
      <c r="E272" s="28"/>
      <c r="F272" s="10" t="str">
        <f aca="false">IF(B272="","",SUMIFS($D$5:D272,$B$5:B272,B272))</f>
        <v/>
      </c>
      <c r="G272" s="10" t="str">
        <f aca="false">IF(B272="","",IF(F272&gt;=3,"FLAG",""))</f>
        <v/>
      </c>
    </row>
    <row r="273" customFormat="false" ht="15" hidden="false" customHeight="false" outlineLevel="0" collapsed="false">
      <c r="A273" s="24"/>
      <c r="B273" s="28"/>
      <c r="C273" s="22"/>
      <c r="D273" s="22"/>
      <c r="E273" s="28"/>
      <c r="F273" s="10" t="str">
        <f aca="false">IF(B273="","",SUMIFS($D$5:D273,$B$5:B273,B273))</f>
        <v/>
      </c>
      <c r="G273" s="10" t="str">
        <f aca="false">IF(B273="","",IF(F273&gt;=3,"FLAG",""))</f>
        <v/>
      </c>
    </row>
    <row r="274" customFormat="false" ht="15" hidden="false" customHeight="false" outlineLevel="0" collapsed="false">
      <c r="A274" s="24"/>
      <c r="B274" s="28"/>
      <c r="C274" s="22"/>
      <c r="D274" s="22"/>
      <c r="E274" s="28"/>
      <c r="F274" s="10" t="str">
        <f aca="false">IF(B274="","",SUMIFS($D$5:D274,$B$5:B274,B274))</f>
        <v/>
      </c>
      <c r="G274" s="10" t="str">
        <f aca="false">IF(B274="","",IF(F274&gt;=3,"FLAG",""))</f>
        <v/>
      </c>
    </row>
    <row r="275" customFormat="false" ht="15" hidden="false" customHeight="false" outlineLevel="0" collapsed="false">
      <c r="A275" s="24"/>
      <c r="B275" s="28"/>
      <c r="C275" s="22"/>
      <c r="D275" s="22"/>
      <c r="E275" s="28"/>
      <c r="F275" s="10" t="str">
        <f aca="false">IF(B275="","",SUMIFS($D$5:D275,$B$5:B275,B275))</f>
        <v/>
      </c>
      <c r="G275" s="10" t="str">
        <f aca="false">IF(B275="","",IF(F275&gt;=3,"FLAG",""))</f>
        <v/>
      </c>
    </row>
    <row r="276" customFormat="false" ht="15" hidden="false" customHeight="false" outlineLevel="0" collapsed="false">
      <c r="A276" s="24"/>
      <c r="B276" s="28"/>
      <c r="C276" s="22"/>
      <c r="D276" s="22"/>
      <c r="E276" s="28"/>
      <c r="F276" s="10" t="str">
        <f aca="false">IF(B276="","",SUMIFS($D$5:D276,$B$5:B276,B276))</f>
        <v/>
      </c>
      <c r="G276" s="10" t="str">
        <f aca="false">IF(B276="","",IF(F276&gt;=3,"FLAG",""))</f>
        <v/>
      </c>
    </row>
    <row r="277" customFormat="false" ht="15" hidden="false" customHeight="false" outlineLevel="0" collapsed="false">
      <c r="A277" s="24"/>
      <c r="B277" s="28"/>
      <c r="C277" s="22"/>
      <c r="D277" s="22"/>
      <c r="E277" s="28"/>
      <c r="F277" s="10" t="str">
        <f aca="false">IF(B277="","",SUMIFS($D$5:D277,$B$5:B277,B277))</f>
        <v/>
      </c>
      <c r="G277" s="10" t="str">
        <f aca="false">IF(B277="","",IF(F277&gt;=3,"FLAG",""))</f>
        <v/>
      </c>
    </row>
    <row r="278" customFormat="false" ht="15" hidden="false" customHeight="false" outlineLevel="0" collapsed="false">
      <c r="A278" s="24"/>
      <c r="B278" s="28"/>
      <c r="C278" s="22"/>
      <c r="D278" s="22"/>
      <c r="E278" s="28"/>
      <c r="F278" s="10" t="str">
        <f aca="false">IF(B278="","",SUMIFS($D$5:D278,$B$5:B278,B278))</f>
        <v/>
      </c>
      <c r="G278" s="10" t="str">
        <f aca="false">IF(B278="","",IF(F278&gt;=3,"FLAG",""))</f>
        <v/>
      </c>
    </row>
    <row r="279" customFormat="false" ht="15" hidden="false" customHeight="false" outlineLevel="0" collapsed="false">
      <c r="A279" s="24"/>
      <c r="B279" s="28"/>
      <c r="C279" s="22"/>
      <c r="D279" s="22"/>
      <c r="E279" s="28"/>
      <c r="F279" s="10" t="str">
        <f aca="false">IF(B279="","",SUMIFS($D$5:D279,$B$5:B279,B279))</f>
        <v/>
      </c>
      <c r="G279" s="10" t="str">
        <f aca="false">IF(B279="","",IF(F279&gt;=3,"FLAG",""))</f>
        <v/>
      </c>
    </row>
    <row r="280" customFormat="false" ht="15" hidden="false" customHeight="false" outlineLevel="0" collapsed="false">
      <c r="A280" s="24"/>
      <c r="B280" s="28"/>
      <c r="C280" s="22"/>
      <c r="D280" s="22"/>
      <c r="E280" s="28"/>
      <c r="F280" s="10" t="str">
        <f aca="false">IF(B280="","",SUMIFS($D$5:D280,$B$5:B280,B280))</f>
        <v/>
      </c>
      <c r="G280" s="10" t="str">
        <f aca="false">IF(B280="","",IF(F280&gt;=3,"FLAG",""))</f>
        <v/>
      </c>
    </row>
    <row r="281" customFormat="false" ht="15" hidden="false" customHeight="false" outlineLevel="0" collapsed="false">
      <c r="A281" s="24"/>
      <c r="B281" s="28"/>
      <c r="C281" s="22"/>
      <c r="D281" s="22"/>
      <c r="E281" s="28"/>
      <c r="F281" s="10" t="str">
        <f aca="false">IF(B281="","",SUMIFS($D$5:D281,$B$5:B281,B281))</f>
        <v/>
      </c>
      <c r="G281" s="10" t="str">
        <f aca="false">IF(B281="","",IF(F281&gt;=3,"FLAG",""))</f>
        <v/>
      </c>
    </row>
    <row r="282" customFormat="false" ht="15" hidden="false" customHeight="false" outlineLevel="0" collapsed="false">
      <c r="A282" s="24"/>
      <c r="B282" s="28"/>
      <c r="C282" s="22"/>
      <c r="D282" s="22"/>
      <c r="E282" s="28"/>
      <c r="F282" s="10" t="str">
        <f aca="false">IF(B282="","",SUMIFS($D$5:D282,$B$5:B282,B282))</f>
        <v/>
      </c>
      <c r="G282" s="10" t="str">
        <f aca="false">IF(B282="","",IF(F282&gt;=3,"FLAG",""))</f>
        <v/>
      </c>
    </row>
    <row r="283" customFormat="false" ht="15" hidden="false" customHeight="false" outlineLevel="0" collapsed="false">
      <c r="A283" s="24"/>
      <c r="B283" s="28"/>
      <c r="C283" s="22"/>
      <c r="D283" s="22"/>
      <c r="E283" s="28"/>
      <c r="F283" s="10" t="str">
        <f aca="false">IF(B283="","",SUMIFS($D$5:D283,$B$5:B283,B283))</f>
        <v/>
      </c>
      <c r="G283" s="10" t="str">
        <f aca="false">IF(B283="","",IF(F283&gt;=3,"FLAG",""))</f>
        <v/>
      </c>
    </row>
    <row r="284" customFormat="false" ht="15" hidden="false" customHeight="false" outlineLevel="0" collapsed="false">
      <c r="A284" s="24"/>
      <c r="B284" s="28"/>
      <c r="C284" s="22"/>
      <c r="D284" s="22"/>
      <c r="E284" s="28"/>
      <c r="F284" s="10" t="str">
        <f aca="false">IF(B284="","",SUMIFS($D$5:D284,$B$5:B284,B284))</f>
        <v/>
      </c>
      <c r="G284" s="10" t="str">
        <f aca="false">IF(B284="","",IF(F284&gt;=3,"FLAG",""))</f>
        <v/>
      </c>
    </row>
    <row r="285" customFormat="false" ht="15" hidden="false" customHeight="false" outlineLevel="0" collapsed="false">
      <c r="A285" s="24"/>
      <c r="B285" s="28"/>
      <c r="C285" s="22"/>
      <c r="D285" s="22"/>
      <c r="E285" s="28"/>
      <c r="F285" s="10" t="str">
        <f aca="false">IF(B285="","",SUMIFS($D$5:D285,$B$5:B285,B285))</f>
        <v/>
      </c>
      <c r="G285" s="10" t="str">
        <f aca="false">IF(B285="","",IF(F285&gt;=3,"FLAG",""))</f>
        <v/>
      </c>
    </row>
    <row r="286" customFormat="false" ht="15" hidden="false" customHeight="false" outlineLevel="0" collapsed="false">
      <c r="A286" s="24"/>
      <c r="B286" s="28"/>
      <c r="C286" s="22"/>
      <c r="D286" s="22"/>
      <c r="E286" s="28"/>
      <c r="F286" s="10" t="str">
        <f aca="false">IF(B286="","",SUMIFS($D$5:D286,$B$5:B286,B286))</f>
        <v/>
      </c>
      <c r="G286" s="10" t="str">
        <f aca="false">IF(B286="","",IF(F286&gt;=3,"FLAG",""))</f>
        <v/>
      </c>
    </row>
    <row r="287" customFormat="false" ht="15" hidden="false" customHeight="false" outlineLevel="0" collapsed="false">
      <c r="A287" s="24"/>
      <c r="B287" s="28"/>
      <c r="C287" s="22"/>
      <c r="D287" s="22"/>
      <c r="E287" s="28"/>
      <c r="F287" s="10" t="str">
        <f aca="false">IF(B287="","",SUMIFS($D$5:D287,$B$5:B287,B287))</f>
        <v/>
      </c>
      <c r="G287" s="10" t="str">
        <f aca="false">IF(B287="","",IF(F287&gt;=3,"FLAG",""))</f>
        <v/>
      </c>
    </row>
    <row r="288" customFormat="false" ht="15" hidden="false" customHeight="false" outlineLevel="0" collapsed="false">
      <c r="A288" s="24"/>
      <c r="B288" s="28"/>
      <c r="C288" s="22"/>
      <c r="D288" s="22"/>
      <c r="E288" s="28"/>
      <c r="F288" s="10" t="str">
        <f aca="false">IF(B288="","",SUMIFS($D$5:D288,$B$5:B288,B288))</f>
        <v/>
      </c>
      <c r="G288" s="10" t="str">
        <f aca="false">IF(B288="","",IF(F288&gt;=3,"FLAG",""))</f>
        <v/>
      </c>
    </row>
    <row r="289" customFormat="false" ht="15" hidden="false" customHeight="false" outlineLevel="0" collapsed="false">
      <c r="A289" s="24"/>
      <c r="B289" s="28"/>
      <c r="C289" s="22"/>
      <c r="D289" s="22"/>
      <c r="E289" s="28"/>
      <c r="F289" s="10" t="str">
        <f aca="false">IF(B289="","",SUMIFS($D$5:D289,$B$5:B289,B289))</f>
        <v/>
      </c>
      <c r="G289" s="10" t="str">
        <f aca="false">IF(B289="","",IF(F289&gt;=3,"FLAG",""))</f>
        <v/>
      </c>
    </row>
    <row r="290" customFormat="false" ht="15" hidden="false" customHeight="false" outlineLevel="0" collapsed="false">
      <c r="A290" s="24"/>
      <c r="B290" s="28"/>
      <c r="C290" s="22"/>
      <c r="D290" s="22"/>
      <c r="E290" s="28"/>
      <c r="F290" s="10" t="str">
        <f aca="false">IF(B290="","",SUMIFS($D$5:D290,$B$5:B290,B290))</f>
        <v/>
      </c>
      <c r="G290" s="10" t="str">
        <f aca="false">IF(B290="","",IF(F290&gt;=3,"FLAG",""))</f>
        <v/>
      </c>
    </row>
    <row r="291" customFormat="false" ht="15" hidden="false" customHeight="false" outlineLevel="0" collapsed="false">
      <c r="A291" s="24"/>
      <c r="B291" s="28"/>
      <c r="C291" s="22"/>
      <c r="D291" s="22"/>
      <c r="E291" s="28"/>
      <c r="F291" s="10" t="str">
        <f aca="false">IF(B291="","",SUMIFS($D$5:D291,$B$5:B291,B291))</f>
        <v/>
      </c>
      <c r="G291" s="10" t="str">
        <f aca="false">IF(B291="","",IF(F291&gt;=3,"FLAG",""))</f>
        <v/>
      </c>
    </row>
    <row r="292" customFormat="false" ht="15" hidden="false" customHeight="false" outlineLevel="0" collapsed="false">
      <c r="A292" s="24"/>
      <c r="B292" s="28"/>
      <c r="C292" s="22"/>
      <c r="D292" s="22"/>
      <c r="E292" s="28"/>
      <c r="F292" s="10" t="str">
        <f aca="false">IF(B292="","",SUMIFS($D$5:D292,$B$5:B292,B292))</f>
        <v/>
      </c>
      <c r="G292" s="10" t="str">
        <f aca="false">IF(B292="","",IF(F292&gt;=3,"FLAG",""))</f>
        <v/>
      </c>
    </row>
    <row r="293" customFormat="false" ht="15" hidden="false" customHeight="false" outlineLevel="0" collapsed="false">
      <c r="A293" s="24"/>
      <c r="B293" s="28"/>
      <c r="C293" s="22"/>
      <c r="D293" s="22"/>
      <c r="E293" s="28"/>
      <c r="F293" s="10" t="str">
        <f aca="false">IF(B293="","",SUMIFS($D$5:D293,$B$5:B293,B293))</f>
        <v/>
      </c>
      <c r="G293" s="10" t="str">
        <f aca="false">IF(B293="","",IF(F293&gt;=3,"FLAG",""))</f>
        <v/>
      </c>
    </row>
    <row r="294" customFormat="false" ht="15" hidden="false" customHeight="false" outlineLevel="0" collapsed="false">
      <c r="A294" s="24"/>
      <c r="B294" s="28"/>
      <c r="C294" s="22"/>
      <c r="D294" s="22"/>
      <c r="E294" s="28"/>
      <c r="F294" s="10" t="str">
        <f aca="false">IF(B294="","",SUMIFS($D$5:D294,$B$5:B294,B294))</f>
        <v/>
      </c>
      <c r="G294" s="10" t="str">
        <f aca="false">IF(B294="","",IF(F294&gt;=3,"FLAG",""))</f>
        <v/>
      </c>
    </row>
    <row r="295" customFormat="false" ht="15" hidden="false" customHeight="false" outlineLevel="0" collapsed="false">
      <c r="A295" s="24"/>
      <c r="B295" s="28"/>
      <c r="C295" s="22"/>
      <c r="D295" s="22"/>
      <c r="E295" s="28"/>
      <c r="F295" s="10" t="str">
        <f aca="false">IF(B295="","",SUMIFS($D$5:D295,$B$5:B295,B295))</f>
        <v/>
      </c>
      <c r="G295" s="10" t="str">
        <f aca="false">IF(B295="","",IF(F295&gt;=3,"FLAG",""))</f>
        <v/>
      </c>
    </row>
    <row r="296" customFormat="false" ht="15" hidden="false" customHeight="false" outlineLevel="0" collapsed="false">
      <c r="A296" s="24"/>
      <c r="B296" s="28"/>
      <c r="C296" s="22"/>
      <c r="D296" s="22"/>
      <c r="E296" s="28"/>
      <c r="F296" s="10" t="str">
        <f aca="false">IF(B296="","",SUMIFS($D$5:D296,$B$5:B296,B296))</f>
        <v/>
      </c>
      <c r="G296" s="10" t="str">
        <f aca="false">IF(B296="","",IF(F296&gt;=3,"FLAG",""))</f>
        <v/>
      </c>
    </row>
    <row r="297" customFormat="false" ht="15" hidden="false" customHeight="false" outlineLevel="0" collapsed="false">
      <c r="A297" s="24"/>
      <c r="B297" s="28"/>
      <c r="C297" s="22"/>
      <c r="D297" s="22"/>
      <c r="E297" s="28"/>
      <c r="F297" s="10" t="str">
        <f aca="false">IF(B297="","",SUMIFS($D$5:D297,$B$5:B297,B297))</f>
        <v/>
      </c>
      <c r="G297" s="10" t="str">
        <f aca="false">IF(B297="","",IF(F297&gt;=3,"FLAG",""))</f>
        <v/>
      </c>
    </row>
    <row r="298" customFormat="false" ht="15" hidden="false" customHeight="false" outlineLevel="0" collapsed="false">
      <c r="A298" s="24"/>
      <c r="B298" s="28"/>
      <c r="C298" s="22"/>
      <c r="D298" s="22"/>
      <c r="E298" s="28"/>
      <c r="F298" s="10" t="str">
        <f aca="false">IF(B298="","",SUMIFS($D$5:D298,$B$5:B298,B298))</f>
        <v/>
      </c>
      <c r="G298" s="10" t="str">
        <f aca="false">IF(B298="","",IF(F298&gt;=3,"FLAG",""))</f>
        <v/>
      </c>
    </row>
    <row r="299" customFormat="false" ht="15" hidden="false" customHeight="false" outlineLevel="0" collapsed="false">
      <c r="A299" s="24"/>
      <c r="B299" s="28"/>
      <c r="C299" s="22"/>
      <c r="D299" s="22"/>
      <c r="E299" s="28"/>
      <c r="F299" s="10" t="str">
        <f aca="false">IF(B299="","",SUMIFS($D$5:D299,$B$5:B299,B299))</f>
        <v/>
      </c>
      <c r="G299" s="10" t="str">
        <f aca="false">IF(B299="","",IF(F299&gt;=3,"FLAG",""))</f>
        <v/>
      </c>
    </row>
    <row r="300" customFormat="false" ht="15" hidden="false" customHeight="false" outlineLevel="0" collapsed="false">
      <c r="A300" s="24"/>
      <c r="B300" s="28"/>
      <c r="C300" s="22"/>
      <c r="D300" s="22"/>
      <c r="E300" s="28"/>
      <c r="F300" s="10" t="str">
        <f aca="false">IF(B300="","",SUMIFS($D$5:D300,$B$5:B300,B300))</f>
        <v/>
      </c>
      <c r="G300" s="10" t="str">
        <f aca="false">IF(B300="","",IF(F300&gt;=3,"FLAG",""))</f>
        <v/>
      </c>
    </row>
    <row r="301" customFormat="false" ht="15" hidden="false" customHeight="false" outlineLevel="0" collapsed="false">
      <c r="A301" s="24"/>
      <c r="B301" s="28"/>
      <c r="C301" s="22"/>
      <c r="D301" s="22"/>
      <c r="E301" s="28"/>
      <c r="F301" s="10" t="str">
        <f aca="false">IF(B301="","",SUMIFS($D$5:D301,$B$5:B301,B301))</f>
        <v/>
      </c>
      <c r="G301" s="10" t="str">
        <f aca="false">IF(B301="","",IF(F301&gt;=3,"FLAG",""))</f>
        <v/>
      </c>
    </row>
    <row r="302" customFormat="false" ht="15" hidden="false" customHeight="false" outlineLevel="0" collapsed="false">
      <c r="A302" s="24"/>
      <c r="B302" s="28"/>
      <c r="C302" s="22"/>
      <c r="D302" s="22"/>
      <c r="E302" s="28"/>
      <c r="F302" s="10" t="str">
        <f aca="false">IF(B302="","",SUMIFS($D$5:D302,$B$5:B302,B302))</f>
        <v/>
      </c>
      <c r="G302" s="10" t="str">
        <f aca="false">IF(B302="","",IF(F302&gt;=3,"FLAG",""))</f>
        <v/>
      </c>
    </row>
    <row r="303" customFormat="false" ht="15" hidden="false" customHeight="false" outlineLevel="0" collapsed="false">
      <c r="A303" s="24"/>
      <c r="B303" s="28"/>
      <c r="C303" s="22"/>
      <c r="D303" s="22"/>
      <c r="E303" s="28"/>
      <c r="F303" s="10" t="str">
        <f aca="false">IF(B303="","",SUMIFS($D$5:D303,$B$5:B303,B303))</f>
        <v/>
      </c>
      <c r="G303" s="10" t="str">
        <f aca="false">IF(B303="","",IF(F303&gt;=3,"FLAG",""))</f>
        <v/>
      </c>
    </row>
    <row r="304" customFormat="false" ht="15" hidden="false" customHeight="false" outlineLevel="0" collapsed="false">
      <c r="A304" s="24"/>
      <c r="B304" s="28"/>
      <c r="C304" s="22"/>
      <c r="D304" s="22"/>
      <c r="E304" s="28"/>
      <c r="F304" s="10" t="str">
        <f aca="false">IF(B304="","",SUMIFS($D$5:D304,$B$5:B304,B304))</f>
        <v/>
      </c>
      <c r="G304" s="10" t="str">
        <f aca="false">IF(B304="","",IF(F304&gt;=3,"FLAG",""))</f>
        <v/>
      </c>
    </row>
    <row r="305" customFormat="false" ht="15" hidden="false" customHeight="false" outlineLevel="0" collapsed="false">
      <c r="A305" s="24"/>
      <c r="B305" s="28"/>
      <c r="C305" s="22"/>
      <c r="D305" s="22"/>
      <c r="E305" s="28"/>
      <c r="F305" s="10" t="str">
        <f aca="false">IF(B305="","",SUMIFS($D$5:D305,$B$5:B305,B305))</f>
        <v/>
      </c>
      <c r="G305" s="10" t="str">
        <f aca="false">IF(B305="","",IF(F305&gt;=3,"FLAG",""))</f>
        <v/>
      </c>
    </row>
    <row r="306" customFormat="false" ht="15" hidden="false" customHeight="false" outlineLevel="0" collapsed="false">
      <c r="A306" s="24"/>
      <c r="B306" s="28"/>
      <c r="C306" s="22"/>
      <c r="D306" s="22"/>
      <c r="E306" s="28"/>
      <c r="F306" s="10" t="str">
        <f aca="false">IF(B306="","",SUMIFS($D$5:D306,$B$5:B306,B306))</f>
        <v/>
      </c>
      <c r="G306" s="10" t="str">
        <f aca="false">IF(B306="","",IF(F306&gt;=3,"FLAG",""))</f>
        <v/>
      </c>
    </row>
    <row r="307" customFormat="false" ht="15" hidden="false" customHeight="false" outlineLevel="0" collapsed="false">
      <c r="A307" s="24"/>
      <c r="B307" s="28"/>
      <c r="C307" s="22"/>
      <c r="D307" s="22"/>
      <c r="E307" s="28"/>
      <c r="F307" s="10" t="str">
        <f aca="false">IF(B307="","",SUMIFS($D$5:D307,$B$5:B307,B307))</f>
        <v/>
      </c>
      <c r="G307" s="10" t="str">
        <f aca="false">IF(B307="","",IF(F307&gt;=3,"FLAG",""))</f>
        <v/>
      </c>
    </row>
    <row r="308" customFormat="false" ht="15" hidden="false" customHeight="false" outlineLevel="0" collapsed="false">
      <c r="A308" s="24"/>
      <c r="B308" s="28"/>
      <c r="C308" s="22"/>
      <c r="D308" s="22"/>
      <c r="E308" s="28"/>
      <c r="F308" s="10" t="str">
        <f aca="false">IF(B308="","",SUMIFS($D$5:D308,$B$5:B308,B308))</f>
        <v/>
      </c>
      <c r="G308" s="10" t="str">
        <f aca="false">IF(B308="","",IF(F308&gt;=3,"FLAG",""))</f>
        <v/>
      </c>
    </row>
    <row r="309" customFormat="false" ht="15" hidden="false" customHeight="false" outlineLevel="0" collapsed="false">
      <c r="A309" s="24"/>
      <c r="B309" s="28"/>
      <c r="C309" s="22"/>
      <c r="D309" s="22"/>
      <c r="E309" s="28"/>
      <c r="F309" s="10" t="str">
        <f aca="false">IF(B309="","",SUMIFS($D$5:D309,$B$5:B309,B309))</f>
        <v/>
      </c>
      <c r="G309" s="10" t="str">
        <f aca="false">IF(B309="","",IF(F309&gt;=3,"FLAG",""))</f>
        <v/>
      </c>
    </row>
    <row r="310" customFormat="false" ht="15" hidden="false" customHeight="false" outlineLevel="0" collapsed="false">
      <c r="A310" s="24"/>
      <c r="B310" s="28"/>
      <c r="C310" s="22"/>
      <c r="D310" s="22"/>
      <c r="E310" s="28"/>
      <c r="F310" s="10" t="str">
        <f aca="false">IF(B310="","",SUMIFS($D$5:D310,$B$5:B310,B310))</f>
        <v/>
      </c>
      <c r="G310" s="10" t="str">
        <f aca="false">IF(B310="","",IF(F310&gt;=3,"FLAG",""))</f>
        <v/>
      </c>
    </row>
    <row r="311" customFormat="false" ht="15" hidden="false" customHeight="false" outlineLevel="0" collapsed="false">
      <c r="A311" s="24"/>
      <c r="B311" s="28"/>
      <c r="C311" s="22"/>
      <c r="D311" s="22"/>
      <c r="E311" s="28"/>
      <c r="F311" s="10" t="str">
        <f aca="false">IF(B311="","",SUMIFS($D$5:D311,$B$5:B311,B311))</f>
        <v/>
      </c>
      <c r="G311" s="10" t="str">
        <f aca="false">IF(B311="","",IF(F311&gt;=3,"FLAG",""))</f>
        <v/>
      </c>
    </row>
    <row r="312" customFormat="false" ht="15" hidden="false" customHeight="false" outlineLevel="0" collapsed="false">
      <c r="A312" s="24"/>
      <c r="B312" s="28"/>
      <c r="C312" s="22"/>
      <c r="D312" s="22"/>
      <c r="E312" s="28"/>
      <c r="F312" s="10" t="str">
        <f aca="false">IF(B312="","",SUMIFS($D$5:D312,$B$5:B312,B312))</f>
        <v/>
      </c>
      <c r="G312" s="10" t="str">
        <f aca="false">IF(B312="","",IF(F312&gt;=3,"FLAG",""))</f>
        <v/>
      </c>
    </row>
    <row r="313" customFormat="false" ht="15" hidden="false" customHeight="false" outlineLevel="0" collapsed="false">
      <c r="A313" s="24"/>
      <c r="B313" s="28"/>
      <c r="C313" s="22"/>
      <c r="D313" s="22"/>
      <c r="E313" s="28"/>
      <c r="F313" s="10" t="str">
        <f aca="false">IF(B313="","",SUMIFS($D$5:D313,$B$5:B313,B313))</f>
        <v/>
      </c>
      <c r="G313" s="10" t="str">
        <f aca="false">IF(B313="","",IF(F313&gt;=3,"FLAG",""))</f>
        <v/>
      </c>
    </row>
    <row r="314" customFormat="false" ht="15" hidden="false" customHeight="false" outlineLevel="0" collapsed="false">
      <c r="A314" s="24"/>
      <c r="B314" s="28"/>
      <c r="C314" s="22"/>
      <c r="D314" s="22"/>
      <c r="E314" s="28"/>
      <c r="F314" s="10" t="str">
        <f aca="false">IF(B314="","",SUMIFS($D$5:D314,$B$5:B314,B314))</f>
        <v/>
      </c>
      <c r="G314" s="10" t="str">
        <f aca="false">IF(B314="","",IF(F314&gt;=3,"FLAG",""))</f>
        <v/>
      </c>
    </row>
    <row r="315" customFormat="false" ht="15" hidden="false" customHeight="false" outlineLevel="0" collapsed="false">
      <c r="A315" s="24"/>
      <c r="B315" s="28"/>
      <c r="C315" s="22"/>
      <c r="D315" s="22"/>
      <c r="E315" s="28"/>
      <c r="F315" s="10" t="str">
        <f aca="false">IF(B315="","",SUMIFS($D$5:D315,$B$5:B315,B315))</f>
        <v/>
      </c>
      <c r="G315" s="10" t="str">
        <f aca="false">IF(B315="","",IF(F315&gt;=3,"FLAG",""))</f>
        <v/>
      </c>
    </row>
    <row r="316" customFormat="false" ht="15" hidden="false" customHeight="false" outlineLevel="0" collapsed="false">
      <c r="A316" s="24"/>
      <c r="B316" s="28"/>
      <c r="C316" s="22"/>
      <c r="D316" s="22"/>
      <c r="E316" s="28"/>
      <c r="F316" s="10" t="str">
        <f aca="false">IF(B316="","",SUMIFS($D$5:D316,$B$5:B316,B316))</f>
        <v/>
      </c>
      <c r="G316" s="10" t="str">
        <f aca="false">IF(B316="","",IF(F316&gt;=3,"FLAG",""))</f>
        <v/>
      </c>
    </row>
    <row r="317" customFormat="false" ht="15" hidden="false" customHeight="false" outlineLevel="0" collapsed="false">
      <c r="A317" s="24"/>
      <c r="B317" s="28"/>
      <c r="C317" s="22"/>
      <c r="D317" s="22"/>
      <c r="E317" s="28"/>
      <c r="F317" s="10" t="str">
        <f aca="false">IF(B317="","",SUMIFS($D$5:D317,$B$5:B317,B317))</f>
        <v/>
      </c>
      <c r="G317" s="10" t="str">
        <f aca="false">IF(B317="","",IF(F317&gt;=3,"FLAG",""))</f>
        <v/>
      </c>
    </row>
    <row r="318" customFormat="false" ht="15" hidden="false" customHeight="false" outlineLevel="0" collapsed="false">
      <c r="A318" s="24"/>
      <c r="B318" s="28"/>
      <c r="C318" s="22"/>
      <c r="D318" s="22"/>
      <c r="E318" s="28"/>
      <c r="F318" s="10" t="str">
        <f aca="false">IF(B318="","",SUMIFS($D$5:D318,$B$5:B318,B318))</f>
        <v/>
      </c>
      <c r="G318" s="10" t="str">
        <f aca="false">IF(B318="","",IF(F318&gt;=3,"FLAG",""))</f>
        <v/>
      </c>
    </row>
    <row r="319" customFormat="false" ht="15" hidden="false" customHeight="false" outlineLevel="0" collapsed="false">
      <c r="A319" s="24"/>
      <c r="B319" s="28"/>
      <c r="C319" s="22"/>
      <c r="D319" s="22"/>
      <c r="E319" s="28"/>
      <c r="F319" s="10" t="str">
        <f aca="false">IF(B319="","",SUMIFS($D$5:D319,$B$5:B319,B319))</f>
        <v/>
      </c>
      <c r="G319" s="10" t="str">
        <f aca="false">IF(B319="","",IF(F319&gt;=3,"FLAG",""))</f>
        <v/>
      </c>
    </row>
    <row r="320" customFormat="false" ht="15" hidden="false" customHeight="false" outlineLevel="0" collapsed="false">
      <c r="A320" s="24"/>
      <c r="B320" s="28"/>
      <c r="C320" s="22"/>
      <c r="D320" s="22"/>
      <c r="E320" s="28"/>
      <c r="F320" s="10" t="str">
        <f aca="false">IF(B320="","",SUMIFS($D$5:D320,$B$5:B320,B320))</f>
        <v/>
      </c>
      <c r="G320" s="10" t="str">
        <f aca="false">IF(B320="","",IF(F320&gt;=3,"FLAG",""))</f>
        <v/>
      </c>
    </row>
    <row r="321" customFormat="false" ht="15" hidden="false" customHeight="false" outlineLevel="0" collapsed="false">
      <c r="A321" s="24"/>
      <c r="B321" s="28"/>
      <c r="C321" s="22"/>
      <c r="D321" s="22"/>
      <c r="E321" s="28"/>
      <c r="F321" s="10" t="str">
        <f aca="false">IF(B321="","",SUMIFS($D$5:D321,$B$5:B321,B321))</f>
        <v/>
      </c>
      <c r="G321" s="10" t="str">
        <f aca="false">IF(B321="","",IF(F321&gt;=3,"FLAG",""))</f>
        <v/>
      </c>
    </row>
    <row r="322" customFormat="false" ht="15" hidden="false" customHeight="false" outlineLevel="0" collapsed="false">
      <c r="A322" s="24"/>
      <c r="B322" s="28"/>
      <c r="C322" s="22"/>
      <c r="D322" s="22"/>
      <c r="E322" s="28"/>
      <c r="F322" s="10" t="str">
        <f aca="false">IF(B322="","",SUMIFS($D$5:D322,$B$5:B322,B322))</f>
        <v/>
      </c>
      <c r="G322" s="10" t="str">
        <f aca="false">IF(B322="","",IF(F322&gt;=3,"FLAG",""))</f>
        <v/>
      </c>
    </row>
    <row r="323" customFormat="false" ht="15" hidden="false" customHeight="false" outlineLevel="0" collapsed="false">
      <c r="A323" s="24"/>
      <c r="B323" s="28"/>
      <c r="C323" s="22"/>
      <c r="D323" s="22"/>
      <c r="E323" s="28"/>
      <c r="F323" s="10" t="str">
        <f aca="false">IF(B323="","",SUMIFS($D$5:D323,$B$5:B323,B323))</f>
        <v/>
      </c>
      <c r="G323" s="10" t="str">
        <f aca="false">IF(B323="","",IF(F323&gt;=3,"FLAG",""))</f>
        <v/>
      </c>
    </row>
    <row r="324" customFormat="false" ht="15" hidden="false" customHeight="false" outlineLevel="0" collapsed="false">
      <c r="A324" s="24"/>
      <c r="B324" s="28"/>
      <c r="C324" s="22"/>
      <c r="D324" s="22"/>
      <c r="E324" s="28"/>
      <c r="F324" s="10" t="str">
        <f aca="false">IF(B324="","",SUMIFS($D$5:D324,$B$5:B324,B324))</f>
        <v/>
      </c>
      <c r="G324" s="10" t="str">
        <f aca="false">IF(B324="","",IF(F324&gt;=3,"FLAG",""))</f>
        <v/>
      </c>
    </row>
    <row r="325" customFormat="false" ht="15" hidden="false" customHeight="false" outlineLevel="0" collapsed="false">
      <c r="A325" s="24"/>
      <c r="B325" s="28"/>
      <c r="C325" s="22"/>
      <c r="D325" s="22"/>
      <c r="E325" s="28"/>
      <c r="F325" s="10" t="str">
        <f aca="false">IF(B325="","",SUMIFS($D$5:D325,$B$5:B325,B325))</f>
        <v/>
      </c>
      <c r="G325" s="10" t="str">
        <f aca="false">IF(B325="","",IF(F325&gt;=3,"FLAG",""))</f>
        <v/>
      </c>
    </row>
    <row r="326" customFormat="false" ht="15" hidden="false" customHeight="false" outlineLevel="0" collapsed="false">
      <c r="A326" s="24"/>
      <c r="B326" s="28"/>
      <c r="C326" s="22"/>
      <c r="D326" s="22"/>
      <c r="E326" s="28"/>
      <c r="F326" s="10" t="str">
        <f aca="false">IF(B326="","",SUMIFS($D$5:D326,$B$5:B326,B326))</f>
        <v/>
      </c>
      <c r="G326" s="10" t="str">
        <f aca="false">IF(B326="","",IF(F326&gt;=3,"FLAG",""))</f>
        <v/>
      </c>
    </row>
    <row r="327" customFormat="false" ht="15" hidden="false" customHeight="false" outlineLevel="0" collapsed="false">
      <c r="A327" s="24"/>
      <c r="B327" s="28"/>
      <c r="C327" s="22"/>
      <c r="D327" s="22"/>
      <c r="E327" s="28"/>
      <c r="F327" s="10" t="str">
        <f aca="false">IF(B327="","",SUMIFS($D$5:D327,$B$5:B327,B327))</f>
        <v/>
      </c>
      <c r="G327" s="10" t="str">
        <f aca="false">IF(B327="","",IF(F327&gt;=3,"FLAG",""))</f>
        <v/>
      </c>
    </row>
    <row r="328" customFormat="false" ht="15" hidden="false" customHeight="false" outlineLevel="0" collapsed="false">
      <c r="A328" s="24"/>
      <c r="B328" s="28"/>
      <c r="C328" s="22"/>
      <c r="D328" s="22"/>
      <c r="E328" s="28"/>
      <c r="F328" s="10" t="str">
        <f aca="false">IF(B328="","",SUMIFS($D$5:D328,$B$5:B328,B328))</f>
        <v/>
      </c>
      <c r="G328" s="10" t="str">
        <f aca="false">IF(B328="","",IF(F328&gt;=3,"FLAG",""))</f>
        <v/>
      </c>
    </row>
    <row r="329" customFormat="false" ht="15" hidden="false" customHeight="false" outlineLevel="0" collapsed="false">
      <c r="A329" s="24"/>
      <c r="B329" s="28"/>
      <c r="C329" s="22"/>
      <c r="D329" s="22"/>
      <c r="E329" s="28"/>
      <c r="F329" s="10" t="str">
        <f aca="false">IF(B329="","",SUMIFS($D$5:D329,$B$5:B329,B329))</f>
        <v/>
      </c>
      <c r="G329" s="10" t="str">
        <f aca="false">IF(B329="","",IF(F329&gt;=3,"FLAG",""))</f>
        <v/>
      </c>
    </row>
    <row r="330" customFormat="false" ht="15" hidden="false" customHeight="false" outlineLevel="0" collapsed="false">
      <c r="A330" s="24"/>
      <c r="B330" s="28"/>
      <c r="C330" s="22"/>
      <c r="D330" s="22"/>
      <c r="E330" s="28"/>
      <c r="F330" s="10" t="str">
        <f aca="false">IF(B330="","",SUMIFS($D$5:D330,$B$5:B330,B330))</f>
        <v/>
      </c>
      <c r="G330" s="10" t="str">
        <f aca="false">IF(B330="","",IF(F330&gt;=3,"FLAG",""))</f>
        <v/>
      </c>
    </row>
    <row r="331" customFormat="false" ht="15" hidden="false" customHeight="false" outlineLevel="0" collapsed="false">
      <c r="A331" s="24"/>
      <c r="B331" s="28"/>
      <c r="C331" s="22"/>
      <c r="D331" s="22"/>
      <c r="E331" s="28"/>
      <c r="F331" s="10" t="str">
        <f aca="false">IF(B331="","",SUMIFS($D$5:D331,$B$5:B331,B331))</f>
        <v/>
      </c>
      <c r="G331" s="10" t="str">
        <f aca="false">IF(B331="","",IF(F331&gt;=3,"FLAG",""))</f>
        <v/>
      </c>
    </row>
    <row r="332" customFormat="false" ht="15" hidden="false" customHeight="false" outlineLevel="0" collapsed="false">
      <c r="A332" s="24"/>
      <c r="B332" s="28"/>
      <c r="C332" s="22"/>
      <c r="D332" s="22"/>
      <c r="E332" s="28"/>
      <c r="F332" s="10" t="str">
        <f aca="false">IF(B332="","",SUMIFS($D$5:D332,$B$5:B332,B332))</f>
        <v/>
      </c>
      <c r="G332" s="10" t="str">
        <f aca="false">IF(B332="","",IF(F332&gt;=3,"FLAG",""))</f>
        <v/>
      </c>
    </row>
    <row r="333" customFormat="false" ht="15" hidden="false" customHeight="false" outlineLevel="0" collapsed="false">
      <c r="A333" s="24"/>
      <c r="B333" s="28"/>
      <c r="C333" s="22"/>
      <c r="D333" s="22"/>
      <c r="E333" s="28"/>
      <c r="F333" s="10" t="str">
        <f aca="false">IF(B333="","",SUMIFS($D$5:D333,$B$5:B333,B333))</f>
        <v/>
      </c>
      <c r="G333" s="10" t="str">
        <f aca="false">IF(B333="","",IF(F333&gt;=3,"FLAG",""))</f>
        <v/>
      </c>
    </row>
    <row r="334" customFormat="false" ht="15" hidden="false" customHeight="false" outlineLevel="0" collapsed="false">
      <c r="A334" s="24"/>
      <c r="B334" s="28"/>
      <c r="C334" s="22"/>
      <c r="D334" s="22"/>
      <c r="E334" s="28"/>
      <c r="F334" s="10" t="str">
        <f aca="false">IF(B334="","",SUMIFS($D$5:D334,$B$5:B334,B334))</f>
        <v/>
      </c>
      <c r="G334" s="10" t="str">
        <f aca="false">IF(B334="","",IF(F334&gt;=3,"FLAG",""))</f>
        <v/>
      </c>
    </row>
    <row r="335" customFormat="false" ht="15" hidden="false" customHeight="false" outlineLevel="0" collapsed="false">
      <c r="A335" s="24"/>
      <c r="B335" s="28"/>
      <c r="C335" s="22"/>
      <c r="D335" s="22"/>
      <c r="E335" s="28"/>
      <c r="F335" s="10" t="str">
        <f aca="false">IF(B335="","",SUMIFS($D$5:D335,$B$5:B335,B335))</f>
        <v/>
      </c>
      <c r="G335" s="10" t="str">
        <f aca="false">IF(B335="","",IF(F335&gt;=3,"FLAG",""))</f>
        <v/>
      </c>
    </row>
    <row r="336" customFormat="false" ht="15" hidden="false" customHeight="false" outlineLevel="0" collapsed="false">
      <c r="A336" s="24"/>
      <c r="B336" s="28"/>
      <c r="C336" s="22"/>
      <c r="D336" s="22"/>
      <c r="E336" s="28"/>
      <c r="F336" s="10" t="str">
        <f aca="false">IF(B336="","",SUMIFS($D$5:D336,$B$5:B336,B336))</f>
        <v/>
      </c>
      <c r="G336" s="10" t="str">
        <f aca="false">IF(B336="","",IF(F336&gt;=3,"FLAG",""))</f>
        <v/>
      </c>
    </row>
    <row r="337" customFormat="false" ht="15" hidden="false" customHeight="false" outlineLevel="0" collapsed="false">
      <c r="A337" s="24"/>
      <c r="B337" s="28"/>
      <c r="C337" s="22"/>
      <c r="D337" s="22"/>
      <c r="E337" s="28"/>
      <c r="F337" s="10" t="str">
        <f aca="false">IF(B337="","",SUMIFS($D$5:D337,$B$5:B337,B337))</f>
        <v/>
      </c>
      <c r="G337" s="10" t="str">
        <f aca="false">IF(B337="","",IF(F337&gt;=3,"FLAG",""))</f>
        <v/>
      </c>
    </row>
    <row r="338" customFormat="false" ht="15" hidden="false" customHeight="false" outlineLevel="0" collapsed="false">
      <c r="A338" s="24"/>
      <c r="B338" s="28"/>
      <c r="C338" s="22"/>
      <c r="D338" s="22"/>
      <c r="E338" s="28"/>
      <c r="F338" s="10" t="str">
        <f aca="false">IF(B338="","",SUMIFS($D$5:D338,$B$5:B338,B338))</f>
        <v/>
      </c>
      <c r="G338" s="10" t="str">
        <f aca="false">IF(B338="","",IF(F338&gt;=3,"FLAG",""))</f>
        <v/>
      </c>
    </row>
    <row r="339" customFormat="false" ht="15" hidden="false" customHeight="false" outlineLevel="0" collapsed="false">
      <c r="A339" s="24"/>
      <c r="B339" s="28"/>
      <c r="C339" s="22"/>
      <c r="D339" s="22"/>
      <c r="E339" s="28"/>
      <c r="F339" s="10" t="str">
        <f aca="false">IF(B339="","",SUMIFS($D$5:D339,$B$5:B339,B339))</f>
        <v/>
      </c>
      <c r="G339" s="10" t="str">
        <f aca="false">IF(B339="","",IF(F339&gt;=3,"FLAG",""))</f>
        <v/>
      </c>
    </row>
    <row r="340" customFormat="false" ht="15" hidden="false" customHeight="false" outlineLevel="0" collapsed="false">
      <c r="A340" s="24"/>
      <c r="B340" s="28"/>
      <c r="C340" s="22"/>
      <c r="D340" s="22"/>
      <c r="E340" s="28"/>
      <c r="F340" s="10" t="str">
        <f aca="false">IF(B340="","",SUMIFS($D$5:D340,$B$5:B340,B340))</f>
        <v/>
      </c>
      <c r="G340" s="10" t="str">
        <f aca="false">IF(B340="","",IF(F340&gt;=3,"FLAG",""))</f>
        <v/>
      </c>
    </row>
    <row r="341" customFormat="false" ht="15" hidden="false" customHeight="false" outlineLevel="0" collapsed="false">
      <c r="A341" s="24"/>
      <c r="B341" s="28"/>
      <c r="C341" s="22"/>
      <c r="D341" s="22"/>
      <c r="E341" s="28"/>
      <c r="F341" s="10" t="str">
        <f aca="false">IF(B341="","",SUMIFS($D$5:D341,$B$5:B341,B341))</f>
        <v/>
      </c>
      <c r="G341" s="10" t="str">
        <f aca="false">IF(B341="","",IF(F341&gt;=3,"FLAG",""))</f>
        <v/>
      </c>
    </row>
    <row r="342" customFormat="false" ht="15" hidden="false" customHeight="false" outlineLevel="0" collapsed="false">
      <c r="A342" s="24"/>
      <c r="B342" s="28"/>
      <c r="C342" s="22"/>
      <c r="D342" s="22"/>
      <c r="E342" s="28"/>
      <c r="F342" s="10" t="str">
        <f aca="false">IF(B342="","",SUMIFS($D$5:D342,$B$5:B342,B342))</f>
        <v/>
      </c>
      <c r="G342" s="10" t="str">
        <f aca="false">IF(B342="","",IF(F342&gt;=3,"FLAG",""))</f>
        <v/>
      </c>
    </row>
    <row r="343" customFormat="false" ht="15" hidden="false" customHeight="false" outlineLevel="0" collapsed="false">
      <c r="A343" s="24"/>
      <c r="B343" s="28"/>
      <c r="C343" s="22"/>
      <c r="D343" s="22"/>
      <c r="E343" s="28"/>
      <c r="F343" s="10" t="str">
        <f aca="false">IF(B343="","",SUMIFS($D$5:D343,$B$5:B343,B343))</f>
        <v/>
      </c>
      <c r="G343" s="10" t="str">
        <f aca="false">IF(B343="","",IF(F343&gt;=3,"FLAG",""))</f>
        <v/>
      </c>
    </row>
    <row r="344" customFormat="false" ht="15" hidden="false" customHeight="false" outlineLevel="0" collapsed="false">
      <c r="A344" s="24"/>
      <c r="B344" s="28"/>
      <c r="C344" s="22"/>
      <c r="D344" s="22"/>
      <c r="E344" s="28"/>
      <c r="F344" s="10" t="str">
        <f aca="false">IF(B344="","",SUMIFS($D$5:D344,$B$5:B344,B344))</f>
        <v/>
      </c>
      <c r="G344" s="10" t="str">
        <f aca="false">IF(B344="","",IF(F344&gt;=3,"FLAG",""))</f>
        <v/>
      </c>
    </row>
    <row r="345" customFormat="false" ht="15" hidden="false" customHeight="false" outlineLevel="0" collapsed="false">
      <c r="A345" s="24"/>
      <c r="B345" s="28"/>
      <c r="C345" s="22"/>
      <c r="D345" s="22"/>
      <c r="E345" s="28"/>
      <c r="F345" s="10" t="str">
        <f aca="false">IF(B345="","",SUMIFS($D$5:D345,$B$5:B345,B345))</f>
        <v/>
      </c>
      <c r="G345" s="10" t="str">
        <f aca="false">IF(B345="","",IF(F345&gt;=3,"FLAG",""))</f>
        <v/>
      </c>
    </row>
    <row r="346" customFormat="false" ht="15" hidden="false" customHeight="false" outlineLevel="0" collapsed="false">
      <c r="A346" s="24"/>
      <c r="B346" s="28"/>
      <c r="C346" s="22"/>
      <c r="D346" s="22"/>
      <c r="E346" s="28"/>
      <c r="F346" s="10" t="str">
        <f aca="false">IF(B346="","",SUMIFS($D$5:D346,$B$5:B346,B346))</f>
        <v/>
      </c>
      <c r="G346" s="10" t="str">
        <f aca="false">IF(B346="","",IF(F346&gt;=3,"FLAG",""))</f>
        <v/>
      </c>
    </row>
    <row r="347" customFormat="false" ht="15" hidden="false" customHeight="false" outlineLevel="0" collapsed="false">
      <c r="A347" s="24"/>
      <c r="B347" s="28"/>
      <c r="C347" s="22"/>
      <c r="D347" s="22"/>
      <c r="E347" s="28"/>
      <c r="F347" s="10" t="str">
        <f aca="false">IF(B347="","",SUMIFS($D$5:D347,$B$5:B347,B347))</f>
        <v/>
      </c>
      <c r="G347" s="10" t="str">
        <f aca="false">IF(B347="","",IF(F347&gt;=3,"FLAG",""))</f>
        <v/>
      </c>
    </row>
    <row r="348" customFormat="false" ht="15" hidden="false" customHeight="false" outlineLevel="0" collapsed="false">
      <c r="A348" s="24"/>
      <c r="B348" s="28"/>
      <c r="C348" s="22"/>
      <c r="D348" s="22"/>
      <c r="E348" s="28"/>
      <c r="F348" s="10" t="str">
        <f aca="false">IF(B348="","",SUMIFS($D$5:D348,$B$5:B348,B348))</f>
        <v/>
      </c>
      <c r="G348" s="10" t="str">
        <f aca="false">IF(B348="","",IF(F348&gt;=3,"FLAG",""))</f>
        <v/>
      </c>
    </row>
    <row r="349" customFormat="false" ht="15" hidden="false" customHeight="false" outlineLevel="0" collapsed="false">
      <c r="A349" s="24"/>
      <c r="B349" s="28"/>
      <c r="C349" s="22"/>
      <c r="D349" s="22"/>
      <c r="E349" s="28"/>
      <c r="F349" s="10" t="str">
        <f aca="false">IF(B349="","",SUMIFS($D$5:D349,$B$5:B349,B349))</f>
        <v/>
      </c>
      <c r="G349" s="10" t="str">
        <f aca="false">IF(B349="","",IF(F349&gt;=3,"FLAG",""))</f>
        <v/>
      </c>
    </row>
    <row r="350" customFormat="false" ht="15" hidden="false" customHeight="false" outlineLevel="0" collapsed="false">
      <c r="A350" s="24"/>
      <c r="B350" s="28"/>
      <c r="C350" s="22"/>
      <c r="D350" s="22"/>
      <c r="E350" s="28"/>
      <c r="F350" s="10" t="str">
        <f aca="false">IF(B350="","",SUMIFS($D$5:D350,$B$5:B350,B350))</f>
        <v/>
      </c>
      <c r="G350" s="10" t="str">
        <f aca="false">IF(B350="","",IF(F350&gt;=3,"FLAG",""))</f>
        <v/>
      </c>
    </row>
    <row r="351" customFormat="false" ht="15" hidden="false" customHeight="false" outlineLevel="0" collapsed="false">
      <c r="A351" s="24"/>
      <c r="B351" s="28"/>
      <c r="C351" s="22"/>
      <c r="D351" s="22"/>
      <c r="E351" s="28"/>
      <c r="F351" s="10" t="str">
        <f aca="false">IF(B351="","",SUMIFS($D$5:D351,$B$5:B351,B351))</f>
        <v/>
      </c>
      <c r="G351" s="10" t="str">
        <f aca="false">IF(B351="","",IF(F351&gt;=3,"FLAG",""))</f>
        <v/>
      </c>
    </row>
    <row r="352" customFormat="false" ht="15" hidden="false" customHeight="false" outlineLevel="0" collapsed="false">
      <c r="A352" s="24"/>
      <c r="B352" s="28"/>
      <c r="C352" s="22"/>
      <c r="D352" s="22"/>
      <c r="E352" s="28"/>
      <c r="F352" s="10" t="str">
        <f aca="false">IF(B352="","",SUMIFS($D$5:D352,$B$5:B352,B352))</f>
        <v/>
      </c>
      <c r="G352" s="10" t="str">
        <f aca="false">IF(B352="","",IF(F352&gt;=3,"FLAG",""))</f>
        <v/>
      </c>
    </row>
    <row r="353" customFormat="false" ht="15" hidden="false" customHeight="false" outlineLevel="0" collapsed="false">
      <c r="A353" s="24"/>
      <c r="B353" s="28"/>
      <c r="C353" s="22"/>
      <c r="D353" s="22"/>
      <c r="E353" s="28"/>
      <c r="F353" s="10" t="str">
        <f aca="false">IF(B353="","",SUMIFS($D$5:D353,$B$5:B353,B353))</f>
        <v/>
      </c>
      <c r="G353" s="10" t="str">
        <f aca="false">IF(B353="","",IF(F353&gt;=3,"FLAG",""))</f>
        <v/>
      </c>
    </row>
    <row r="354" customFormat="false" ht="15" hidden="false" customHeight="false" outlineLevel="0" collapsed="false">
      <c r="A354" s="24"/>
      <c r="B354" s="28"/>
      <c r="C354" s="22"/>
      <c r="D354" s="22"/>
      <c r="E354" s="28"/>
      <c r="F354" s="10" t="str">
        <f aca="false">IF(B354="","",SUMIFS($D$5:D354,$B$5:B354,B354))</f>
        <v/>
      </c>
      <c r="G354" s="10" t="str">
        <f aca="false">IF(B354="","",IF(F354&gt;=3,"FLAG",""))</f>
        <v/>
      </c>
    </row>
    <row r="355" customFormat="false" ht="15" hidden="false" customHeight="false" outlineLevel="0" collapsed="false">
      <c r="A355" s="24"/>
      <c r="B355" s="28"/>
      <c r="C355" s="22"/>
      <c r="D355" s="22"/>
      <c r="E355" s="28"/>
      <c r="F355" s="10" t="str">
        <f aca="false">IF(B355="","",SUMIFS($D$5:D355,$B$5:B355,B355))</f>
        <v/>
      </c>
      <c r="G355" s="10" t="str">
        <f aca="false">IF(B355="","",IF(F355&gt;=3,"FLAG",""))</f>
        <v/>
      </c>
    </row>
    <row r="356" customFormat="false" ht="15" hidden="false" customHeight="false" outlineLevel="0" collapsed="false">
      <c r="A356" s="24"/>
      <c r="B356" s="28"/>
      <c r="C356" s="22"/>
      <c r="D356" s="22"/>
      <c r="E356" s="28"/>
      <c r="F356" s="10" t="str">
        <f aca="false">IF(B356="","",SUMIFS($D$5:D356,$B$5:B356,B356))</f>
        <v/>
      </c>
      <c r="G356" s="10" t="str">
        <f aca="false">IF(B356="","",IF(F356&gt;=3,"FLAG",""))</f>
        <v/>
      </c>
    </row>
    <row r="357" customFormat="false" ht="15" hidden="false" customHeight="false" outlineLevel="0" collapsed="false">
      <c r="A357" s="24"/>
      <c r="B357" s="28"/>
      <c r="C357" s="22"/>
      <c r="D357" s="22"/>
      <c r="E357" s="28"/>
      <c r="F357" s="10" t="str">
        <f aca="false">IF(B357="","",SUMIFS($D$5:D357,$B$5:B357,B357))</f>
        <v/>
      </c>
      <c r="G357" s="10" t="str">
        <f aca="false">IF(B357="","",IF(F357&gt;=3,"FLAG",""))</f>
        <v/>
      </c>
    </row>
    <row r="358" customFormat="false" ht="15" hidden="false" customHeight="false" outlineLevel="0" collapsed="false">
      <c r="A358" s="24"/>
      <c r="B358" s="28"/>
      <c r="C358" s="22"/>
      <c r="D358" s="22"/>
      <c r="E358" s="28"/>
      <c r="F358" s="10" t="str">
        <f aca="false">IF(B358="","",SUMIFS($D$5:D358,$B$5:B358,B358))</f>
        <v/>
      </c>
      <c r="G358" s="10" t="str">
        <f aca="false">IF(B358="","",IF(F358&gt;=3,"FLAG",""))</f>
        <v/>
      </c>
    </row>
    <row r="359" customFormat="false" ht="15" hidden="false" customHeight="false" outlineLevel="0" collapsed="false">
      <c r="A359" s="24"/>
      <c r="B359" s="28"/>
      <c r="C359" s="22"/>
      <c r="D359" s="22"/>
      <c r="E359" s="28"/>
      <c r="F359" s="10" t="str">
        <f aca="false">IF(B359="","",SUMIFS($D$5:D359,$B$5:B359,B359))</f>
        <v/>
      </c>
      <c r="G359" s="10" t="str">
        <f aca="false">IF(B359="","",IF(F359&gt;=3,"FLAG",""))</f>
        <v/>
      </c>
    </row>
    <row r="360" customFormat="false" ht="15" hidden="false" customHeight="false" outlineLevel="0" collapsed="false">
      <c r="A360" s="24"/>
      <c r="B360" s="28"/>
      <c r="C360" s="22"/>
      <c r="D360" s="22"/>
      <c r="E360" s="28"/>
      <c r="F360" s="10" t="str">
        <f aca="false">IF(B360="","",SUMIFS($D$5:D360,$B$5:B360,B360))</f>
        <v/>
      </c>
      <c r="G360" s="10" t="str">
        <f aca="false">IF(B360="","",IF(F360&gt;=3,"FLAG",""))</f>
        <v/>
      </c>
    </row>
    <row r="361" customFormat="false" ht="15" hidden="false" customHeight="false" outlineLevel="0" collapsed="false">
      <c r="A361" s="24"/>
      <c r="B361" s="28"/>
      <c r="C361" s="22"/>
      <c r="D361" s="22"/>
      <c r="E361" s="28"/>
      <c r="F361" s="10" t="str">
        <f aca="false">IF(B361="","",SUMIFS($D$5:D361,$B$5:B361,B361))</f>
        <v/>
      </c>
      <c r="G361" s="10" t="str">
        <f aca="false">IF(B361="","",IF(F361&gt;=3,"FLAG",""))</f>
        <v/>
      </c>
    </row>
    <row r="362" customFormat="false" ht="15" hidden="false" customHeight="false" outlineLevel="0" collapsed="false">
      <c r="A362" s="24"/>
      <c r="B362" s="28"/>
      <c r="C362" s="22"/>
      <c r="D362" s="22"/>
      <c r="E362" s="28"/>
      <c r="F362" s="10" t="str">
        <f aca="false">IF(B362="","",SUMIFS($D$5:D362,$B$5:B362,B362))</f>
        <v/>
      </c>
      <c r="G362" s="10" t="str">
        <f aca="false">IF(B362="","",IF(F362&gt;=3,"FLAG",""))</f>
        <v/>
      </c>
    </row>
    <row r="363" customFormat="false" ht="15" hidden="false" customHeight="false" outlineLevel="0" collapsed="false">
      <c r="A363" s="24"/>
      <c r="B363" s="28"/>
      <c r="C363" s="22"/>
      <c r="D363" s="22"/>
      <c r="E363" s="28"/>
      <c r="F363" s="10" t="str">
        <f aca="false">IF(B363="","",SUMIFS($D$5:D363,$B$5:B363,B363))</f>
        <v/>
      </c>
      <c r="G363" s="10" t="str">
        <f aca="false">IF(B363="","",IF(F363&gt;=3,"FLAG",""))</f>
        <v/>
      </c>
    </row>
    <row r="364" customFormat="false" ht="15" hidden="false" customHeight="false" outlineLevel="0" collapsed="false">
      <c r="A364" s="24"/>
      <c r="B364" s="28"/>
      <c r="C364" s="22"/>
      <c r="D364" s="22"/>
      <c r="E364" s="28"/>
      <c r="F364" s="10" t="str">
        <f aca="false">IF(B364="","",SUMIFS($D$5:D364,$B$5:B364,B364))</f>
        <v/>
      </c>
      <c r="G364" s="10" t="str">
        <f aca="false">IF(B364="","",IF(F364&gt;=3,"FLAG",""))</f>
        <v/>
      </c>
    </row>
    <row r="365" customFormat="false" ht="15" hidden="false" customHeight="false" outlineLevel="0" collapsed="false">
      <c r="A365" s="24"/>
      <c r="B365" s="28"/>
      <c r="C365" s="22"/>
      <c r="D365" s="22"/>
      <c r="E365" s="28"/>
      <c r="F365" s="10" t="str">
        <f aca="false">IF(B365="","",SUMIFS($D$5:D365,$B$5:B365,B365))</f>
        <v/>
      </c>
      <c r="G365" s="10" t="str">
        <f aca="false">IF(B365="","",IF(F365&gt;=3,"FLAG",""))</f>
        <v/>
      </c>
    </row>
    <row r="366" customFormat="false" ht="15" hidden="false" customHeight="false" outlineLevel="0" collapsed="false">
      <c r="A366" s="24"/>
      <c r="B366" s="28"/>
      <c r="C366" s="22"/>
      <c r="D366" s="22"/>
      <c r="E366" s="28"/>
      <c r="F366" s="10" t="str">
        <f aca="false">IF(B366="","",SUMIFS($D$5:D366,$B$5:B366,B366))</f>
        <v/>
      </c>
      <c r="G366" s="10" t="str">
        <f aca="false">IF(B366="","",IF(F366&gt;=3,"FLAG",""))</f>
        <v/>
      </c>
    </row>
    <row r="367" customFormat="false" ht="15" hidden="false" customHeight="false" outlineLevel="0" collapsed="false">
      <c r="A367" s="24"/>
      <c r="B367" s="28"/>
      <c r="C367" s="22"/>
      <c r="D367" s="22"/>
      <c r="E367" s="28"/>
      <c r="F367" s="10" t="str">
        <f aca="false">IF(B367="","",SUMIFS($D$5:D367,$B$5:B367,B367))</f>
        <v/>
      </c>
      <c r="G367" s="10" t="str">
        <f aca="false">IF(B367="","",IF(F367&gt;=3,"FLAG",""))</f>
        <v/>
      </c>
    </row>
    <row r="368" customFormat="false" ht="15" hidden="false" customHeight="false" outlineLevel="0" collapsed="false">
      <c r="A368" s="24"/>
      <c r="B368" s="28"/>
      <c r="C368" s="22"/>
      <c r="D368" s="22"/>
      <c r="E368" s="28"/>
      <c r="F368" s="10" t="str">
        <f aca="false">IF(B368="","",SUMIFS($D$5:D368,$B$5:B368,B368))</f>
        <v/>
      </c>
      <c r="G368" s="10" t="str">
        <f aca="false">IF(B368="","",IF(F368&gt;=3,"FLAG",""))</f>
        <v/>
      </c>
    </row>
    <row r="369" customFormat="false" ht="15" hidden="false" customHeight="false" outlineLevel="0" collapsed="false">
      <c r="A369" s="24"/>
      <c r="B369" s="28"/>
      <c r="C369" s="22"/>
      <c r="D369" s="22"/>
      <c r="E369" s="28"/>
      <c r="F369" s="10" t="str">
        <f aca="false">IF(B369="","",SUMIFS($D$5:D369,$B$5:B369,B369))</f>
        <v/>
      </c>
      <c r="G369" s="10" t="str">
        <f aca="false">IF(B369="","",IF(F369&gt;=3,"FLAG",""))</f>
        <v/>
      </c>
    </row>
    <row r="370" customFormat="false" ht="15" hidden="false" customHeight="false" outlineLevel="0" collapsed="false">
      <c r="A370" s="24"/>
      <c r="B370" s="28"/>
      <c r="C370" s="22"/>
      <c r="D370" s="22"/>
      <c r="E370" s="28"/>
      <c r="F370" s="10" t="str">
        <f aca="false">IF(B370="","",SUMIFS($D$5:D370,$B$5:B370,B370))</f>
        <v/>
      </c>
      <c r="G370" s="10" t="str">
        <f aca="false">IF(B370="","",IF(F370&gt;=3,"FLAG",""))</f>
        <v/>
      </c>
    </row>
    <row r="371" customFormat="false" ht="15" hidden="false" customHeight="false" outlineLevel="0" collapsed="false">
      <c r="A371" s="24"/>
      <c r="B371" s="28"/>
      <c r="C371" s="22"/>
      <c r="D371" s="22"/>
      <c r="E371" s="28"/>
      <c r="F371" s="10" t="str">
        <f aca="false">IF(B371="","",SUMIFS($D$5:D371,$B$5:B371,B371))</f>
        <v/>
      </c>
      <c r="G371" s="10" t="str">
        <f aca="false">IF(B371="","",IF(F371&gt;=3,"FLAG",""))</f>
        <v/>
      </c>
    </row>
    <row r="372" customFormat="false" ht="15" hidden="false" customHeight="false" outlineLevel="0" collapsed="false">
      <c r="A372" s="24"/>
      <c r="B372" s="28"/>
      <c r="C372" s="22"/>
      <c r="D372" s="22"/>
      <c r="E372" s="28"/>
      <c r="F372" s="10" t="str">
        <f aca="false">IF(B372="","",SUMIFS($D$5:D372,$B$5:B372,B372))</f>
        <v/>
      </c>
      <c r="G372" s="10" t="str">
        <f aca="false">IF(B372="","",IF(F372&gt;=3,"FLAG",""))</f>
        <v/>
      </c>
    </row>
    <row r="373" customFormat="false" ht="15" hidden="false" customHeight="false" outlineLevel="0" collapsed="false">
      <c r="A373" s="24"/>
      <c r="B373" s="28"/>
      <c r="C373" s="22"/>
      <c r="D373" s="22"/>
      <c r="E373" s="28"/>
      <c r="F373" s="10" t="str">
        <f aca="false">IF(B373="","",SUMIFS($D$5:D373,$B$5:B373,B373))</f>
        <v/>
      </c>
      <c r="G373" s="10" t="str">
        <f aca="false">IF(B373="","",IF(F373&gt;=3,"FLAG",""))</f>
        <v/>
      </c>
    </row>
    <row r="374" customFormat="false" ht="15" hidden="false" customHeight="false" outlineLevel="0" collapsed="false">
      <c r="A374" s="24"/>
      <c r="B374" s="28"/>
      <c r="C374" s="22"/>
      <c r="D374" s="22"/>
      <c r="E374" s="28"/>
      <c r="F374" s="10" t="str">
        <f aca="false">IF(B374="","",SUMIFS($D$5:D374,$B$5:B374,B374))</f>
        <v/>
      </c>
      <c r="G374" s="10" t="str">
        <f aca="false">IF(B374="","",IF(F374&gt;=3,"FLAG",""))</f>
        <v/>
      </c>
    </row>
    <row r="375" customFormat="false" ht="15" hidden="false" customHeight="false" outlineLevel="0" collapsed="false">
      <c r="A375" s="24"/>
      <c r="B375" s="28"/>
      <c r="C375" s="22"/>
      <c r="D375" s="22"/>
      <c r="E375" s="28"/>
      <c r="F375" s="10" t="str">
        <f aca="false">IF(B375="","",SUMIFS($D$5:D375,$B$5:B375,B375))</f>
        <v/>
      </c>
      <c r="G375" s="10" t="str">
        <f aca="false">IF(B375="","",IF(F375&gt;=3,"FLAG",""))</f>
        <v/>
      </c>
    </row>
    <row r="376" customFormat="false" ht="15" hidden="false" customHeight="false" outlineLevel="0" collapsed="false">
      <c r="A376" s="24"/>
      <c r="B376" s="28"/>
      <c r="C376" s="22"/>
      <c r="D376" s="22"/>
      <c r="E376" s="28"/>
      <c r="F376" s="10" t="str">
        <f aca="false">IF(B376="","",SUMIFS($D$5:D376,$B$5:B376,B376))</f>
        <v/>
      </c>
      <c r="G376" s="10" t="str">
        <f aca="false">IF(B376="","",IF(F376&gt;=3,"FLAG",""))</f>
        <v/>
      </c>
    </row>
    <row r="377" customFormat="false" ht="15" hidden="false" customHeight="false" outlineLevel="0" collapsed="false">
      <c r="A377" s="24"/>
      <c r="B377" s="28"/>
      <c r="C377" s="22"/>
      <c r="D377" s="22"/>
      <c r="E377" s="28"/>
      <c r="F377" s="10" t="str">
        <f aca="false">IF(B377="","",SUMIFS($D$5:D377,$B$5:B377,B377))</f>
        <v/>
      </c>
      <c r="G377" s="10" t="str">
        <f aca="false">IF(B377="","",IF(F377&gt;=3,"FLAG",""))</f>
        <v/>
      </c>
    </row>
    <row r="378" customFormat="false" ht="15" hidden="false" customHeight="false" outlineLevel="0" collapsed="false">
      <c r="A378" s="24"/>
      <c r="B378" s="28"/>
      <c r="C378" s="22"/>
      <c r="D378" s="22"/>
      <c r="E378" s="28"/>
      <c r="F378" s="10" t="str">
        <f aca="false">IF(B378="","",SUMIFS($D$5:D378,$B$5:B378,B378))</f>
        <v/>
      </c>
      <c r="G378" s="10" t="str">
        <f aca="false">IF(B378="","",IF(F378&gt;=3,"FLAG",""))</f>
        <v/>
      </c>
    </row>
    <row r="379" customFormat="false" ht="15" hidden="false" customHeight="false" outlineLevel="0" collapsed="false">
      <c r="A379" s="24"/>
      <c r="B379" s="28"/>
      <c r="C379" s="22"/>
      <c r="D379" s="22"/>
      <c r="E379" s="28"/>
      <c r="F379" s="10" t="str">
        <f aca="false">IF(B379="","",SUMIFS($D$5:D379,$B$5:B379,B379))</f>
        <v/>
      </c>
      <c r="G379" s="10" t="str">
        <f aca="false">IF(B379="","",IF(F379&gt;=3,"FLAG",""))</f>
        <v/>
      </c>
    </row>
    <row r="380" customFormat="false" ht="15" hidden="false" customHeight="false" outlineLevel="0" collapsed="false">
      <c r="A380" s="24"/>
      <c r="B380" s="28"/>
      <c r="C380" s="22"/>
      <c r="D380" s="22"/>
      <c r="E380" s="28"/>
      <c r="F380" s="10" t="str">
        <f aca="false">IF(B380="","",SUMIFS($D$5:D380,$B$5:B380,B380))</f>
        <v/>
      </c>
      <c r="G380" s="10" t="str">
        <f aca="false">IF(B380="","",IF(F380&gt;=3,"FLAG",""))</f>
        <v/>
      </c>
    </row>
    <row r="381" customFormat="false" ht="15" hidden="false" customHeight="false" outlineLevel="0" collapsed="false">
      <c r="A381" s="24"/>
      <c r="B381" s="28"/>
      <c r="C381" s="22"/>
      <c r="D381" s="22"/>
      <c r="E381" s="28"/>
      <c r="F381" s="10" t="str">
        <f aca="false">IF(B381="","",SUMIFS($D$5:D381,$B$5:B381,B381))</f>
        <v/>
      </c>
      <c r="G381" s="10" t="str">
        <f aca="false">IF(B381="","",IF(F381&gt;=3,"FLAG",""))</f>
        <v/>
      </c>
    </row>
    <row r="382" customFormat="false" ht="15" hidden="false" customHeight="false" outlineLevel="0" collapsed="false">
      <c r="A382" s="24"/>
      <c r="B382" s="28"/>
      <c r="C382" s="22"/>
      <c r="D382" s="22"/>
      <c r="E382" s="28"/>
      <c r="F382" s="10" t="str">
        <f aca="false">IF(B382="","",SUMIFS($D$5:D382,$B$5:B382,B382))</f>
        <v/>
      </c>
      <c r="G382" s="10" t="str">
        <f aca="false">IF(B382="","",IF(F382&gt;=3,"FLAG",""))</f>
        <v/>
      </c>
    </row>
    <row r="383" customFormat="false" ht="15" hidden="false" customHeight="false" outlineLevel="0" collapsed="false">
      <c r="A383" s="24"/>
      <c r="B383" s="28"/>
      <c r="C383" s="22"/>
      <c r="D383" s="22"/>
      <c r="E383" s="28"/>
      <c r="F383" s="10" t="str">
        <f aca="false">IF(B383="","",SUMIFS($D$5:D383,$B$5:B383,B383))</f>
        <v/>
      </c>
      <c r="G383" s="10" t="str">
        <f aca="false">IF(B383="","",IF(F383&gt;=3,"FLAG",""))</f>
        <v/>
      </c>
    </row>
    <row r="384" customFormat="false" ht="15" hidden="false" customHeight="false" outlineLevel="0" collapsed="false">
      <c r="A384" s="24"/>
      <c r="B384" s="28"/>
      <c r="C384" s="22"/>
      <c r="D384" s="22"/>
      <c r="E384" s="28"/>
      <c r="F384" s="10" t="str">
        <f aca="false">IF(B384="","",SUMIFS($D$5:D384,$B$5:B384,B384))</f>
        <v/>
      </c>
      <c r="G384" s="10" t="str">
        <f aca="false">IF(B384="","",IF(F384&gt;=3,"FLAG",""))</f>
        <v/>
      </c>
    </row>
    <row r="385" customFormat="false" ht="15" hidden="false" customHeight="false" outlineLevel="0" collapsed="false">
      <c r="A385" s="24"/>
      <c r="B385" s="28"/>
      <c r="C385" s="22"/>
      <c r="D385" s="22"/>
      <c r="E385" s="28"/>
      <c r="F385" s="10" t="str">
        <f aca="false">IF(B385="","",SUMIFS($D$5:D385,$B$5:B385,B385))</f>
        <v/>
      </c>
      <c r="G385" s="10" t="str">
        <f aca="false">IF(B385="","",IF(F385&gt;=3,"FLAG",""))</f>
        <v/>
      </c>
    </row>
    <row r="386" customFormat="false" ht="15" hidden="false" customHeight="false" outlineLevel="0" collapsed="false">
      <c r="A386" s="24"/>
      <c r="B386" s="28"/>
      <c r="C386" s="22"/>
      <c r="D386" s="22"/>
      <c r="E386" s="28"/>
      <c r="F386" s="10" t="str">
        <f aca="false">IF(B386="","",SUMIFS($D$5:D386,$B$5:B386,B386))</f>
        <v/>
      </c>
      <c r="G386" s="10" t="str">
        <f aca="false">IF(B386="","",IF(F386&gt;=3,"FLAG",""))</f>
        <v/>
      </c>
    </row>
    <row r="387" customFormat="false" ht="15" hidden="false" customHeight="false" outlineLevel="0" collapsed="false">
      <c r="A387" s="24"/>
      <c r="B387" s="28"/>
      <c r="C387" s="22"/>
      <c r="D387" s="22"/>
      <c r="E387" s="28"/>
      <c r="F387" s="10" t="str">
        <f aca="false">IF(B387="","",SUMIFS($D$5:D387,$B$5:B387,B387))</f>
        <v/>
      </c>
      <c r="G387" s="10" t="str">
        <f aca="false">IF(B387="","",IF(F387&gt;=3,"FLAG",""))</f>
        <v/>
      </c>
    </row>
    <row r="388" customFormat="false" ht="15" hidden="false" customHeight="false" outlineLevel="0" collapsed="false">
      <c r="A388" s="24"/>
      <c r="B388" s="28"/>
      <c r="C388" s="22"/>
      <c r="D388" s="22"/>
      <c r="E388" s="28"/>
      <c r="F388" s="10" t="str">
        <f aca="false">IF(B388="","",SUMIFS($D$5:D388,$B$5:B388,B388))</f>
        <v/>
      </c>
      <c r="G388" s="10" t="str">
        <f aca="false">IF(B388="","",IF(F388&gt;=3,"FLAG",""))</f>
        <v/>
      </c>
    </row>
    <row r="389" customFormat="false" ht="15" hidden="false" customHeight="false" outlineLevel="0" collapsed="false">
      <c r="A389" s="24"/>
      <c r="B389" s="28"/>
      <c r="C389" s="22"/>
      <c r="D389" s="22"/>
      <c r="E389" s="28"/>
      <c r="F389" s="10" t="str">
        <f aca="false">IF(B389="","",SUMIFS($D$5:D389,$B$5:B389,B389))</f>
        <v/>
      </c>
      <c r="G389" s="10" t="str">
        <f aca="false">IF(B389="","",IF(F389&gt;=3,"FLAG",""))</f>
        <v/>
      </c>
    </row>
    <row r="390" customFormat="false" ht="15" hidden="false" customHeight="false" outlineLevel="0" collapsed="false">
      <c r="A390" s="24"/>
      <c r="B390" s="28"/>
      <c r="C390" s="22"/>
      <c r="D390" s="22"/>
      <c r="E390" s="28"/>
      <c r="F390" s="10" t="str">
        <f aca="false">IF(B390="","",SUMIFS($D$5:D390,$B$5:B390,B390))</f>
        <v/>
      </c>
      <c r="G390" s="10" t="str">
        <f aca="false">IF(B390="","",IF(F390&gt;=3,"FLAG",""))</f>
        <v/>
      </c>
    </row>
    <row r="391" customFormat="false" ht="15" hidden="false" customHeight="false" outlineLevel="0" collapsed="false">
      <c r="A391" s="24"/>
      <c r="B391" s="28"/>
      <c r="C391" s="22"/>
      <c r="D391" s="22"/>
      <c r="E391" s="28"/>
      <c r="F391" s="10" t="str">
        <f aca="false">IF(B391="","",SUMIFS($D$5:D391,$B$5:B391,B391))</f>
        <v/>
      </c>
      <c r="G391" s="10" t="str">
        <f aca="false">IF(B391="","",IF(F391&gt;=3,"FLAG",""))</f>
        <v/>
      </c>
    </row>
    <row r="392" customFormat="false" ht="15" hidden="false" customHeight="false" outlineLevel="0" collapsed="false">
      <c r="A392" s="24"/>
      <c r="B392" s="28"/>
      <c r="C392" s="22"/>
      <c r="D392" s="22"/>
      <c r="E392" s="28"/>
      <c r="F392" s="10" t="str">
        <f aca="false">IF(B392="","",SUMIFS($D$5:D392,$B$5:B392,B392))</f>
        <v/>
      </c>
      <c r="G392" s="10" t="str">
        <f aca="false">IF(B392="","",IF(F392&gt;=3,"FLAG",""))</f>
        <v/>
      </c>
    </row>
    <row r="393" customFormat="false" ht="15" hidden="false" customHeight="false" outlineLevel="0" collapsed="false">
      <c r="A393" s="24"/>
      <c r="B393" s="28"/>
      <c r="C393" s="22"/>
      <c r="D393" s="22"/>
      <c r="E393" s="28"/>
      <c r="F393" s="10" t="str">
        <f aca="false">IF(B393="","",SUMIFS($D$5:D393,$B$5:B393,B393))</f>
        <v/>
      </c>
      <c r="G393" s="10" t="str">
        <f aca="false">IF(B393="","",IF(F393&gt;=3,"FLAG",""))</f>
        <v/>
      </c>
    </row>
    <row r="394" customFormat="false" ht="15" hidden="false" customHeight="false" outlineLevel="0" collapsed="false">
      <c r="A394" s="24"/>
      <c r="B394" s="28"/>
      <c r="C394" s="22"/>
      <c r="D394" s="22"/>
      <c r="E394" s="28"/>
      <c r="F394" s="10" t="str">
        <f aca="false">IF(B394="","",SUMIFS($D$5:D394,$B$5:B394,B394))</f>
        <v/>
      </c>
      <c r="G394" s="10" t="str">
        <f aca="false">IF(B394="","",IF(F394&gt;=3,"FLAG",""))</f>
        <v/>
      </c>
    </row>
    <row r="395" customFormat="false" ht="15" hidden="false" customHeight="false" outlineLevel="0" collapsed="false">
      <c r="A395" s="24"/>
      <c r="B395" s="28"/>
      <c r="C395" s="22"/>
      <c r="D395" s="22"/>
      <c r="E395" s="28"/>
      <c r="F395" s="10" t="str">
        <f aca="false">IF(B395="","",SUMIFS($D$5:D395,$B$5:B395,B395))</f>
        <v/>
      </c>
      <c r="G395" s="10" t="str">
        <f aca="false">IF(B395="","",IF(F395&gt;=3,"FLAG",""))</f>
        <v/>
      </c>
    </row>
    <row r="396" customFormat="false" ht="15" hidden="false" customHeight="false" outlineLevel="0" collapsed="false">
      <c r="A396" s="24"/>
      <c r="B396" s="28"/>
      <c r="C396" s="22"/>
      <c r="D396" s="22"/>
      <c r="E396" s="28"/>
      <c r="F396" s="10" t="str">
        <f aca="false">IF(B396="","",SUMIFS($D$5:D396,$B$5:B396,B396))</f>
        <v/>
      </c>
      <c r="G396" s="10" t="str">
        <f aca="false">IF(B396="","",IF(F396&gt;=3,"FLAG",""))</f>
        <v/>
      </c>
    </row>
    <row r="397" customFormat="false" ht="15" hidden="false" customHeight="false" outlineLevel="0" collapsed="false">
      <c r="A397" s="24"/>
      <c r="B397" s="28"/>
      <c r="C397" s="22"/>
      <c r="D397" s="22"/>
      <c r="E397" s="28"/>
      <c r="F397" s="10" t="str">
        <f aca="false">IF(B397="","",SUMIFS($D$5:D397,$B$5:B397,B397))</f>
        <v/>
      </c>
      <c r="G397" s="10" t="str">
        <f aca="false">IF(B397="","",IF(F397&gt;=3,"FLAG",""))</f>
        <v/>
      </c>
    </row>
    <row r="398" customFormat="false" ht="15" hidden="false" customHeight="false" outlineLevel="0" collapsed="false">
      <c r="A398" s="24"/>
      <c r="B398" s="28"/>
      <c r="C398" s="22"/>
      <c r="D398" s="22"/>
      <c r="E398" s="28"/>
      <c r="F398" s="10" t="str">
        <f aca="false">IF(B398="","",SUMIFS($D$5:D398,$B$5:B398,B398))</f>
        <v/>
      </c>
      <c r="G398" s="10" t="str">
        <f aca="false">IF(B398="","",IF(F398&gt;=3,"FLAG",""))</f>
        <v/>
      </c>
    </row>
    <row r="399" customFormat="false" ht="15" hidden="false" customHeight="false" outlineLevel="0" collapsed="false">
      <c r="A399" s="24"/>
      <c r="B399" s="28"/>
      <c r="C399" s="22"/>
      <c r="D399" s="22"/>
      <c r="E399" s="28"/>
      <c r="F399" s="10" t="str">
        <f aca="false">IF(B399="","",SUMIFS($D$5:D399,$B$5:B399,B399))</f>
        <v/>
      </c>
      <c r="G399" s="10" t="str">
        <f aca="false">IF(B399="","",IF(F399&gt;=3,"FLAG",""))</f>
        <v/>
      </c>
    </row>
    <row r="400" customFormat="false" ht="15" hidden="false" customHeight="false" outlineLevel="0" collapsed="false">
      <c r="A400" s="24"/>
      <c r="B400" s="28"/>
      <c r="C400" s="22"/>
      <c r="D400" s="22"/>
      <c r="E400" s="28"/>
      <c r="F400" s="10" t="str">
        <f aca="false">IF(B400="","",SUMIFS($D$5:D400,$B$5:B400,B400))</f>
        <v/>
      </c>
      <c r="G400" s="10" t="str">
        <f aca="false">IF(B400="","",IF(F400&gt;=3,"FLAG",""))</f>
        <v/>
      </c>
    </row>
    <row r="401" customFormat="false" ht="15" hidden="false" customHeight="false" outlineLevel="0" collapsed="false">
      <c r="A401" s="24"/>
      <c r="B401" s="28"/>
      <c r="C401" s="22"/>
      <c r="D401" s="22"/>
      <c r="E401" s="28"/>
      <c r="F401" s="10" t="str">
        <f aca="false">IF(B401="","",SUMIFS($D$5:D401,$B$5:B401,B401))</f>
        <v/>
      </c>
      <c r="G401" s="10" t="str">
        <f aca="false">IF(B401="","",IF(F401&gt;=3,"FLAG",""))</f>
        <v/>
      </c>
    </row>
    <row r="402" customFormat="false" ht="15" hidden="false" customHeight="false" outlineLevel="0" collapsed="false">
      <c r="A402" s="24"/>
      <c r="B402" s="28"/>
      <c r="C402" s="22"/>
      <c r="D402" s="22"/>
      <c r="E402" s="28"/>
      <c r="F402" s="10" t="str">
        <f aca="false">IF(B402="","",SUMIFS($D$5:D402,$B$5:B402,B402))</f>
        <v/>
      </c>
      <c r="G402" s="10" t="str">
        <f aca="false">IF(B402="","",IF(F402&gt;=3,"FLAG",""))</f>
        <v/>
      </c>
    </row>
    <row r="403" customFormat="false" ht="15" hidden="false" customHeight="false" outlineLevel="0" collapsed="false">
      <c r="A403" s="24"/>
      <c r="B403" s="28"/>
      <c r="C403" s="22"/>
      <c r="D403" s="22"/>
      <c r="E403" s="28"/>
      <c r="F403" s="10" t="str">
        <f aca="false">IF(B403="","",SUMIFS($D$5:D403,$B$5:B403,B403))</f>
        <v/>
      </c>
      <c r="G403" s="10" t="str">
        <f aca="false">IF(B403="","",IF(F403&gt;=3,"FLAG",""))</f>
        <v/>
      </c>
    </row>
    <row r="404" customFormat="false" ht="15" hidden="false" customHeight="false" outlineLevel="0" collapsed="false">
      <c r="A404" s="24"/>
      <c r="B404" s="28"/>
      <c r="C404" s="22"/>
      <c r="D404" s="22"/>
      <c r="E404" s="28"/>
      <c r="F404" s="10" t="str">
        <f aca="false">IF(B404="","",SUMIFS($D$5:D404,$B$5:B404,B404))</f>
        <v/>
      </c>
      <c r="G404" s="10" t="str">
        <f aca="false">IF(B404="","",IF(F404&gt;=3,"FLAG",""))</f>
        <v/>
      </c>
    </row>
    <row r="405" customFormat="false" ht="15" hidden="false" customHeight="false" outlineLevel="0" collapsed="false">
      <c r="A405" s="24"/>
      <c r="B405" s="28"/>
      <c r="C405" s="22"/>
      <c r="D405" s="22"/>
      <c r="E405" s="28"/>
      <c r="F405" s="10" t="str">
        <f aca="false">IF(B405="","",SUMIFS($D$5:D405,$B$5:B405,B405))</f>
        <v/>
      </c>
      <c r="G405" s="10" t="str">
        <f aca="false">IF(B405="","",IF(F405&gt;=3,"FLAG",""))</f>
        <v/>
      </c>
    </row>
    <row r="406" customFormat="false" ht="15" hidden="false" customHeight="false" outlineLevel="0" collapsed="false">
      <c r="A406" s="24"/>
      <c r="B406" s="28"/>
      <c r="C406" s="22"/>
      <c r="D406" s="22"/>
      <c r="E406" s="28"/>
      <c r="F406" s="10" t="str">
        <f aca="false">IF(B406="","",SUMIFS($D$5:D406,$B$5:B406,B406))</f>
        <v/>
      </c>
      <c r="G406" s="10" t="str">
        <f aca="false">IF(B406="","",IF(F406&gt;=3,"FLAG",""))</f>
        <v/>
      </c>
    </row>
    <row r="407" customFormat="false" ht="15" hidden="false" customHeight="false" outlineLevel="0" collapsed="false">
      <c r="A407" s="24"/>
      <c r="B407" s="28"/>
      <c r="C407" s="22"/>
      <c r="D407" s="22"/>
      <c r="E407" s="28"/>
      <c r="F407" s="10" t="str">
        <f aca="false">IF(B407="","",SUMIFS($D$5:D407,$B$5:B407,B407))</f>
        <v/>
      </c>
      <c r="G407" s="10" t="str">
        <f aca="false">IF(B407="","",IF(F407&gt;=3,"FLAG",""))</f>
        <v/>
      </c>
    </row>
    <row r="408" customFormat="false" ht="15" hidden="false" customHeight="false" outlineLevel="0" collapsed="false">
      <c r="A408" s="24"/>
      <c r="B408" s="28"/>
      <c r="C408" s="22"/>
      <c r="D408" s="22"/>
      <c r="E408" s="28"/>
      <c r="F408" s="10" t="str">
        <f aca="false">IF(B408="","",SUMIFS($D$5:D408,$B$5:B408,B408))</f>
        <v/>
      </c>
      <c r="G408" s="10" t="str">
        <f aca="false">IF(B408="","",IF(F408&gt;=3,"FLAG",""))</f>
        <v/>
      </c>
    </row>
    <row r="409" customFormat="false" ht="15" hidden="false" customHeight="false" outlineLevel="0" collapsed="false">
      <c r="A409" s="24"/>
      <c r="B409" s="28"/>
      <c r="C409" s="22"/>
      <c r="D409" s="22"/>
      <c r="E409" s="28"/>
      <c r="F409" s="10" t="str">
        <f aca="false">IF(B409="","",SUMIFS($D$5:D409,$B$5:B409,B409))</f>
        <v/>
      </c>
      <c r="G409" s="10" t="str">
        <f aca="false">IF(B409="","",IF(F409&gt;=3,"FLAG",""))</f>
        <v/>
      </c>
    </row>
    <row r="410" customFormat="false" ht="15" hidden="false" customHeight="false" outlineLevel="0" collapsed="false">
      <c r="A410" s="24"/>
      <c r="B410" s="28"/>
      <c r="C410" s="22"/>
      <c r="D410" s="22"/>
      <c r="E410" s="28"/>
      <c r="F410" s="10" t="str">
        <f aca="false">IF(B410="","",SUMIFS($D$5:D410,$B$5:B410,B410))</f>
        <v/>
      </c>
      <c r="G410" s="10" t="str">
        <f aca="false">IF(B410="","",IF(F410&gt;=3,"FLAG",""))</f>
        <v/>
      </c>
    </row>
    <row r="411" customFormat="false" ht="15" hidden="false" customHeight="false" outlineLevel="0" collapsed="false">
      <c r="A411" s="24"/>
      <c r="B411" s="28"/>
      <c r="C411" s="22"/>
      <c r="D411" s="22"/>
      <c r="E411" s="28"/>
      <c r="F411" s="10" t="str">
        <f aca="false">IF(B411="","",SUMIFS($D$5:D411,$B$5:B411,B411))</f>
        <v/>
      </c>
      <c r="G411" s="10" t="str">
        <f aca="false">IF(B411="","",IF(F411&gt;=3,"FLAG",""))</f>
        <v/>
      </c>
    </row>
    <row r="412" customFormat="false" ht="15" hidden="false" customHeight="false" outlineLevel="0" collapsed="false">
      <c r="A412" s="24"/>
      <c r="B412" s="28"/>
      <c r="C412" s="22"/>
      <c r="D412" s="22"/>
      <c r="E412" s="28"/>
      <c r="F412" s="10" t="str">
        <f aca="false">IF(B412="","",SUMIFS($D$5:D412,$B$5:B412,B412))</f>
        <v/>
      </c>
      <c r="G412" s="10" t="str">
        <f aca="false">IF(B412="","",IF(F412&gt;=3,"FLAG",""))</f>
        <v/>
      </c>
    </row>
    <row r="413" customFormat="false" ht="15" hidden="false" customHeight="false" outlineLevel="0" collapsed="false">
      <c r="A413" s="24"/>
      <c r="B413" s="28"/>
      <c r="C413" s="22"/>
      <c r="D413" s="22"/>
      <c r="E413" s="28"/>
      <c r="F413" s="10" t="str">
        <f aca="false">IF(B413="","",SUMIFS($D$5:D413,$B$5:B413,B413))</f>
        <v/>
      </c>
      <c r="G413" s="10" t="str">
        <f aca="false">IF(B413="","",IF(F413&gt;=3,"FLAG",""))</f>
        <v/>
      </c>
    </row>
    <row r="414" customFormat="false" ht="15" hidden="false" customHeight="false" outlineLevel="0" collapsed="false">
      <c r="A414" s="24"/>
      <c r="B414" s="28"/>
      <c r="C414" s="22"/>
      <c r="D414" s="22"/>
      <c r="E414" s="28"/>
      <c r="F414" s="10" t="str">
        <f aca="false">IF(B414="","",SUMIFS($D$5:D414,$B$5:B414,B414))</f>
        <v/>
      </c>
      <c r="G414" s="10" t="str">
        <f aca="false">IF(B414="","",IF(F414&gt;=3,"FLAG",""))</f>
        <v/>
      </c>
    </row>
    <row r="415" customFormat="false" ht="15" hidden="false" customHeight="false" outlineLevel="0" collapsed="false">
      <c r="A415" s="24"/>
      <c r="B415" s="28"/>
      <c r="C415" s="22"/>
      <c r="D415" s="22"/>
      <c r="E415" s="28"/>
      <c r="F415" s="10" t="str">
        <f aca="false">IF(B415="","",SUMIFS($D$5:D415,$B$5:B415,B415))</f>
        <v/>
      </c>
      <c r="G415" s="10" t="str">
        <f aca="false">IF(B415="","",IF(F415&gt;=3,"FLAG",""))</f>
        <v/>
      </c>
    </row>
    <row r="416" customFormat="false" ht="15" hidden="false" customHeight="false" outlineLevel="0" collapsed="false">
      <c r="A416" s="24"/>
      <c r="B416" s="28"/>
      <c r="C416" s="22"/>
      <c r="D416" s="22"/>
      <c r="E416" s="28"/>
      <c r="F416" s="10" t="str">
        <f aca="false">IF(B416="","",SUMIFS($D$5:D416,$B$5:B416,B416))</f>
        <v/>
      </c>
      <c r="G416" s="10" t="str">
        <f aca="false">IF(B416="","",IF(F416&gt;=3,"FLAG",""))</f>
        <v/>
      </c>
    </row>
    <row r="417" customFormat="false" ht="15" hidden="false" customHeight="false" outlineLevel="0" collapsed="false">
      <c r="A417" s="24"/>
      <c r="B417" s="28"/>
      <c r="C417" s="22"/>
      <c r="D417" s="22"/>
      <c r="E417" s="28"/>
      <c r="F417" s="10" t="str">
        <f aca="false">IF(B417="","",SUMIFS($D$5:D417,$B$5:B417,B417))</f>
        <v/>
      </c>
      <c r="G417" s="10" t="str">
        <f aca="false">IF(B417="","",IF(F417&gt;=3,"FLAG",""))</f>
        <v/>
      </c>
    </row>
    <row r="418" customFormat="false" ht="15" hidden="false" customHeight="false" outlineLevel="0" collapsed="false">
      <c r="A418" s="24"/>
      <c r="B418" s="28"/>
      <c r="C418" s="22"/>
      <c r="D418" s="22"/>
      <c r="E418" s="28"/>
      <c r="F418" s="10" t="str">
        <f aca="false">IF(B418="","",SUMIFS($D$5:D418,$B$5:B418,B418))</f>
        <v/>
      </c>
      <c r="G418" s="10" t="str">
        <f aca="false">IF(B418="","",IF(F418&gt;=3,"FLAG",""))</f>
        <v/>
      </c>
    </row>
    <row r="419" customFormat="false" ht="15" hidden="false" customHeight="false" outlineLevel="0" collapsed="false">
      <c r="A419" s="24"/>
      <c r="B419" s="28"/>
      <c r="C419" s="22"/>
      <c r="D419" s="22"/>
      <c r="E419" s="28"/>
      <c r="F419" s="10" t="str">
        <f aca="false">IF(B419="","",SUMIFS($D$5:D419,$B$5:B419,B419))</f>
        <v/>
      </c>
      <c r="G419" s="10" t="str">
        <f aca="false">IF(B419="","",IF(F419&gt;=3,"FLAG",""))</f>
        <v/>
      </c>
    </row>
    <row r="420" customFormat="false" ht="15" hidden="false" customHeight="false" outlineLevel="0" collapsed="false">
      <c r="A420" s="24"/>
      <c r="B420" s="28"/>
      <c r="C420" s="22"/>
      <c r="D420" s="22"/>
      <c r="E420" s="28"/>
      <c r="F420" s="10" t="str">
        <f aca="false">IF(B420="","",SUMIFS($D$5:D420,$B$5:B420,B420))</f>
        <v/>
      </c>
      <c r="G420" s="10" t="str">
        <f aca="false">IF(B420="","",IF(F420&gt;=3,"FLAG",""))</f>
        <v/>
      </c>
    </row>
    <row r="421" customFormat="false" ht="15" hidden="false" customHeight="false" outlineLevel="0" collapsed="false">
      <c r="A421" s="24"/>
      <c r="B421" s="28"/>
      <c r="C421" s="22"/>
      <c r="D421" s="22"/>
      <c r="E421" s="28"/>
      <c r="F421" s="10" t="str">
        <f aca="false">IF(B421="","",SUMIFS($D$5:D421,$B$5:B421,B421))</f>
        <v/>
      </c>
      <c r="G421" s="10" t="str">
        <f aca="false">IF(B421="","",IF(F421&gt;=3,"FLAG",""))</f>
        <v/>
      </c>
    </row>
    <row r="422" customFormat="false" ht="15" hidden="false" customHeight="false" outlineLevel="0" collapsed="false">
      <c r="A422" s="24"/>
      <c r="B422" s="28"/>
      <c r="C422" s="22"/>
      <c r="D422" s="22"/>
      <c r="E422" s="28"/>
      <c r="F422" s="10" t="str">
        <f aca="false">IF(B422="","",SUMIFS($D$5:D422,$B$5:B422,B422))</f>
        <v/>
      </c>
      <c r="G422" s="10" t="str">
        <f aca="false">IF(B422="","",IF(F422&gt;=3,"FLAG",""))</f>
        <v/>
      </c>
    </row>
    <row r="423" customFormat="false" ht="15" hidden="false" customHeight="false" outlineLevel="0" collapsed="false">
      <c r="A423" s="24"/>
      <c r="B423" s="28"/>
      <c r="C423" s="22"/>
      <c r="D423" s="22"/>
      <c r="E423" s="28"/>
      <c r="F423" s="10" t="str">
        <f aca="false">IF(B423="","",SUMIFS($D$5:D423,$B$5:B423,B423))</f>
        <v/>
      </c>
      <c r="G423" s="10" t="str">
        <f aca="false">IF(B423="","",IF(F423&gt;=3,"FLAG",""))</f>
        <v/>
      </c>
    </row>
    <row r="424" customFormat="false" ht="15" hidden="false" customHeight="false" outlineLevel="0" collapsed="false">
      <c r="A424" s="24"/>
      <c r="B424" s="28"/>
      <c r="C424" s="22"/>
      <c r="D424" s="22"/>
      <c r="E424" s="28"/>
      <c r="F424" s="10" t="str">
        <f aca="false">IF(B424="","",SUMIFS($D$5:D424,$B$5:B424,B424))</f>
        <v/>
      </c>
      <c r="G424" s="10" t="str">
        <f aca="false">IF(B424="","",IF(F424&gt;=3,"FLAG",""))</f>
        <v/>
      </c>
    </row>
    <row r="425" customFormat="false" ht="15" hidden="false" customHeight="false" outlineLevel="0" collapsed="false">
      <c r="A425" s="24"/>
      <c r="B425" s="28"/>
      <c r="C425" s="22"/>
      <c r="D425" s="22"/>
      <c r="E425" s="28"/>
      <c r="F425" s="10" t="str">
        <f aca="false">IF(B425="","",SUMIFS($D$5:D425,$B$5:B425,B425))</f>
        <v/>
      </c>
      <c r="G425" s="10" t="str">
        <f aca="false">IF(B425="","",IF(F425&gt;=3,"FLAG",""))</f>
        <v/>
      </c>
    </row>
    <row r="426" customFormat="false" ht="15" hidden="false" customHeight="false" outlineLevel="0" collapsed="false">
      <c r="A426" s="24"/>
      <c r="B426" s="28"/>
      <c r="C426" s="22"/>
      <c r="D426" s="22"/>
      <c r="E426" s="28"/>
      <c r="F426" s="10" t="str">
        <f aca="false">IF(B426="","",SUMIFS($D$5:D426,$B$5:B426,B426))</f>
        <v/>
      </c>
      <c r="G426" s="10" t="str">
        <f aca="false">IF(B426="","",IF(F426&gt;=3,"FLAG",""))</f>
        <v/>
      </c>
    </row>
    <row r="427" customFormat="false" ht="15" hidden="false" customHeight="false" outlineLevel="0" collapsed="false">
      <c r="A427" s="24"/>
      <c r="B427" s="28"/>
      <c r="C427" s="22"/>
      <c r="D427" s="22"/>
      <c r="E427" s="28"/>
      <c r="F427" s="10" t="str">
        <f aca="false">IF(B427="","",SUMIFS($D$5:D427,$B$5:B427,B427))</f>
        <v/>
      </c>
      <c r="G427" s="10" t="str">
        <f aca="false">IF(B427="","",IF(F427&gt;=3,"FLAG",""))</f>
        <v/>
      </c>
    </row>
    <row r="428" customFormat="false" ht="15" hidden="false" customHeight="false" outlineLevel="0" collapsed="false">
      <c r="A428" s="24"/>
      <c r="B428" s="28"/>
      <c r="C428" s="22"/>
      <c r="D428" s="22"/>
      <c r="E428" s="28"/>
      <c r="F428" s="10" t="str">
        <f aca="false">IF(B428="","",SUMIFS($D$5:D428,$B$5:B428,B428))</f>
        <v/>
      </c>
      <c r="G428" s="10" t="str">
        <f aca="false">IF(B428="","",IF(F428&gt;=3,"FLAG",""))</f>
        <v/>
      </c>
    </row>
    <row r="429" customFormat="false" ht="15" hidden="false" customHeight="false" outlineLevel="0" collapsed="false">
      <c r="A429" s="24"/>
      <c r="B429" s="28"/>
      <c r="C429" s="22"/>
      <c r="D429" s="22"/>
      <c r="E429" s="28"/>
      <c r="F429" s="10" t="str">
        <f aca="false">IF(B429="","",SUMIFS($D$5:D429,$B$5:B429,B429))</f>
        <v/>
      </c>
      <c r="G429" s="10" t="str">
        <f aca="false">IF(B429="","",IF(F429&gt;=3,"FLAG",""))</f>
        <v/>
      </c>
    </row>
    <row r="430" customFormat="false" ht="15" hidden="false" customHeight="false" outlineLevel="0" collapsed="false">
      <c r="A430" s="24"/>
      <c r="B430" s="28"/>
      <c r="C430" s="22"/>
      <c r="D430" s="22"/>
      <c r="E430" s="28"/>
      <c r="F430" s="10" t="str">
        <f aca="false">IF(B430="","",SUMIFS($D$5:D430,$B$5:B430,B430))</f>
        <v/>
      </c>
      <c r="G430" s="10" t="str">
        <f aca="false">IF(B430="","",IF(F430&gt;=3,"FLAG",""))</f>
        <v/>
      </c>
    </row>
    <row r="431" customFormat="false" ht="15" hidden="false" customHeight="false" outlineLevel="0" collapsed="false">
      <c r="A431" s="24"/>
      <c r="B431" s="28"/>
      <c r="C431" s="22"/>
      <c r="D431" s="22"/>
      <c r="E431" s="28"/>
      <c r="F431" s="10" t="str">
        <f aca="false">IF(B431="","",SUMIFS($D$5:D431,$B$5:B431,B431))</f>
        <v/>
      </c>
      <c r="G431" s="10" t="str">
        <f aca="false">IF(B431="","",IF(F431&gt;=3,"FLAG",""))</f>
        <v/>
      </c>
    </row>
    <row r="432" customFormat="false" ht="15" hidden="false" customHeight="false" outlineLevel="0" collapsed="false">
      <c r="A432" s="24"/>
      <c r="B432" s="28"/>
      <c r="C432" s="22"/>
      <c r="D432" s="22"/>
      <c r="E432" s="28"/>
      <c r="F432" s="10" t="str">
        <f aca="false">IF(B432="","",SUMIFS($D$5:D432,$B$5:B432,B432))</f>
        <v/>
      </c>
      <c r="G432" s="10" t="str">
        <f aca="false">IF(B432="","",IF(F432&gt;=3,"FLAG",""))</f>
        <v/>
      </c>
    </row>
    <row r="433" customFormat="false" ht="15" hidden="false" customHeight="false" outlineLevel="0" collapsed="false">
      <c r="A433" s="24"/>
      <c r="B433" s="28"/>
      <c r="C433" s="22"/>
      <c r="D433" s="22"/>
      <c r="E433" s="28"/>
      <c r="F433" s="10" t="str">
        <f aca="false">IF(B433="","",SUMIFS($D$5:D433,$B$5:B433,B433))</f>
        <v/>
      </c>
      <c r="G433" s="10" t="str">
        <f aca="false">IF(B433="","",IF(F433&gt;=3,"FLAG",""))</f>
        <v/>
      </c>
    </row>
    <row r="434" customFormat="false" ht="15" hidden="false" customHeight="false" outlineLevel="0" collapsed="false">
      <c r="A434" s="24"/>
      <c r="B434" s="28"/>
      <c r="C434" s="22"/>
      <c r="D434" s="22"/>
      <c r="E434" s="28"/>
      <c r="F434" s="10" t="str">
        <f aca="false">IF(B434="","",SUMIFS($D$5:D434,$B$5:B434,B434))</f>
        <v/>
      </c>
      <c r="G434" s="10" t="str">
        <f aca="false">IF(B434="","",IF(F434&gt;=3,"FLAG",""))</f>
        <v/>
      </c>
    </row>
    <row r="435" customFormat="false" ht="15" hidden="false" customHeight="false" outlineLevel="0" collapsed="false">
      <c r="A435" s="24"/>
      <c r="B435" s="28"/>
      <c r="C435" s="22"/>
      <c r="D435" s="22"/>
      <c r="E435" s="28"/>
      <c r="F435" s="10" t="str">
        <f aca="false">IF(B435="","",SUMIFS($D$5:D435,$B$5:B435,B435))</f>
        <v/>
      </c>
      <c r="G435" s="10" t="str">
        <f aca="false">IF(B435="","",IF(F435&gt;=3,"FLAG",""))</f>
        <v/>
      </c>
    </row>
    <row r="436" customFormat="false" ht="15" hidden="false" customHeight="false" outlineLevel="0" collapsed="false">
      <c r="A436" s="24"/>
      <c r="B436" s="28"/>
      <c r="C436" s="22"/>
      <c r="D436" s="22"/>
      <c r="E436" s="28"/>
      <c r="F436" s="10" t="str">
        <f aca="false">IF(B436="","",SUMIFS($D$5:D436,$B$5:B436,B436))</f>
        <v/>
      </c>
      <c r="G436" s="10" t="str">
        <f aca="false">IF(B436="","",IF(F436&gt;=3,"FLAG",""))</f>
        <v/>
      </c>
    </row>
    <row r="437" customFormat="false" ht="15" hidden="false" customHeight="false" outlineLevel="0" collapsed="false">
      <c r="A437" s="24"/>
      <c r="B437" s="28"/>
      <c r="C437" s="22"/>
      <c r="D437" s="22"/>
      <c r="E437" s="28"/>
      <c r="F437" s="10" t="str">
        <f aca="false">IF(B437="","",SUMIFS($D$5:D437,$B$5:B437,B437))</f>
        <v/>
      </c>
      <c r="G437" s="10" t="str">
        <f aca="false">IF(B437="","",IF(F437&gt;=3,"FLAG",""))</f>
        <v/>
      </c>
    </row>
    <row r="438" customFormat="false" ht="15" hidden="false" customHeight="false" outlineLevel="0" collapsed="false">
      <c r="A438" s="24"/>
      <c r="B438" s="28"/>
      <c r="C438" s="22"/>
      <c r="D438" s="22"/>
      <c r="E438" s="28"/>
      <c r="F438" s="10" t="str">
        <f aca="false">IF(B438="","",SUMIFS($D$5:D438,$B$5:B438,B438))</f>
        <v/>
      </c>
      <c r="G438" s="10" t="str">
        <f aca="false">IF(B438="","",IF(F438&gt;=3,"FLAG",""))</f>
        <v/>
      </c>
    </row>
    <row r="439" customFormat="false" ht="15" hidden="false" customHeight="false" outlineLevel="0" collapsed="false">
      <c r="A439" s="24"/>
      <c r="B439" s="28"/>
      <c r="C439" s="22"/>
      <c r="D439" s="22"/>
      <c r="E439" s="28"/>
      <c r="F439" s="10" t="str">
        <f aca="false">IF(B439="","",SUMIFS($D$5:D439,$B$5:B439,B439))</f>
        <v/>
      </c>
      <c r="G439" s="10" t="str">
        <f aca="false">IF(B439="","",IF(F439&gt;=3,"FLAG",""))</f>
        <v/>
      </c>
    </row>
    <row r="440" customFormat="false" ht="15" hidden="false" customHeight="false" outlineLevel="0" collapsed="false">
      <c r="A440" s="24"/>
      <c r="B440" s="28"/>
      <c r="C440" s="22"/>
      <c r="D440" s="22"/>
      <c r="E440" s="28"/>
      <c r="F440" s="10" t="str">
        <f aca="false">IF(B440="","",SUMIFS($D$5:D440,$B$5:B440,B440))</f>
        <v/>
      </c>
      <c r="G440" s="10" t="str">
        <f aca="false">IF(B440="","",IF(F440&gt;=3,"FLAG",""))</f>
        <v/>
      </c>
    </row>
    <row r="441" customFormat="false" ht="15" hidden="false" customHeight="false" outlineLevel="0" collapsed="false">
      <c r="A441" s="24"/>
      <c r="B441" s="28"/>
      <c r="C441" s="22"/>
      <c r="D441" s="22"/>
      <c r="E441" s="28"/>
      <c r="F441" s="10" t="str">
        <f aca="false">IF(B441="","",SUMIFS($D$5:D441,$B$5:B441,B441))</f>
        <v/>
      </c>
      <c r="G441" s="10" t="str">
        <f aca="false">IF(B441="","",IF(F441&gt;=3,"FLAG",""))</f>
        <v/>
      </c>
    </row>
    <row r="442" customFormat="false" ht="15" hidden="false" customHeight="false" outlineLevel="0" collapsed="false">
      <c r="A442" s="24"/>
      <c r="B442" s="28"/>
      <c r="C442" s="22"/>
      <c r="D442" s="22"/>
      <c r="E442" s="28"/>
      <c r="F442" s="10" t="str">
        <f aca="false">IF(B442="","",SUMIFS($D$5:D442,$B$5:B442,B442))</f>
        <v/>
      </c>
      <c r="G442" s="10" t="str">
        <f aca="false">IF(B442="","",IF(F442&gt;=3,"FLAG",""))</f>
        <v/>
      </c>
    </row>
    <row r="443" customFormat="false" ht="15" hidden="false" customHeight="false" outlineLevel="0" collapsed="false">
      <c r="A443" s="24"/>
      <c r="B443" s="28"/>
      <c r="C443" s="22"/>
      <c r="D443" s="22"/>
      <c r="E443" s="28"/>
      <c r="F443" s="10" t="str">
        <f aca="false">IF(B443="","",SUMIFS($D$5:D443,$B$5:B443,B443))</f>
        <v/>
      </c>
      <c r="G443" s="10" t="str">
        <f aca="false">IF(B443="","",IF(F443&gt;=3,"FLAG",""))</f>
        <v/>
      </c>
    </row>
    <row r="444" customFormat="false" ht="15" hidden="false" customHeight="false" outlineLevel="0" collapsed="false">
      <c r="A444" s="24"/>
      <c r="B444" s="28"/>
      <c r="C444" s="22"/>
      <c r="D444" s="22"/>
      <c r="E444" s="28"/>
      <c r="F444" s="10" t="str">
        <f aca="false">IF(B444="","",SUMIFS($D$5:D444,$B$5:B444,B444))</f>
        <v/>
      </c>
      <c r="G444" s="10" t="str">
        <f aca="false">IF(B444="","",IF(F444&gt;=3,"FLAG",""))</f>
        <v/>
      </c>
    </row>
    <row r="445" customFormat="false" ht="15" hidden="false" customHeight="false" outlineLevel="0" collapsed="false">
      <c r="A445" s="24"/>
      <c r="B445" s="28"/>
      <c r="C445" s="22"/>
      <c r="D445" s="22"/>
      <c r="E445" s="28"/>
      <c r="F445" s="10" t="str">
        <f aca="false">IF(B445="","",SUMIFS($D$5:D445,$B$5:B445,B445))</f>
        <v/>
      </c>
      <c r="G445" s="10" t="str">
        <f aca="false">IF(B445="","",IF(F445&gt;=3,"FLAG",""))</f>
        <v/>
      </c>
    </row>
    <row r="446" customFormat="false" ht="15" hidden="false" customHeight="false" outlineLevel="0" collapsed="false">
      <c r="A446" s="24"/>
      <c r="B446" s="28"/>
      <c r="C446" s="22"/>
      <c r="D446" s="22"/>
      <c r="E446" s="28"/>
      <c r="F446" s="10" t="str">
        <f aca="false">IF(B446="","",SUMIFS($D$5:D446,$B$5:B446,B446))</f>
        <v/>
      </c>
      <c r="G446" s="10" t="str">
        <f aca="false">IF(B446="","",IF(F446&gt;=3,"FLAG",""))</f>
        <v/>
      </c>
    </row>
    <row r="447" customFormat="false" ht="15" hidden="false" customHeight="false" outlineLevel="0" collapsed="false">
      <c r="A447" s="24"/>
      <c r="B447" s="28"/>
      <c r="C447" s="22"/>
      <c r="D447" s="22"/>
      <c r="E447" s="28"/>
      <c r="F447" s="10" t="str">
        <f aca="false">IF(B447="","",SUMIFS($D$5:D447,$B$5:B447,B447))</f>
        <v/>
      </c>
      <c r="G447" s="10" t="str">
        <f aca="false">IF(B447="","",IF(F447&gt;=3,"FLAG",""))</f>
        <v/>
      </c>
    </row>
    <row r="448" customFormat="false" ht="15" hidden="false" customHeight="false" outlineLevel="0" collapsed="false">
      <c r="A448" s="24"/>
      <c r="B448" s="28"/>
      <c r="C448" s="22"/>
      <c r="D448" s="22"/>
      <c r="E448" s="28"/>
      <c r="F448" s="10" t="str">
        <f aca="false">IF(B448="","",SUMIFS($D$5:D448,$B$5:B448,B448))</f>
        <v/>
      </c>
      <c r="G448" s="10" t="str">
        <f aca="false">IF(B448="","",IF(F448&gt;=3,"FLAG",""))</f>
        <v/>
      </c>
    </row>
    <row r="449" customFormat="false" ht="15" hidden="false" customHeight="false" outlineLevel="0" collapsed="false">
      <c r="A449" s="24"/>
      <c r="B449" s="28"/>
      <c r="C449" s="22"/>
      <c r="D449" s="22"/>
      <c r="E449" s="28"/>
      <c r="F449" s="10" t="str">
        <f aca="false">IF(B449="","",SUMIFS($D$5:D449,$B$5:B449,B449))</f>
        <v/>
      </c>
      <c r="G449" s="10" t="str">
        <f aca="false">IF(B449="","",IF(F449&gt;=3,"FLAG",""))</f>
        <v/>
      </c>
    </row>
    <row r="450" customFormat="false" ht="15" hidden="false" customHeight="false" outlineLevel="0" collapsed="false">
      <c r="A450" s="24"/>
      <c r="B450" s="28"/>
      <c r="C450" s="22"/>
      <c r="D450" s="22"/>
      <c r="E450" s="28"/>
      <c r="F450" s="10" t="str">
        <f aca="false">IF(B450="","",SUMIFS($D$5:D450,$B$5:B450,B450))</f>
        <v/>
      </c>
      <c r="G450" s="10" t="str">
        <f aca="false">IF(B450="","",IF(F450&gt;=3,"FLAG",""))</f>
        <v/>
      </c>
    </row>
    <row r="451" customFormat="false" ht="15" hidden="false" customHeight="false" outlineLevel="0" collapsed="false">
      <c r="A451" s="24"/>
      <c r="B451" s="28"/>
      <c r="C451" s="22"/>
      <c r="D451" s="22"/>
      <c r="E451" s="28"/>
      <c r="F451" s="10" t="str">
        <f aca="false">IF(B451="","",SUMIFS($D$5:D451,$B$5:B451,B451))</f>
        <v/>
      </c>
      <c r="G451" s="10" t="str">
        <f aca="false">IF(B451="","",IF(F451&gt;=3,"FLAG",""))</f>
        <v/>
      </c>
    </row>
    <row r="452" customFormat="false" ht="15" hidden="false" customHeight="false" outlineLevel="0" collapsed="false">
      <c r="A452" s="24"/>
      <c r="B452" s="28"/>
      <c r="C452" s="22"/>
      <c r="D452" s="22"/>
      <c r="E452" s="28"/>
      <c r="F452" s="10" t="str">
        <f aca="false">IF(B452="","",SUMIFS($D$5:D452,$B$5:B452,B452))</f>
        <v/>
      </c>
      <c r="G452" s="10" t="str">
        <f aca="false">IF(B452="","",IF(F452&gt;=3,"FLAG",""))</f>
        <v/>
      </c>
    </row>
    <row r="453" customFormat="false" ht="15" hidden="false" customHeight="false" outlineLevel="0" collapsed="false">
      <c r="A453" s="24"/>
      <c r="B453" s="28"/>
      <c r="C453" s="22"/>
      <c r="D453" s="22"/>
      <c r="E453" s="28"/>
      <c r="F453" s="10" t="str">
        <f aca="false">IF(B453="","",SUMIFS($D$5:D453,$B$5:B453,B453))</f>
        <v/>
      </c>
      <c r="G453" s="10" t="str">
        <f aca="false">IF(B453="","",IF(F453&gt;=3,"FLAG",""))</f>
        <v/>
      </c>
    </row>
    <row r="454" customFormat="false" ht="15" hidden="false" customHeight="false" outlineLevel="0" collapsed="false">
      <c r="A454" s="24"/>
      <c r="B454" s="28"/>
      <c r="C454" s="22"/>
      <c r="D454" s="22"/>
      <c r="E454" s="28"/>
      <c r="F454" s="10" t="str">
        <f aca="false">IF(B454="","",SUMIFS($D$5:D454,$B$5:B454,B454))</f>
        <v/>
      </c>
      <c r="G454" s="10" t="str">
        <f aca="false">IF(B454="","",IF(F454&gt;=3,"FLAG",""))</f>
        <v/>
      </c>
    </row>
    <row r="455" customFormat="false" ht="15" hidden="false" customHeight="false" outlineLevel="0" collapsed="false">
      <c r="A455" s="24"/>
      <c r="B455" s="28"/>
      <c r="C455" s="22"/>
      <c r="D455" s="22"/>
      <c r="E455" s="28"/>
      <c r="F455" s="10" t="str">
        <f aca="false">IF(B455="","",SUMIFS($D$5:D455,$B$5:B455,B455))</f>
        <v/>
      </c>
      <c r="G455" s="10" t="str">
        <f aca="false">IF(B455="","",IF(F455&gt;=3,"FLAG",""))</f>
        <v/>
      </c>
    </row>
    <row r="456" customFormat="false" ht="15" hidden="false" customHeight="false" outlineLevel="0" collapsed="false">
      <c r="A456" s="24"/>
      <c r="B456" s="28"/>
      <c r="C456" s="22"/>
      <c r="D456" s="22"/>
      <c r="E456" s="28"/>
      <c r="F456" s="10" t="str">
        <f aca="false">IF(B456="","",SUMIFS($D$5:D456,$B$5:B456,B456))</f>
        <v/>
      </c>
      <c r="G456" s="10" t="str">
        <f aca="false">IF(B456="","",IF(F456&gt;=3,"FLAG",""))</f>
        <v/>
      </c>
    </row>
    <row r="457" customFormat="false" ht="15" hidden="false" customHeight="false" outlineLevel="0" collapsed="false">
      <c r="A457" s="24"/>
      <c r="B457" s="28"/>
      <c r="C457" s="22"/>
      <c r="D457" s="22"/>
      <c r="E457" s="28"/>
      <c r="F457" s="10" t="str">
        <f aca="false">IF(B457="","",SUMIFS($D$5:D457,$B$5:B457,B457))</f>
        <v/>
      </c>
      <c r="G457" s="10" t="str">
        <f aca="false">IF(B457="","",IF(F457&gt;=3,"FLAG",""))</f>
        <v/>
      </c>
    </row>
    <row r="458" customFormat="false" ht="15" hidden="false" customHeight="false" outlineLevel="0" collapsed="false">
      <c r="A458" s="24"/>
      <c r="B458" s="28"/>
      <c r="C458" s="22"/>
      <c r="D458" s="22"/>
      <c r="E458" s="28"/>
      <c r="F458" s="10" t="str">
        <f aca="false">IF(B458="","",SUMIFS($D$5:D458,$B$5:B458,B458))</f>
        <v/>
      </c>
      <c r="G458" s="10" t="str">
        <f aca="false">IF(B458="","",IF(F458&gt;=3,"FLAG",""))</f>
        <v/>
      </c>
    </row>
    <row r="459" customFormat="false" ht="15" hidden="false" customHeight="false" outlineLevel="0" collapsed="false">
      <c r="A459" s="24"/>
      <c r="B459" s="28"/>
      <c r="C459" s="22"/>
      <c r="D459" s="22"/>
      <c r="E459" s="28"/>
      <c r="F459" s="10" t="str">
        <f aca="false">IF(B459="","",SUMIFS($D$5:D459,$B$5:B459,B459))</f>
        <v/>
      </c>
      <c r="G459" s="10" t="str">
        <f aca="false">IF(B459="","",IF(F459&gt;=3,"FLAG",""))</f>
        <v/>
      </c>
    </row>
    <row r="460" customFormat="false" ht="15" hidden="false" customHeight="false" outlineLevel="0" collapsed="false">
      <c r="A460" s="24"/>
      <c r="B460" s="28"/>
      <c r="C460" s="22"/>
      <c r="D460" s="22"/>
      <c r="E460" s="28"/>
      <c r="F460" s="10" t="str">
        <f aca="false">IF(B460="","",SUMIFS($D$5:D460,$B$5:B460,B460))</f>
        <v/>
      </c>
      <c r="G460" s="10" t="str">
        <f aca="false">IF(B460="","",IF(F460&gt;=3,"FLAG",""))</f>
        <v/>
      </c>
    </row>
    <row r="461" customFormat="false" ht="15" hidden="false" customHeight="false" outlineLevel="0" collapsed="false">
      <c r="A461" s="24"/>
      <c r="B461" s="28"/>
      <c r="C461" s="22"/>
      <c r="D461" s="22"/>
      <c r="E461" s="28"/>
      <c r="F461" s="10" t="str">
        <f aca="false">IF(B461="","",SUMIFS($D$5:D461,$B$5:B461,B461))</f>
        <v/>
      </c>
      <c r="G461" s="10" t="str">
        <f aca="false">IF(B461="","",IF(F461&gt;=3,"FLAG",""))</f>
        <v/>
      </c>
    </row>
    <row r="462" customFormat="false" ht="15" hidden="false" customHeight="false" outlineLevel="0" collapsed="false">
      <c r="A462" s="24"/>
      <c r="B462" s="28"/>
      <c r="C462" s="22"/>
      <c r="D462" s="22"/>
      <c r="E462" s="28"/>
      <c r="F462" s="10" t="str">
        <f aca="false">IF(B462="","",SUMIFS($D$5:D462,$B$5:B462,B462))</f>
        <v/>
      </c>
      <c r="G462" s="10" t="str">
        <f aca="false">IF(B462="","",IF(F462&gt;=3,"FLAG",""))</f>
        <v/>
      </c>
    </row>
    <row r="463" customFormat="false" ht="15" hidden="false" customHeight="false" outlineLevel="0" collapsed="false">
      <c r="A463" s="24"/>
      <c r="B463" s="28"/>
      <c r="C463" s="22"/>
      <c r="D463" s="22"/>
      <c r="E463" s="28"/>
      <c r="F463" s="10" t="str">
        <f aca="false">IF(B463="","",SUMIFS($D$5:D463,$B$5:B463,B463))</f>
        <v/>
      </c>
      <c r="G463" s="10" t="str">
        <f aca="false">IF(B463="","",IF(F463&gt;=3,"FLAG",""))</f>
        <v/>
      </c>
    </row>
    <row r="464" customFormat="false" ht="15" hidden="false" customHeight="false" outlineLevel="0" collapsed="false">
      <c r="A464" s="24"/>
      <c r="B464" s="28"/>
      <c r="C464" s="22"/>
      <c r="D464" s="22"/>
      <c r="E464" s="28"/>
      <c r="F464" s="10" t="str">
        <f aca="false">IF(B464="","",SUMIFS($D$5:D464,$B$5:B464,B464))</f>
        <v/>
      </c>
      <c r="G464" s="10" t="str">
        <f aca="false">IF(B464="","",IF(F464&gt;=3,"FLAG",""))</f>
        <v/>
      </c>
    </row>
    <row r="465" customFormat="false" ht="15" hidden="false" customHeight="false" outlineLevel="0" collapsed="false">
      <c r="A465" s="24"/>
      <c r="B465" s="28"/>
      <c r="C465" s="22"/>
      <c r="D465" s="22"/>
      <c r="E465" s="28"/>
      <c r="F465" s="10" t="str">
        <f aca="false">IF(B465="","",SUMIFS($D$5:D465,$B$5:B465,B465))</f>
        <v/>
      </c>
      <c r="G465" s="10" t="str">
        <f aca="false">IF(B465="","",IF(F465&gt;=3,"FLAG",""))</f>
        <v/>
      </c>
    </row>
    <row r="466" customFormat="false" ht="15" hidden="false" customHeight="false" outlineLevel="0" collapsed="false">
      <c r="A466" s="24"/>
      <c r="B466" s="28"/>
      <c r="C466" s="22"/>
      <c r="D466" s="22"/>
      <c r="E466" s="28"/>
      <c r="F466" s="10" t="str">
        <f aca="false">IF(B466="","",SUMIFS($D$5:D466,$B$5:B466,B466))</f>
        <v/>
      </c>
      <c r="G466" s="10" t="str">
        <f aca="false">IF(B466="","",IF(F466&gt;=3,"FLAG",""))</f>
        <v/>
      </c>
    </row>
    <row r="467" customFormat="false" ht="15" hidden="false" customHeight="false" outlineLevel="0" collapsed="false">
      <c r="A467" s="24"/>
      <c r="B467" s="28"/>
      <c r="C467" s="22"/>
      <c r="D467" s="22"/>
      <c r="E467" s="28"/>
      <c r="F467" s="10" t="str">
        <f aca="false">IF(B467="","",SUMIFS($D$5:D467,$B$5:B467,B467))</f>
        <v/>
      </c>
      <c r="G467" s="10" t="str">
        <f aca="false">IF(B467="","",IF(F467&gt;=3,"FLAG",""))</f>
        <v/>
      </c>
    </row>
    <row r="468" customFormat="false" ht="15" hidden="false" customHeight="false" outlineLevel="0" collapsed="false">
      <c r="A468" s="24"/>
      <c r="B468" s="28"/>
      <c r="C468" s="22"/>
      <c r="D468" s="22"/>
      <c r="E468" s="28"/>
      <c r="F468" s="10" t="str">
        <f aca="false">IF(B468="","",SUMIFS($D$5:D468,$B$5:B468,B468))</f>
        <v/>
      </c>
      <c r="G468" s="10" t="str">
        <f aca="false">IF(B468="","",IF(F468&gt;=3,"FLAG",""))</f>
        <v/>
      </c>
    </row>
    <row r="469" customFormat="false" ht="15" hidden="false" customHeight="false" outlineLevel="0" collapsed="false">
      <c r="A469" s="24"/>
      <c r="B469" s="28"/>
      <c r="C469" s="22"/>
      <c r="D469" s="22"/>
      <c r="E469" s="28"/>
      <c r="F469" s="10" t="str">
        <f aca="false">IF(B469="","",SUMIFS($D$5:D469,$B$5:B469,B469))</f>
        <v/>
      </c>
      <c r="G469" s="10" t="str">
        <f aca="false">IF(B469="","",IF(F469&gt;=3,"FLAG",""))</f>
        <v/>
      </c>
    </row>
    <row r="470" customFormat="false" ht="15" hidden="false" customHeight="false" outlineLevel="0" collapsed="false">
      <c r="A470" s="24"/>
      <c r="B470" s="28"/>
      <c r="C470" s="22"/>
      <c r="D470" s="22"/>
      <c r="E470" s="28"/>
      <c r="F470" s="10" t="str">
        <f aca="false">IF(B470="","",SUMIFS($D$5:D470,$B$5:B470,B470))</f>
        <v/>
      </c>
      <c r="G470" s="10" t="str">
        <f aca="false">IF(B470="","",IF(F470&gt;=3,"FLAG",""))</f>
        <v/>
      </c>
    </row>
    <row r="471" customFormat="false" ht="15" hidden="false" customHeight="false" outlineLevel="0" collapsed="false">
      <c r="A471" s="24"/>
      <c r="B471" s="28"/>
      <c r="C471" s="22"/>
      <c r="D471" s="22"/>
      <c r="E471" s="28"/>
      <c r="F471" s="10" t="str">
        <f aca="false">IF(B471="","",SUMIFS($D$5:D471,$B$5:B471,B471))</f>
        <v/>
      </c>
      <c r="G471" s="10" t="str">
        <f aca="false">IF(B471="","",IF(F471&gt;=3,"FLAG",""))</f>
        <v/>
      </c>
    </row>
    <row r="472" customFormat="false" ht="15" hidden="false" customHeight="false" outlineLevel="0" collapsed="false">
      <c r="A472" s="24"/>
      <c r="B472" s="28"/>
      <c r="C472" s="22"/>
      <c r="D472" s="22"/>
      <c r="E472" s="28"/>
      <c r="F472" s="10" t="str">
        <f aca="false">IF(B472="","",SUMIFS($D$5:D472,$B$5:B472,B472))</f>
        <v/>
      </c>
      <c r="G472" s="10" t="str">
        <f aca="false">IF(B472="","",IF(F472&gt;=3,"FLAG",""))</f>
        <v/>
      </c>
    </row>
    <row r="473" customFormat="false" ht="15" hidden="false" customHeight="false" outlineLevel="0" collapsed="false">
      <c r="A473" s="24"/>
      <c r="B473" s="28"/>
      <c r="C473" s="22"/>
      <c r="D473" s="22"/>
      <c r="E473" s="28"/>
      <c r="F473" s="10" t="str">
        <f aca="false">IF(B473="","",SUMIFS($D$5:D473,$B$5:B473,B473))</f>
        <v/>
      </c>
      <c r="G473" s="10" t="str">
        <f aca="false">IF(B473="","",IF(F473&gt;=3,"FLAG",""))</f>
        <v/>
      </c>
    </row>
    <row r="474" customFormat="false" ht="15" hidden="false" customHeight="false" outlineLevel="0" collapsed="false">
      <c r="A474" s="24"/>
      <c r="B474" s="28"/>
      <c r="C474" s="22"/>
      <c r="D474" s="22"/>
      <c r="E474" s="28"/>
      <c r="F474" s="10" t="str">
        <f aca="false">IF(B474="","",SUMIFS($D$5:D474,$B$5:B474,B474))</f>
        <v/>
      </c>
      <c r="G474" s="10" t="str">
        <f aca="false">IF(B474="","",IF(F474&gt;=3,"FLAG",""))</f>
        <v/>
      </c>
    </row>
    <row r="475" customFormat="false" ht="15" hidden="false" customHeight="false" outlineLevel="0" collapsed="false">
      <c r="A475" s="24"/>
      <c r="B475" s="28"/>
      <c r="C475" s="22"/>
      <c r="D475" s="22"/>
      <c r="E475" s="28"/>
      <c r="F475" s="10" t="str">
        <f aca="false">IF(B475="","",SUMIFS($D$5:D475,$B$5:B475,B475))</f>
        <v/>
      </c>
      <c r="G475" s="10" t="str">
        <f aca="false">IF(B475="","",IF(F475&gt;=3,"FLAG",""))</f>
        <v/>
      </c>
    </row>
    <row r="476" customFormat="false" ht="15" hidden="false" customHeight="false" outlineLevel="0" collapsed="false">
      <c r="A476" s="24"/>
      <c r="B476" s="28"/>
      <c r="C476" s="22"/>
      <c r="D476" s="22"/>
      <c r="E476" s="28"/>
      <c r="F476" s="10" t="str">
        <f aca="false">IF(B476="","",SUMIFS($D$5:D476,$B$5:B476,B476))</f>
        <v/>
      </c>
      <c r="G476" s="10" t="str">
        <f aca="false">IF(B476="","",IF(F476&gt;=3,"FLAG",""))</f>
        <v/>
      </c>
    </row>
    <row r="477" customFormat="false" ht="15" hidden="false" customHeight="false" outlineLevel="0" collapsed="false">
      <c r="A477" s="24"/>
      <c r="B477" s="28"/>
      <c r="C477" s="22"/>
      <c r="D477" s="22"/>
      <c r="E477" s="28"/>
      <c r="F477" s="10" t="str">
        <f aca="false">IF(B477="","",SUMIFS($D$5:D477,$B$5:B477,B477))</f>
        <v/>
      </c>
      <c r="G477" s="10" t="str">
        <f aca="false">IF(B477="","",IF(F477&gt;=3,"FLAG",""))</f>
        <v/>
      </c>
    </row>
    <row r="478" customFormat="false" ht="15" hidden="false" customHeight="false" outlineLevel="0" collapsed="false">
      <c r="A478" s="24"/>
      <c r="B478" s="28"/>
      <c r="C478" s="22"/>
      <c r="D478" s="22"/>
      <c r="E478" s="28"/>
      <c r="F478" s="10" t="str">
        <f aca="false">IF(B478="","",SUMIFS($D$5:D478,$B$5:B478,B478))</f>
        <v/>
      </c>
      <c r="G478" s="10" t="str">
        <f aca="false">IF(B478="","",IF(F478&gt;=3,"FLAG",""))</f>
        <v/>
      </c>
    </row>
    <row r="479" customFormat="false" ht="15" hidden="false" customHeight="false" outlineLevel="0" collapsed="false">
      <c r="A479" s="24"/>
      <c r="B479" s="28"/>
      <c r="C479" s="22"/>
      <c r="D479" s="22"/>
      <c r="E479" s="28"/>
      <c r="F479" s="10" t="str">
        <f aca="false">IF(B479="","",SUMIFS($D$5:D479,$B$5:B479,B479))</f>
        <v/>
      </c>
      <c r="G479" s="10" t="str">
        <f aca="false">IF(B479="","",IF(F479&gt;=3,"FLAG",""))</f>
        <v/>
      </c>
    </row>
    <row r="480" customFormat="false" ht="15" hidden="false" customHeight="false" outlineLevel="0" collapsed="false">
      <c r="A480" s="24"/>
      <c r="B480" s="28"/>
      <c r="C480" s="22"/>
      <c r="D480" s="22"/>
      <c r="E480" s="28"/>
      <c r="F480" s="10" t="str">
        <f aca="false">IF(B480="","",SUMIFS($D$5:D480,$B$5:B480,B480))</f>
        <v/>
      </c>
      <c r="G480" s="10" t="str">
        <f aca="false">IF(B480="","",IF(F480&gt;=3,"FLAG",""))</f>
        <v/>
      </c>
    </row>
    <row r="481" customFormat="false" ht="15" hidden="false" customHeight="false" outlineLevel="0" collapsed="false">
      <c r="A481" s="24"/>
      <c r="B481" s="28"/>
      <c r="C481" s="22"/>
      <c r="D481" s="22"/>
      <c r="E481" s="28"/>
      <c r="F481" s="10" t="str">
        <f aca="false">IF(B481="","",SUMIFS($D$5:D481,$B$5:B481,B481))</f>
        <v/>
      </c>
      <c r="G481" s="10" t="str">
        <f aca="false">IF(B481="","",IF(F481&gt;=3,"FLAG",""))</f>
        <v/>
      </c>
    </row>
    <row r="482" customFormat="false" ht="15" hidden="false" customHeight="false" outlineLevel="0" collapsed="false">
      <c r="A482" s="24"/>
      <c r="B482" s="28"/>
      <c r="C482" s="22"/>
      <c r="D482" s="22"/>
      <c r="E482" s="28"/>
      <c r="F482" s="10" t="str">
        <f aca="false">IF(B482="","",SUMIFS($D$5:D482,$B$5:B482,B482))</f>
        <v/>
      </c>
      <c r="G482" s="10" t="str">
        <f aca="false">IF(B482="","",IF(F482&gt;=3,"FLAG",""))</f>
        <v/>
      </c>
    </row>
    <row r="483" customFormat="false" ht="15" hidden="false" customHeight="false" outlineLevel="0" collapsed="false">
      <c r="A483" s="24"/>
      <c r="B483" s="28"/>
      <c r="C483" s="22"/>
      <c r="D483" s="22"/>
      <c r="E483" s="28"/>
      <c r="F483" s="10" t="str">
        <f aca="false">IF(B483="","",SUMIFS($D$5:D483,$B$5:B483,B483))</f>
        <v/>
      </c>
      <c r="G483" s="10" t="str">
        <f aca="false">IF(B483="","",IF(F483&gt;=3,"FLAG",""))</f>
        <v/>
      </c>
    </row>
    <row r="484" customFormat="false" ht="15" hidden="false" customHeight="false" outlineLevel="0" collapsed="false">
      <c r="A484" s="24"/>
      <c r="B484" s="28"/>
      <c r="C484" s="22"/>
      <c r="D484" s="22"/>
      <c r="E484" s="28"/>
      <c r="F484" s="10" t="str">
        <f aca="false">IF(B484="","",SUMIFS($D$5:D484,$B$5:B484,B484))</f>
        <v/>
      </c>
      <c r="G484" s="10" t="str">
        <f aca="false">IF(B484="","",IF(F484&gt;=3,"FLAG",""))</f>
        <v/>
      </c>
    </row>
    <row r="485" customFormat="false" ht="15" hidden="false" customHeight="false" outlineLevel="0" collapsed="false">
      <c r="A485" s="24"/>
      <c r="B485" s="28"/>
      <c r="C485" s="22"/>
      <c r="D485" s="22"/>
      <c r="E485" s="28"/>
      <c r="F485" s="10" t="str">
        <f aca="false">IF(B485="","",SUMIFS($D$5:D485,$B$5:B485,B485))</f>
        <v/>
      </c>
      <c r="G485" s="10" t="str">
        <f aca="false">IF(B485="","",IF(F485&gt;=3,"FLAG",""))</f>
        <v/>
      </c>
    </row>
    <row r="486" customFormat="false" ht="15" hidden="false" customHeight="false" outlineLevel="0" collapsed="false">
      <c r="A486" s="24"/>
      <c r="B486" s="28"/>
      <c r="C486" s="22"/>
      <c r="D486" s="22"/>
      <c r="E486" s="28"/>
      <c r="F486" s="10" t="str">
        <f aca="false">IF(B486="","",SUMIFS($D$5:D486,$B$5:B486,B486))</f>
        <v/>
      </c>
      <c r="G486" s="10" t="str">
        <f aca="false">IF(B486="","",IF(F486&gt;=3,"FLAG",""))</f>
        <v/>
      </c>
    </row>
    <row r="487" customFormat="false" ht="15" hidden="false" customHeight="false" outlineLevel="0" collapsed="false">
      <c r="A487" s="24"/>
      <c r="B487" s="28"/>
      <c r="C487" s="22"/>
      <c r="D487" s="22"/>
      <c r="E487" s="28"/>
      <c r="F487" s="10" t="str">
        <f aca="false">IF(B487="","",SUMIFS($D$5:D487,$B$5:B487,B487))</f>
        <v/>
      </c>
      <c r="G487" s="10" t="str">
        <f aca="false">IF(B487="","",IF(F487&gt;=3,"FLAG",""))</f>
        <v/>
      </c>
    </row>
    <row r="488" customFormat="false" ht="15" hidden="false" customHeight="false" outlineLevel="0" collapsed="false">
      <c r="A488" s="24"/>
      <c r="B488" s="28"/>
      <c r="C488" s="22"/>
      <c r="D488" s="22"/>
      <c r="E488" s="28"/>
      <c r="F488" s="10" t="str">
        <f aca="false">IF(B488="","",SUMIFS($D$5:D488,$B$5:B488,B488))</f>
        <v/>
      </c>
      <c r="G488" s="10" t="str">
        <f aca="false">IF(B488="","",IF(F488&gt;=3,"FLAG",""))</f>
        <v/>
      </c>
    </row>
    <row r="489" customFormat="false" ht="15" hidden="false" customHeight="false" outlineLevel="0" collapsed="false">
      <c r="A489" s="24"/>
      <c r="B489" s="28"/>
      <c r="C489" s="22"/>
      <c r="D489" s="22"/>
      <c r="E489" s="28"/>
      <c r="F489" s="10" t="str">
        <f aca="false">IF(B489="","",SUMIFS($D$5:D489,$B$5:B489,B489))</f>
        <v/>
      </c>
      <c r="G489" s="10" t="str">
        <f aca="false">IF(B489="","",IF(F489&gt;=3,"FLAG",""))</f>
        <v/>
      </c>
    </row>
    <row r="490" customFormat="false" ht="15" hidden="false" customHeight="false" outlineLevel="0" collapsed="false">
      <c r="A490" s="24"/>
      <c r="B490" s="28"/>
      <c r="C490" s="22"/>
      <c r="D490" s="22"/>
      <c r="E490" s="28"/>
      <c r="F490" s="10" t="str">
        <f aca="false">IF(B490="","",SUMIFS($D$5:D490,$B$5:B490,B490))</f>
        <v/>
      </c>
      <c r="G490" s="10" t="str">
        <f aca="false">IF(B490="","",IF(F490&gt;=3,"FLAG",""))</f>
        <v/>
      </c>
    </row>
    <row r="491" customFormat="false" ht="15" hidden="false" customHeight="false" outlineLevel="0" collapsed="false">
      <c r="A491" s="24"/>
      <c r="B491" s="28"/>
      <c r="C491" s="22"/>
      <c r="D491" s="22"/>
      <c r="E491" s="28"/>
      <c r="F491" s="10" t="str">
        <f aca="false">IF(B491="","",SUMIFS($D$5:D491,$B$5:B491,B491))</f>
        <v/>
      </c>
      <c r="G491" s="10" t="str">
        <f aca="false">IF(B491="","",IF(F491&gt;=3,"FLAG",""))</f>
        <v/>
      </c>
    </row>
    <row r="492" customFormat="false" ht="15" hidden="false" customHeight="false" outlineLevel="0" collapsed="false">
      <c r="A492" s="24"/>
      <c r="B492" s="28"/>
      <c r="C492" s="22"/>
      <c r="D492" s="22"/>
      <c r="E492" s="28"/>
      <c r="F492" s="10" t="str">
        <f aca="false">IF(B492="","",SUMIFS($D$5:D492,$B$5:B492,B492))</f>
        <v/>
      </c>
      <c r="G492" s="10" t="str">
        <f aca="false">IF(B492="","",IF(F492&gt;=3,"FLAG",""))</f>
        <v/>
      </c>
    </row>
    <row r="493" customFormat="false" ht="15" hidden="false" customHeight="false" outlineLevel="0" collapsed="false">
      <c r="A493" s="24"/>
      <c r="B493" s="28"/>
      <c r="C493" s="22"/>
      <c r="D493" s="22"/>
      <c r="E493" s="28"/>
      <c r="F493" s="10" t="str">
        <f aca="false">IF(B493="","",SUMIFS($D$5:D493,$B$5:B493,B493))</f>
        <v/>
      </c>
      <c r="G493" s="10" t="str">
        <f aca="false">IF(B493="","",IF(F493&gt;=3,"FLAG",""))</f>
        <v/>
      </c>
    </row>
    <row r="494" customFormat="false" ht="15" hidden="false" customHeight="false" outlineLevel="0" collapsed="false">
      <c r="A494" s="24"/>
      <c r="B494" s="28"/>
      <c r="C494" s="22"/>
      <c r="D494" s="22"/>
      <c r="E494" s="28"/>
      <c r="F494" s="10" t="str">
        <f aca="false">IF(B494="","",SUMIFS($D$5:D494,$B$5:B494,B494))</f>
        <v/>
      </c>
      <c r="G494" s="10" t="str">
        <f aca="false">IF(B494="","",IF(F494&gt;=3,"FLAG",""))</f>
        <v/>
      </c>
    </row>
    <row r="495" customFormat="false" ht="15" hidden="false" customHeight="false" outlineLevel="0" collapsed="false">
      <c r="A495" s="24"/>
      <c r="B495" s="28"/>
      <c r="C495" s="22"/>
      <c r="D495" s="22"/>
      <c r="E495" s="28"/>
      <c r="F495" s="10" t="str">
        <f aca="false">IF(B495="","",SUMIFS($D$5:D495,$B$5:B495,B495))</f>
        <v/>
      </c>
      <c r="G495" s="10" t="str">
        <f aca="false">IF(B495="","",IF(F495&gt;=3,"FLAG",""))</f>
        <v/>
      </c>
    </row>
    <row r="496" customFormat="false" ht="15" hidden="false" customHeight="false" outlineLevel="0" collapsed="false">
      <c r="A496" s="24"/>
      <c r="B496" s="28"/>
      <c r="C496" s="22"/>
      <c r="D496" s="22"/>
      <c r="E496" s="28"/>
      <c r="F496" s="10" t="str">
        <f aca="false">IF(B496="","",SUMIFS($D$5:D496,$B$5:B496,B496))</f>
        <v/>
      </c>
      <c r="G496" s="10" t="str">
        <f aca="false">IF(B496="","",IF(F496&gt;=3,"FLAG",""))</f>
        <v/>
      </c>
    </row>
    <row r="497" customFormat="false" ht="15" hidden="false" customHeight="false" outlineLevel="0" collapsed="false">
      <c r="A497" s="24"/>
      <c r="B497" s="28"/>
      <c r="C497" s="22"/>
      <c r="D497" s="22"/>
      <c r="E497" s="28"/>
      <c r="F497" s="10" t="str">
        <f aca="false">IF(B497="","",SUMIFS($D$5:D497,$B$5:B497,B497))</f>
        <v/>
      </c>
      <c r="G497" s="10" t="str">
        <f aca="false">IF(B497="","",IF(F497&gt;=3,"FLAG",""))</f>
        <v/>
      </c>
    </row>
    <row r="498" customFormat="false" ht="15" hidden="false" customHeight="false" outlineLevel="0" collapsed="false">
      <c r="A498" s="24"/>
      <c r="B498" s="28"/>
      <c r="C498" s="22"/>
      <c r="D498" s="22"/>
      <c r="E498" s="28"/>
      <c r="F498" s="10" t="str">
        <f aca="false">IF(B498="","",SUMIFS($D$5:D498,$B$5:B498,B498))</f>
        <v/>
      </c>
      <c r="G498" s="10" t="str">
        <f aca="false">IF(B498="","",IF(F498&gt;=3,"FLAG",""))</f>
        <v/>
      </c>
    </row>
    <row r="499" customFormat="false" ht="15" hidden="false" customHeight="false" outlineLevel="0" collapsed="false">
      <c r="A499" s="24"/>
      <c r="B499" s="28"/>
      <c r="C499" s="22"/>
      <c r="D499" s="22"/>
      <c r="E499" s="28"/>
      <c r="F499" s="10" t="str">
        <f aca="false">IF(B499="","",SUMIFS($D$5:D499,$B$5:B499,B499))</f>
        <v/>
      </c>
      <c r="G499" s="10" t="str">
        <f aca="false">IF(B499="","",IF(F499&gt;=3,"FLAG",""))</f>
        <v/>
      </c>
    </row>
    <row r="500" customFormat="false" ht="15" hidden="false" customHeight="false" outlineLevel="0" collapsed="false">
      <c r="A500" s="24"/>
      <c r="B500" s="28"/>
      <c r="C500" s="22"/>
      <c r="D500" s="22"/>
      <c r="E500" s="28"/>
      <c r="F500" s="10" t="str">
        <f aca="false">IF(B500="","",SUMIFS($D$5:D500,$B$5:B500,B500))</f>
        <v/>
      </c>
      <c r="G500" s="10" t="str">
        <f aca="false">IF(B500="","",IF(F500&gt;=3,"FLAG",""))</f>
        <v/>
      </c>
    </row>
    <row r="501" customFormat="false" ht="15" hidden="false" customHeight="false" outlineLevel="0" collapsed="false">
      <c r="A501" s="24"/>
      <c r="B501" s="28"/>
      <c r="C501" s="22"/>
      <c r="D501" s="22"/>
      <c r="E501" s="28"/>
      <c r="F501" s="10" t="str">
        <f aca="false">IF(B501="","",SUMIFS($D$5:D501,$B$5:B501,B501))</f>
        <v/>
      </c>
      <c r="G501" s="10" t="str">
        <f aca="false">IF(B501="","",IF(F501&gt;=3,"FLAG",""))</f>
        <v/>
      </c>
    </row>
    <row r="502" customFormat="false" ht="15" hidden="false" customHeight="false" outlineLevel="0" collapsed="false">
      <c r="A502" s="24"/>
      <c r="B502" s="28"/>
      <c r="C502" s="22"/>
      <c r="D502" s="22"/>
      <c r="E502" s="28"/>
      <c r="F502" s="10" t="str">
        <f aca="false">IF(B502="","",SUMIFS($D$5:D502,$B$5:B502,B502))</f>
        <v/>
      </c>
      <c r="G502" s="10" t="str">
        <f aca="false">IF(B502="","",IF(F502&gt;=3,"FLAG",""))</f>
        <v/>
      </c>
    </row>
    <row r="503" customFormat="false" ht="15" hidden="false" customHeight="false" outlineLevel="0" collapsed="false">
      <c r="A503" s="24"/>
      <c r="B503" s="28"/>
      <c r="C503" s="22"/>
      <c r="D503" s="22"/>
      <c r="E503" s="28"/>
      <c r="F503" s="10" t="str">
        <f aca="false">IF(B503="","",SUMIFS($D$5:D503,$B$5:B503,B503))</f>
        <v/>
      </c>
      <c r="G503" s="10" t="str">
        <f aca="false">IF(B503="","",IF(F503&gt;=3,"FLAG",""))</f>
        <v/>
      </c>
    </row>
    <row r="504" customFormat="false" ht="15" hidden="false" customHeight="false" outlineLevel="0" collapsed="false">
      <c r="A504" s="24"/>
      <c r="B504" s="28"/>
      <c r="C504" s="22"/>
      <c r="D504" s="22"/>
      <c r="E504" s="28"/>
      <c r="F504" s="10" t="str">
        <f aca="false">IF(B504="","",SUMIFS($D$5:D504,$B$5:B504,B504))</f>
        <v/>
      </c>
      <c r="G504" s="10" t="str">
        <f aca="false">IF(B504="","",IF(F504&gt;=3,"FLAG",""))</f>
        <v/>
      </c>
    </row>
    <row r="505" customFormat="false" ht="15" hidden="false" customHeight="false" outlineLevel="0" collapsed="false">
      <c r="A505" s="24"/>
      <c r="B505" s="28"/>
      <c r="C505" s="22"/>
      <c r="D505" s="22"/>
      <c r="E505" s="28"/>
      <c r="F505" s="10" t="str">
        <f aca="false">IF(B505="","",SUMIFS($D$5:D505,$B$5:B505,B505))</f>
        <v/>
      </c>
      <c r="G505" s="10" t="str">
        <f aca="false">IF(B505="","",IF(F505&gt;=3,"FLAG",""))</f>
        <v/>
      </c>
    </row>
    <row r="506" customFormat="false" ht="15" hidden="false" customHeight="false" outlineLevel="0" collapsed="false">
      <c r="A506" s="24"/>
      <c r="B506" s="28"/>
      <c r="C506" s="22"/>
      <c r="D506" s="22"/>
      <c r="E506" s="28"/>
      <c r="F506" s="10" t="str">
        <f aca="false">IF(B506="","",SUMIFS($D$5:D506,$B$5:B506,B506))</f>
        <v/>
      </c>
      <c r="G506" s="10" t="str">
        <f aca="false">IF(B506="","",IF(F506&gt;=3,"FLAG",""))</f>
        <v/>
      </c>
    </row>
    <row r="507" customFormat="false" ht="15" hidden="false" customHeight="false" outlineLevel="0" collapsed="false">
      <c r="A507" s="24"/>
      <c r="B507" s="28"/>
      <c r="C507" s="22"/>
      <c r="D507" s="22"/>
      <c r="E507" s="28"/>
      <c r="F507" s="10" t="str">
        <f aca="false">IF(B507="","",SUMIFS($D$5:D507,$B$5:B507,B507))</f>
        <v/>
      </c>
      <c r="G507" s="10" t="str">
        <f aca="false">IF(B507="","",IF(F507&gt;=3,"FLAG",""))</f>
        <v/>
      </c>
    </row>
    <row r="508" customFormat="false" ht="15" hidden="false" customHeight="false" outlineLevel="0" collapsed="false">
      <c r="A508" s="24"/>
      <c r="B508" s="28"/>
      <c r="C508" s="22"/>
      <c r="D508" s="22"/>
      <c r="E508" s="28"/>
      <c r="F508" s="10" t="str">
        <f aca="false">IF(B508="","",SUMIFS($D$5:D508,$B$5:B508,B508))</f>
        <v/>
      </c>
      <c r="G508" s="10" t="str">
        <f aca="false">IF(B508="","",IF(F508&gt;=3,"FLAG",""))</f>
        <v/>
      </c>
    </row>
    <row r="509" customFormat="false" ht="15" hidden="false" customHeight="false" outlineLevel="0" collapsed="false">
      <c r="A509" s="24"/>
      <c r="B509" s="28"/>
      <c r="C509" s="22"/>
      <c r="D509" s="22"/>
      <c r="E509" s="28"/>
      <c r="F509" s="10" t="str">
        <f aca="false">IF(B509="","",SUMIFS($D$5:D509,$B$5:B509,B509))</f>
        <v/>
      </c>
      <c r="G509" s="10" t="str">
        <f aca="false">IF(B509="","",IF(F509&gt;=3,"FLAG",""))</f>
        <v/>
      </c>
    </row>
    <row r="510" customFormat="false" ht="15" hidden="false" customHeight="false" outlineLevel="0" collapsed="false">
      <c r="A510" s="24"/>
      <c r="B510" s="28"/>
      <c r="C510" s="22"/>
      <c r="D510" s="22"/>
      <c r="E510" s="28"/>
      <c r="F510" s="10" t="str">
        <f aca="false">IF(B510="","",SUMIFS($D$5:D510,$B$5:B510,B510))</f>
        <v/>
      </c>
      <c r="G510" s="10" t="str">
        <f aca="false">IF(B510="","",IF(F510&gt;=3,"FLAG",""))</f>
        <v/>
      </c>
    </row>
    <row r="511" customFormat="false" ht="15" hidden="false" customHeight="false" outlineLevel="0" collapsed="false">
      <c r="A511" s="24"/>
      <c r="B511" s="28"/>
      <c r="C511" s="22"/>
      <c r="D511" s="22"/>
      <c r="E511" s="28"/>
      <c r="F511" s="10" t="str">
        <f aca="false">IF(B511="","",SUMIFS($D$5:D511,$B$5:B511,B511))</f>
        <v/>
      </c>
      <c r="G511" s="10" t="str">
        <f aca="false">IF(B511="","",IF(F511&gt;=3,"FLAG",""))</f>
        <v/>
      </c>
    </row>
    <row r="512" customFormat="false" ht="15" hidden="false" customHeight="false" outlineLevel="0" collapsed="false">
      <c r="A512" s="24"/>
      <c r="B512" s="28"/>
      <c r="C512" s="22"/>
      <c r="D512" s="22"/>
      <c r="E512" s="28"/>
      <c r="F512" s="10" t="str">
        <f aca="false">IF(B512="","",SUMIFS($D$5:D512,$B$5:B512,B512))</f>
        <v/>
      </c>
      <c r="G512" s="10" t="str">
        <f aca="false">IF(B512="","",IF(F512&gt;=3,"FLAG",""))</f>
        <v/>
      </c>
    </row>
    <row r="513" customFormat="false" ht="15" hidden="false" customHeight="false" outlineLevel="0" collapsed="false">
      <c r="A513" s="24"/>
      <c r="B513" s="28"/>
      <c r="C513" s="22"/>
      <c r="D513" s="22"/>
      <c r="E513" s="28"/>
      <c r="F513" s="10" t="str">
        <f aca="false">IF(B513="","",SUMIFS($D$5:D513,$B$5:B513,B513))</f>
        <v/>
      </c>
      <c r="G513" s="10" t="str">
        <f aca="false">IF(B513="","",IF(F513&gt;=3,"FLAG",""))</f>
        <v/>
      </c>
    </row>
    <row r="514" customFormat="false" ht="15" hidden="false" customHeight="false" outlineLevel="0" collapsed="false">
      <c r="A514" s="24"/>
      <c r="B514" s="28"/>
      <c r="C514" s="22"/>
      <c r="D514" s="22"/>
      <c r="E514" s="28"/>
      <c r="F514" s="10" t="str">
        <f aca="false">IF(B514="","",SUMIFS($D$5:D514,$B$5:B514,B514))</f>
        <v/>
      </c>
      <c r="G514" s="10" t="str">
        <f aca="false">IF(B514="","",IF(F514&gt;=3,"FLAG",""))</f>
        <v/>
      </c>
    </row>
    <row r="515" customFormat="false" ht="15" hidden="false" customHeight="false" outlineLevel="0" collapsed="false">
      <c r="A515" s="24"/>
      <c r="B515" s="28"/>
      <c r="C515" s="22"/>
      <c r="D515" s="22"/>
      <c r="E515" s="28"/>
      <c r="F515" s="10" t="str">
        <f aca="false">IF(B515="","",SUMIFS($D$5:D515,$B$5:B515,B515))</f>
        <v/>
      </c>
      <c r="G515" s="10" t="str">
        <f aca="false">IF(B515="","",IF(F515&gt;=3,"FLAG",""))</f>
        <v/>
      </c>
    </row>
    <row r="516" customFormat="false" ht="15" hidden="false" customHeight="false" outlineLevel="0" collapsed="false">
      <c r="A516" s="24"/>
      <c r="B516" s="28"/>
      <c r="C516" s="22"/>
      <c r="D516" s="22"/>
      <c r="E516" s="28"/>
      <c r="F516" s="10" t="str">
        <f aca="false">IF(B516="","",SUMIFS($D$5:D516,$B$5:B516,B516))</f>
        <v/>
      </c>
      <c r="G516" s="10" t="str">
        <f aca="false">IF(B516="","",IF(F516&gt;=3,"FLAG",""))</f>
        <v/>
      </c>
    </row>
    <row r="517" customFormat="false" ht="15" hidden="false" customHeight="false" outlineLevel="0" collapsed="false">
      <c r="A517" s="24"/>
      <c r="B517" s="28"/>
      <c r="C517" s="22"/>
      <c r="D517" s="22"/>
      <c r="E517" s="28"/>
      <c r="F517" s="10" t="str">
        <f aca="false">IF(B517="","",SUMIFS($D$5:D517,$B$5:B517,B517))</f>
        <v/>
      </c>
      <c r="G517" s="10" t="str">
        <f aca="false">IF(B517="","",IF(F517&gt;=3,"FLAG",""))</f>
        <v/>
      </c>
    </row>
    <row r="518" customFormat="false" ht="15" hidden="false" customHeight="false" outlineLevel="0" collapsed="false">
      <c r="A518" s="24"/>
      <c r="B518" s="28"/>
      <c r="C518" s="22"/>
      <c r="D518" s="22"/>
      <c r="E518" s="28"/>
      <c r="F518" s="10" t="str">
        <f aca="false">IF(B518="","",SUMIFS($D$5:D518,$B$5:B518,B518))</f>
        <v/>
      </c>
      <c r="G518" s="10" t="str">
        <f aca="false">IF(B518="","",IF(F518&gt;=3,"FLAG",""))</f>
        <v/>
      </c>
    </row>
    <row r="519" customFormat="false" ht="15" hidden="false" customHeight="false" outlineLevel="0" collapsed="false">
      <c r="A519" s="24"/>
      <c r="B519" s="28"/>
      <c r="C519" s="22"/>
      <c r="D519" s="22"/>
      <c r="E519" s="28"/>
      <c r="F519" s="10" t="str">
        <f aca="false">IF(B519="","",SUMIFS($D$5:D519,$B$5:B519,B519))</f>
        <v/>
      </c>
      <c r="G519" s="10" t="str">
        <f aca="false">IF(B519="","",IF(F519&gt;=3,"FLAG",""))</f>
        <v/>
      </c>
    </row>
    <row r="520" customFormat="false" ht="15" hidden="false" customHeight="false" outlineLevel="0" collapsed="false">
      <c r="A520" s="24"/>
      <c r="B520" s="28"/>
      <c r="C520" s="22"/>
      <c r="D520" s="22"/>
      <c r="E520" s="28"/>
      <c r="F520" s="10" t="str">
        <f aca="false">IF(B520="","",SUMIFS($D$5:D520,$B$5:B520,B520))</f>
        <v/>
      </c>
      <c r="G520" s="10" t="str">
        <f aca="false">IF(B520="","",IF(F520&gt;=3,"FLAG",""))</f>
        <v/>
      </c>
    </row>
    <row r="521" customFormat="false" ht="15" hidden="false" customHeight="false" outlineLevel="0" collapsed="false">
      <c r="A521" s="24"/>
      <c r="B521" s="28"/>
      <c r="C521" s="22"/>
      <c r="D521" s="22"/>
      <c r="E521" s="28"/>
      <c r="F521" s="10" t="str">
        <f aca="false">IF(B521="","",SUMIFS($D$5:D521,$B$5:B521,B521))</f>
        <v/>
      </c>
      <c r="G521" s="10" t="str">
        <f aca="false">IF(B521="","",IF(F521&gt;=3,"FLAG",""))</f>
        <v/>
      </c>
    </row>
    <row r="522" customFormat="false" ht="15" hidden="false" customHeight="false" outlineLevel="0" collapsed="false">
      <c r="A522" s="24"/>
      <c r="B522" s="28"/>
      <c r="C522" s="22"/>
      <c r="D522" s="22"/>
      <c r="E522" s="28"/>
      <c r="F522" s="10" t="str">
        <f aca="false">IF(B522="","",SUMIFS($D$5:D522,$B$5:B522,B522))</f>
        <v/>
      </c>
      <c r="G522" s="10" t="str">
        <f aca="false">IF(B522="","",IF(F522&gt;=3,"FLAG",""))</f>
        <v/>
      </c>
    </row>
    <row r="523" customFormat="false" ht="15" hidden="false" customHeight="false" outlineLevel="0" collapsed="false">
      <c r="A523" s="24"/>
      <c r="B523" s="28"/>
      <c r="C523" s="22"/>
      <c r="D523" s="22"/>
      <c r="E523" s="28"/>
      <c r="F523" s="10" t="str">
        <f aca="false">IF(B523="","",SUMIFS($D$5:D523,$B$5:B523,B523))</f>
        <v/>
      </c>
      <c r="G523" s="10" t="str">
        <f aca="false">IF(B523="","",IF(F523&gt;=3,"FLAG",""))</f>
        <v/>
      </c>
    </row>
    <row r="524" customFormat="false" ht="15" hidden="false" customHeight="false" outlineLevel="0" collapsed="false">
      <c r="A524" s="24"/>
      <c r="B524" s="28"/>
      <c r="C524" s="22"/>
      <c r="D524" s="22"/>
      <c r="E524" s="28"/>
      <c r="F524" s="10" t="str">
        <f aca="false">IF(B524="","",SUMIFS($D$5:D524,$B$5:B524,B524))</f>
        <v/>
      </c>
      <c r="G524" s="10" t="str">
        <f aca="false">IF(B524="","",IF(F524&gt;=3,"FLAG",""))</f>
        <v/>
      </c>
    </row>
    <row r="525" customFormat="false" ht="15" hidden="false" customHeight="false" outlineLevel="0" collapsed="false">
      <c r="A525" s="24"/>
      <c r="B525" s="28"/>
      <c r="C525" s="22"/>
      <c r="D525" s="22"/>
      <c r="E525" s="28"/>
      <c r="F525" s="10" t="str">
        <f aca="false">IF(B525="","",SUMIFS($D$5:D525,$B$5:B525,B525))</f>
        <v/>
      </c>
      <c r="G525" s="10" t="str">
        <f aca="false">IF(B525="","",IF(F525&gt;=3,"FLAG",""))</f>
        <v/>
      </c>
    </row>
    <row r="526" customFormat="false" ht="15" hidden="false" customHeight="false" outlineLevel="0" collapsed="false">
      <c r="A526" s="24"/>
      <c r="B526" s="28"/>
      <c r="C526" s="22"/>
      <c r="D526" s="22"/>
      <c r="E526" s="28"/>
      <c r="F526" s="10" t="str">
        <f aca="false">IF(B526="","",SUMIFS($D$5:D526,$B$5:B526,B526))</f>
        <v/>
      </c>
      <c r="G526" s="10" t="str">
        <f aca="false">IF(B526="","",IF(F526&gt;=3,"FLAG",""))</f>
        <v/>
      </c>
    </row>
    <row r="527" customFormat="false" ht="15" hidden="false" customHeight="false" outlineLevel="0" collapsed="false">
      <c r="A527" s="24"/>
      <c r="B527" s="28"/>
      <c r="C527" s="22"/>
      <c r="D527" s="22"/>
      <c r="E527" s="28"/>
      <c r="F527" s="10" t="str">
        <f aca="false">IF(B527="","",SUMIFS($D$5:D527,$B$5:B527,B527))</f>
        <v/>
      </c>
      <c r="G527" s="10" t="str">
        <f aca="false">IF(B527="","",IF(F527&gt;=3,"FLAG",""))</f>
        <v/>
      </c>
    </row>
    <row r="528" customFormat="false" ht="15" hidden="false" customHeight="false" outlineLevel="0" collapsed="false">
      <c r="A528" s="24"/>
      <c r="B528" s="28"/>
      <c r="C528" s="22"/>
      <c r="D528" s="22"/>
      <c r="E528" s="28"/>
      <c r="F528" s="10" t="str">
        <f aca="false">IF(B528="","",SUMIFS($D$5:D528,$B$5:B528,B528))</f>
        <v/>
      </c>
      <c r="G528" s="10" t="str">
        <f aca="false">IF(B528="","",IF(F528&gt;=3,"FLAG",""))</f>
        <v/>
      </c>
    </row>
    <row r="529" customFormat="false" ht="15" hidden="false" customHeight="false" outlineLevel="0" collapsed="false">
      <c r="A529" s="24"/>
      <c r="B529" s="28"/>
      <c r="C529" s="22"/>
      <c r="D529" s="22"/>
      <c r="E529" s="28"/>
      <c r="F529" s="10" t="str">
        <f aca="false">IF(B529="","",SUMIFS($D$5:D529,$B$5:B529,B529))</f>
        <v/>
      </c>
      <c r="G529" s="10" t="str">
        <f aca="false">IF(B529="","",IF(F529&gt;=3,"FLAG",""))</f>
        <v/>
      </c>
    </row>
    <row r="530" customFormat="false" ht="15" hidden="false" customHeight="false" outlineLevel="0" collapsed="false">
      <c r="A530" s="24"/>
      <c r="B530" s="28"/>
      <c r="C530" s="22"/>
      <c r="D530" s="22"/>
      <c r="E530" s="28"/>
      <c r="F530" s="10" t="str">
        <f aca="false">IF(B530="","",SUMIFS($D$5:D530,$B$5:B530,B530))</f>
        <v/>
      </c>
      <c r="G530" s="10" t="str">
        <f aca="false">IF(B530="","",IF(F530&gt;=3,"FLAG",""))</f>
        <v/>
      </c>
    </row>
    <row r="531" customFormat="false" ht="15" hidden="false" customHeight="false" outlineLevel="0" collapsed="false">
      <c r="A531" s="24"/>
      <c r="B531" s="28"/>
      <c r="C531" s="22"/>
      <c r="D531" s="22"/>
      <c r="E531" s="28"/>
      <c r="F531" s="10" t="str">
        <f aca="false">IF(B531="","",SUMIFS($D$5:D531,$B$5:B531,B531))</f>
        <v/>
      </c>
      <c r="G531" s="10" t="str">
        <f aca="false">IF(B531="","",IF(F531&gt;=3,"FLAG",""))</f>
        <v/>
      </c>
    </row>
    <row r="532" customFormat="false" ht="15" hidden="false" customHeight="false" outlineLevel="0" collapsed="false">
      <c r="A532" s="24"/>
      <c r="B532" s="28"/>
      <c r="C532" s="22"/>
      <c r="D532" s="22"/>
      <c r="E532" s="28"/>
      <c r="F532" s="10" t="str">
        <f aca="false">IF(B532="","",SUMIFS($D$5:D532,$B$5:B532,B532))</f>
        <v/>
      </c>
      <c r="G532" s="10" t="str">
        <f aca="false">IF(B532="","",IF(F532&gt;=3,"FLAG",""))</f>
        <v/>
      </c>
    </row>
    <row r="533" customFormat="false" ht="15" hidden="false" customHeight="false" outlineLevel="0" collapsed="false">
      <c r="A533" s="24"/>
      <c r="B533" s="28"/>
      <c r="C533" s="22"/>
      <c r="D533" s="22"/>
      <c r="E533" s="28"/>
      <c r="F533" s="10" t="str">
        <f aca="false">IF(B533="","",SUMIFS($D$5:D533,$B$5:B533,B533))</f>
        <v/>
      </c>
      <c r="G533" s="10" t="str">
        <f aca="false">IF(B533="","",IF(F533&gt;=3,"FLAG",""))</f>
        <v/>
      </c>
    </row>
    <row r="534" customFormat="false" ht="15" hidden="false" customHeight="false" outlineLevel="0" collapsed="false">
      <c r="A534" s="24"/>
      <c r="B534" s="28"/>
      <c r="C534" s="22"/>
      <c r="D534" s="22"/>
      <c r="E534" s="28"/>
      <c r="F534" s="10" t="str">
        <f aca="false">IF(B534="","",SUMIFS($D$5:D534,$B$5:B534,B534))</f>
        <v/>
      </c>
      <c r="G534" s="10" t="str">
        <f aca="false">IF(B534="","",IF(F534&gt;=3,"FLAG",""))</f>
        <v/>
      </c>
    </row>
    <row r="535" customFormat="false" ht="15" hidden="false" customHeight="false" outlineLevel="0" collapsed="false">
      <c r="A535" s="24"/>
      <c r="B535" s="28"/>
      <c r="C535" s="22"/>
      <c r="D535" s="22"/>
      <c r="E535" s="28"/>
      <c r="F535" s="10" t="str">
        <f aca="false">IF(B535="","",SUMIFS($D$5:D535,$B$5:B535,B535))</f>
        <v/>
      </c>
      <c r="G535" s="10" t="str">
        <f aca="false">IF(B535="","",IF(F535&gt;=3,"FLAG",""))</f>
        <v/>
      </c>
    </row>
    <row r="536" customFormat="false" ht="15" hidden="false" customHeight="false" outlineLevel="0" collapsed="false">
      <c r="A536" s="24"/>
      <c r="B536" s="28"/>
      <c r="C536" s="22"/>
      <c r="D536" s="22"/>
      <c r="E536" s="28"/>
      <c r="F536" s="10" t="str">
        <f aca="false">IF(B536="","",SUMIFS($D$5:D536,$B$5:B536,B536))</f>
        <v/>
      </c>
      <c r="G536" s="10" t="str">
        <f aca="false">IF(B536="","",IF(F536&gt;=3,"FLAG",""))</f>
        <v/>
      </c>
    </row>
    <row r="537" customFormat="false" ht="15" hidden="false" customHeight="false" outlineLevel="0" collapsed="false">
      <c r="A537" s="24"/>
      <c r="B537" s="28"/>
      <c r="C537" s="22"/>
      <c r="D537" s="22"/>
      <c r="E537" s="28"/>
      <c r="F537" s="10" t="str">
        <f aca="false">IF(B537="","",SUMIFS($D$5:D537,$B$5:B537,B537))</f>
        <v/>
      </c>
      <c r="G537" s="10" t="str">
        <f aca="false">IF(B537="","",IF(F537&gt;=3,"FLAG",""))</f>
        <v/>
      </c>
    </row>
    <row r="538" customFormat="false" ht="15" hidden="false" customHeight="false" outlineLevel="0" collapsed="false">
      <c r="A538" s="24"/>
      <c r="B538" s="28"/>
      <c r="C538" s="22"/>
      <c r="D538" s="22"/>
      <c r="E538" s="28"/>
      <c r="F538" s="10" t="str">
        <f aca="false">IF(B538="","",SUMIFS($D$5:D538,$B$5:B538,B538))</f>
        <v/>
      </c>
      <c r="G538" s="10" t="str">
        <f aca="false">IF(B538="","",IF(F538&gt;=3,"FLAG",""))</f>
        <v/>
      </c>
    </row>
    <row r="539" customFormat="false" ht="15" hidden="false" customHeight="false" outlineLevel="0" collapsed="false">
      <c r="A539" s="24"/>
      <c r="B539" s="28"/>
      <c r="C539" s="22"/>
      <c r="D539" s="22"/>
      <c r="E539" s="28"/>
      <c r="F539" s="10" t="str">
        <f aca="false">IF(B539="","",SUMIFS($D$5:D539,$B$5:B539,B539))</f>
        <v/>
      </c>
      <c r="G539" s="10" t="str">
        <f aca="false">IF(B539="","",IF(F539&gt;=3,"FLAG",""))</f>
        <v/>
      </c>
    </row>
    <row r="540" customFormat="false" ht="15" hidden="false" customHeight="false" outlineLevel="0" collapsed="false">
      <c r="A540" s="24"/>
      <c r="B540" s="28"/>
      <c r="C540" s="22"/>
      <c r="D540" s="22"/>
      <c r="E540" s="28"/>
      <c r="F540" s="10" t="str">
        <f aca="false">IF(B540="","",SUMIFS($D$5:D540,$B$5:B540,B540))</f>
        <v/>
      </c>
      <c r="G540" s="10" t="str">
        <f aca="false">IF(B540="","",IF(F540&gt;=3,"FLAG",""))</f>
        <v/>
      </c>
    </row>
    <row r="541" customFormat="false" ht="15" hidden="false" customHeight="false" outlineLevel="0" collapsed="false">
      <c r="A541" s="24"/>
      <c r="B541" s="28"/>
      <c r="C541" s="22"/>
      <c r="D541" s="22"/>
      <c r="E541" s="28"/>
      <c r="F541" s="10" t="str">
        <f aca="false">IF(B541="","",SUMIFS($D$5:D541,$B$5:B541,B541))</f>
        <v/>
      </c>
      <c r="G541" s="10" t="str">
        <f aca="false">IF(B541="","",IF(F541&gt;=3,"FLAG",""))</f>
        <v/>
      </c>
    </row>
    <row r="542" customFormat="false" ht="15" hidden="false" customHeight="false" outlineLevel="0" collapsed="false">
      <c r="A542" s="24"/>
      <c r="B542" s="28"/>
      <c r="C542" s="22"/>
      <c r="D542" s="22"/>
      <c r="E542" s="28"/>
      <c r="F542" s="10" t="str">
        <f aca="false">IF(B542="","",SUMIFS($D$5:D542,$B$5:B542,B542))</f>
        <v/>
      </c>
      <c r="G542" s="10" t="str">
        <f aca="false">IF(B542="","",IF(F542&gt;=3,"FLAG",""))</f>
        <v/>
      </c>
    </row>
    <row r="543" customFormat="false" ht="15" hidden="false" customHeight="false" outlineLevel="0" collapsed="false">
      <c r="A543" s="24"/>
      <c r="B543" s="28"/>
      <c r="C543" s="22"/>
      <c r="D543" s="22"/>
      <c r="E543" s="28"/>
      <c r="F543" s="10" t="str">
        <f aca="false">IF(B543="","",SUMIFS($D$5:D543,$B$5:B543,B543))</f>
        <v/>
      </c>
      <c r="G543" s="10" t="str">
        <f aca="false">IF(B543="","",IF(F543&gt;=3,"FLAG",""))</f>
        <v/>
      </c>
    </row>
    <row r="544" customFormat="false" ht="15" hidden="false" customHeight="false" outlineLevel="0" collapsed="false">
      <c r="A544" s="24"/>
      <c r="B544" s="28"/>
      <c r="C544" s="22"/>
      <c r="D544" s="22"/>
      <c r="E544" s="28"/>
      <c r="F544" s="10" t="str">
        <f aca="false">IF(B544="","",SUMIFS($D$5:D544,$B$5:B544,B544))</f>
        <v/>
      </c>
      <c r="G544" s="10" t="str">
        <f aca="false">IF(B544="","",IF(F544&gt;=3,"FLAG",""))</f>
        <v/>
      </c>
    </row>
    <row r="545" customFormat="false" ht="15" hidden="false" customHeight="false" outlineLevel="0" collapsed="false">
      <c r="A545" s="24"/>
      <c r="B545" s="28"/>
      <c r="C545" s="22"/>
      <c r="D545" s="22"/>
      <c r="E545" s="28"/>
      <c r="F545" s="10" t="str">
        <f aca="false">IF(B545="","",SUMIFS($D$5:D545,$B$5:B545,B545))</f>
        <v/>
      </c>
      <c r="G545" s="10" t="str">
        <f aca="false">IF(B545="","",IF(F545&gt;=3,"FLAG",""))</f>
        <v/>
      </c>
    </row>
    <row r="546" customFormat="false" ht="15" hidden="false" customHeight="false" outlineLevel="0" collapsed="false">
      <c r="A546" s="24"/>
      <c r="B546" s="28"/>
      <c r="C546" s="22"/>
      <c r="D546" s="22"/>
      <c r="E546" s="28"/>
      <c r="F546" s="10" t="str">
        <f aca="false">IF(B546="","",SUMIFS($D$5:D546,$B$5:B546,B546))</f>
        <v/>
      </c>
      <c r="G546" s="10" t="str">
        <f aca="false">IF(B546="","",IF(F546&gt;=3,"FLAG",""))</f>
        <v/>
      </c>
    </row>
    <row r="547" customFormat="false" ht="15" hidden="false" customHeight="false" outlineLevel="0" collapsed="false">
      <c r="A547" s="24"/>
      <c r="B547" s="28"/>
      <c r="C547" s="22"/>
      <c r="D547" s="22"/>
      <c r="E547" s="28"/>
      <c r="F547" s="10" t="str">
        <f aca="false">IF(B547="","",SUMIFS($D$5:D547,$B$5:B547,B547))</f>
        <v/>
      </c>
      <c r="G547" s="10" t="str">
        <f aca="false">IF(B547="","",IF(F547&gt;=3,"FLAG",""))</f>
        <v/>
      </c>
    </row>
    <row r="548" customFormat="false" ht="15" hidden="false" customHeight="false" outlineLevel="0" collapsed="false">
      <c r="A548" s="24"/>
      <c r="B548" s="28"/>
      <c r="C548" s="22"/>
      <c r="D548" s="22"/>
      <c r="E548" s="28"/>
      <c r="F548" s="10" t="str">
        <f aca="false">IF(B548="","",SUMIFS($D$5:D548,$B$5:B548,B548))</f>
        <v/>
      </c>
      <c r="G548" s="10" t="str">
        <f aca="false">IF(B548="","",IF(F548&gt;=3,"FLAG",""))</f>
        <v/>
      </c>
    </row>
    <row r="549" customFormat="false" ht="15" hidden="false" customHeight="false" outlineLevel="0" collapsed="false">
      <c r="A549" s="24"/>
      <c r="B549" s="28"/>
      <c r="C549" s="22"/>
      <c r="D549" s="22"/>
      <c r="E549" s="28"/>
      <c r="F549" s="10" t="str">
        <f aca="false">IF(B549="","",SUMIFS($D$5:D549,$B$5:B549,B549))</f>
        <v/>
      </c>
      <c r="G549" s="10" t="str">
        <f aca="false">IF(B549="","",IF(F549&gt;=3,"FLAG",""))</f>
        <v/>
      </c>
    </row>
    <row r="550" customFormat="false" ht="15" hidden="false" customHeight="false" outlineLevel="0" collapsed="false">
      <c r="A550" s="24"/>
      <c r="B550" s="28"/>
      <c r="C550" s="22"/>
      <c r="D550" s="22"/>
      <c r="E550" s="28"/>
      <c r="F550" s="10" t="str">
        <f aca="false">IF(B550="","",SUMIFS($D$5:D550,$B$5:B550,B550))</f>
        <v/>
      </c>
      <c r="G550" s="10" t="str">
        <f aca="false">IF(B550="","",IF(F550&gt;=3,"FLAG",""))</f>
        <v/>
      </c>
    </row>
    <row r="551" customFormat="false" ht="15" hidden="false" customHeight="false" outlineLevel="0" collapsed="false">
      <c r="A551" s="24"/>
      <c r="B551" s="28"/>
      <c r="C551" s="22"/>
      <c r="D551" s="22"/>
      <c r="E551" s="28"/>
      <c r="F551" s="10" t="str">
        <f aca="false">IF(B551="","",SUMIFS($D$5:D551,$B$5:B551,B551))</f>
        <v/>
      </c>
      <c r="G551" s="10" t="str">
        <f aca="false">IF(B551="","",IF(F551&gt;=3,"FLAG",""))</f>
        <v/>
      </c>
    </row>
    <row r="552" customFormat="false" ht="15" hidden="false" customHeight="false" outlineLevel="0" collapsed="false">
      <c r="A552" s="24"/>
      <c r="B552" s="28"/>
      <c r="C552" s="22"/>
      <c r="D552" s="22"/>
      <c r="E552" s="28"/>
      <c r="F552" s="10" t="str">
        <f aca="false">IF(B552="","",SUMIFS($D$5:D552,$B$5:B552,B552))</f>
        <v/>
      </c>
      <c r="G552" s="10" t="str">
        <f aca="false">IF(B552="","",IF(F552&gt;=3,"FLAG",""))</f>
        <v/>
      </c>
    </row>
    <row r="553" customFormat="false" ht="15" hidden="false" customHeight="false" outlineLevel="0" collapsed="false">
      <c r="A553" s="24"/>
      <c r="B553" s="28"/>
      <c r="C553" s="22"/>
      <c r="D553" s="22"/>
      <c r="E553" s="28"/>
      <c r="F553" s="10" t="str">
        <f aca="false">IF(B553="","",SUMIFS($D$5:D553,$B$5:B553,B553))</f>
        <v/>
      </c>
      <c r="G553" s="10" t="str">
        <f aca="false">IF(B553="","",IF(F553&gt;=3,"FLAG",""))</f>
        <v/>
      </c>
    </row>
    <row r="554" customFormat="false" ht="15" hidden="false" customHeight="false" outlineLevel="0" collapsed="false">
      <c r="A554" s="24"/>
      <c r="B554" s="28"/>
      <c r="C554" s="22"/>
      <c r="D554" s="22"/>
      <c r="E554" s="28"/>
      <c r="F554" s="10" t="str">
        <f aca="false">IF(B554="","",SUMIFS($D$5:D554,$B$5:B554,B554))</f>
        <v/>
      </c>
      <c r="G554" s="10" t="str">
        <f aca="false">IF(B554="","",IF(F554&gt;=3,"FLAG",""))</f>
        <v/>
      </c>
    </row>
    <row r="555" customFormat="false" ht="15" hidden="false" customHeight="false" outlineLevel="0" collapsed="false">
      <c r="A555" s="24"/>
      <c r="B555" s="28"/>
      <c r="C555" s="22"/>
      <c r="D555" s="22"/>
      <c r="E555" s="28"/>
      <c r="F555" s="10" t="str">
        <f aca="false">IF(B555="","",SUMIFS($D$5:D555,$B$5:B555,B555))</f>
        <v/>
      </c>
      <c r="G555" s="10" t="str">
        <f aca="false">IF(B555="","",IF(F555&gt;=3,"FLAG",""))</f>
        <v/>
      </c>
    </row>
    <row r="556" customFormat="false" ht="15" hidden="false" customHeight="false" outlineLevel="0" collapsed="false">
      <c r="A556" s="24"/>
      <c r="B556" s="28"/>
      <c r="C556" s="22"/>
      <c r="D556" s="22"/>
      <c r="E556" s="28"/>
      <c r="F556" s="10" t="str">
        <f aca="false">IF(B556="","",SUMIFS($D$5:D556,$B$5:B556,B556))</f>
        <v/>
      </c>
      <c r="G556" s="10" t="str">
        <f aca="false">IF(B556="","",IF(F556&gt;=3,"FLAG",""))</f>
        <v/>
      </c>
    </row>
    <row r="557" customFormat="false" ht="15" hidden="false" customHeight="false" outlineLevel="0" collapsed="false">
      <c r="A557" s="24"/>
      <c r="B557" s="28"/>
      <c r="C557" s="22"/>
      <c r="D557" s="22"/>
      <c r="E557" s="28"/>
      <c r="F557" s="10" t="str">
        <f aca="false">IF(B557="","",SUMIFS($D$5:D557,$B$5:B557,B557))</f>
        <v/>
      </c>
      <c r="G557" s="10" t="str">
        <f aca="false">IF(B557="","",IF(F557&gt;=3,"FLAG",""))</f>
        <v/>
      </c>
    </row>
    <row r="558" customFormat="false" ht="15" hidden="false" customHeight="false" outlineLevel="0" collapsed="false">
      <c r="A558" s="24"/>
      <c r="B558" s="28"/>
      <c r="C558" s="22"/>
      <c r="D558" s="22"/>
      <c r="E558" s="28"/>
      <c r="F558" s="10" t="str">
        <f aca="false">IF(B558="","",SUMIFS($D$5:D558,$B$5:B558,B558))</f>
        <v/>
      </c>
      <c r="G558" s="10" t="str">
        <f aca="false">IF(B558="","",IF(F558&gt;=3,"FLAG",""))</f>
        <v/>
      </c>
    </row>
    <row r="559" customFormat="false" ht="15" hidden="false" customHeight="false" outlineLevel="0" collapsed="false">
      <c r="A559" s="24"/>
      <c r="B559" s="28"/>
      <c r="C559" s="22"/>
      <c r="D559" s="22"/>
      <c r="E559" s="28"/>
      <c r="F559" s="10" t="str">
        <f aca="false">IF(B559="","",SUMIFS($D$5:D559,$B$5:B559,B559))</f>
        <v/>
      </c>
      <c r="G559" s="10" t="str">
        <f aca="false">IF(B559="","",IF(F559&gt;=3,"FLAG",""))</f>
        <v/>
      </c>
    </row>
    <row r="560" customFormat="false" ht="15" hidden="false" customHeight="false" outlineLevel="0" collapsed="false">
      <c r="A560" s="24"/>
      <c r="B560" s="28"/>
      <c r="C560" s="22"/>
      <c r="D560" s="22"/>
      <c r="E560" s="28"/>
      <c r="F560" s="10" t="str">
        <f aca="false">IF(B560="","",SUMIFS($D$5:D560,$B$5:B560,B560))</f>
        <v/>
      </c>
      <c r="G560" s="10" t="str">
        <f aca="false">IF(B560="","",IF(F560&gt;=3,"FLAG",""))</f>
        <v/>
      </c>
    </row>
    <row r="561" customFormat="false" ht="15" hidden="false" customHeight="false" outlineLevel="0" collapsed="false">
      <c r="A561" s="24"/>
      <c r="B561" s="28"/>
      <c r="C561" s="22"/>
      <c r="D561" s="22"/>
      <c r="E561" s="28"/>
      <c r="F561" s="10" t="str">
        <f aca="false">IF(B561="","",SUMIFS($D$5:D561,$B$5:B561,B561))</f>
        <v/>
      </c>
      <c r="G561" s="10" t="str">
        <f aca="false">IF(B561="","",IF(F561&gt;=3,"FLAG",""))</f>
        <v/>
      </c>
    </row>
    <row r="562" customFormat="false" ht="15" hidden="false" customHeight="false" outlineLevel="0" collapsed="false">
      <c r="A562" s="24"/>
      <c r="B562" s="28"/>
      <c r="C562" s="22"/>
      <c r="D562" s="22"/>
      <c r="E562" s="28"/>
      <c r="F562" s="10" t="str">
        <f aca="false">IF(B562="","",SUMIFS($D$5:D562,$B$5:B562,B562))</f>
        <v/>
      </c>
      <c r="G562" s="10" t="str">
        <f aca="false">IF(B562="","",IF(F562&gt;=3,"FLAG",""))</f>
        <v/>
      </c>
    </row>
    <row r="563" customFormat="false" ht="15" hidden="false" customHeight="false" outlineLevel="0" collapsed="false">
      <c r="A563" s="24"/>
      <c r="B563" s="28"/>
      <c r="C563" s="22"/>
      <c r="D563" s="22"/>
      <c r="E563" s="28"/>
      <c r="F563" s="10" t="str">
        <f aca="false">IF(B563="","",SUMIFS($D$5:D563,$B$5:B563,B563))</f>
        <v/>
      </c>
      <c r="G563" s="10" t="str">
        <f aca="false">IF(B563="","",IF(F563&gt;=3,"FLAG",""))</f>
        <v/>
      </c>
    </row>
    <row r="564" customFormat="false" ht="15" hidden="false" customHeight="false" outlineLevel="0" collapsed="false">
      <c r="A564" s="24"/>
      <c r="B564" s="28"/>
      <c r="C564" s="22"/>
      <c r="D564" s="22"/>
      <c r="E564" s="28"/>
      <c r="F564" s="10" t="str">
        <f aca="false">IF(B564="","",SUMIFS($D$5:D564,$B$5:B564,B564))</f>
        <v/>
      </c>
      <c r="G564" s="10" t="str">
        <f aca="false">IF(B564="","",IF(F564&gt;=3,"FLAG",""))</f>
        <v/>
      </c>
    </row>
    <row r="565" customFormat="false" ht="15" hidden="false" customHeight="false" outlineLevel="0" collapsed="false">
      <c r="A565" s="24"/>
      <c r="B565" s="28"/>
      <c r="C565" s="22"/>
      <c r="D565" s="22"/>
      <c r="E565" s="28"/>
      <c r="F565" s="10" t="str">
        <f aca="false">IF(B565="","",SUMIFS($D$5:D565,$B$5:B565,B565))</f>
        <v/>
      </c>
      <c r="G565" s="10" t="str">
        <f aca="false">IF(B565="","",IF(F565&gt;=3,"FLAG",""))</f>
        <v/>
      </c>
    </row>
    <row r="566" customFormat="false" ht="15" hidden="false" customHeight="false" outlineLevel="0" collapsed="false">
      <c r="A566" s="24"/>
      <c r="B566" s="28"/>
      <c r="C566" s="22"/>
      <c r="D566" s="22"/>
      <c r="E566" s="28"/>
      <c r="F566" s="10" t="str">
        <f aca="false">IF(B566="","",SUMIFS($D$5:D566,$B$5:B566,B566))</f>
        <v/>
      </c>
      <c r="G566" s="10" t="str">
        <f aca="false">IF(B566="","",IF(F566&gt;=3,"FLAG",""))</f>
        <v/>
      </c>
    </row>
    <row r="567" customFormat="false" ht="15" hidden="false" customHeight="false" outlineLevel="0" collapsed="false">
      <c r="A567" s="24"/>
      <c r="B567" s="28"/>
      <c r="C567" s="22"/>
      <c r="D567" s="22"/>
      <c r="E567" s="28"/>
      <c r="F567" s="10" t="str">
        <f aca="false">IF(B567="","",SUMIFS($D$5:D567,$B$5:B567,B567))</f>
        <v/>
      </c>
      <c r="G567" s="10" t="str">
        <f aca="false">IF(B567="","",IF(F567&gt;=3,"FLAG",""))</f>
        <v/>
      </c>
    </row>
    <row r="568" customFormat="false" ht="15" hidden="false" customHeight="false" outlineLevel="0" collapsed="false">
      <c r="A568" s="24"/>
      <c r="B568" s="28"/>
      <c r="C568" s="22"/>
      <c r="D568" s="22"/>
      <c r="E568" s="28"/>
      <c r="F568" s="10" t="str">
        <f aca="false">IF(B568="","",SUMIFS($D$5:D568,$B$5:B568,B568))</f>
        <v/>
      </c>
      <c r="G568" s="10" t="str">
        <f aca="false">IF(B568="","",IF(F568&gt;=3,"FLAG",""))</f>
        <v/>
      </c>
    </row>
    <row r="569" customFormat="false" ht="15" hidden="false" customHeight="false" outlineLevel="0" collapsed="false">
      <c r="A569" s="24"/>
      <c r="B569" s="28"/>
      <c r="C569" s="22"/>
      <c r="D569" s="22"/>
      <c r="E569" s="28"/>
      <c r="F569" s="10" t="str">
        <f aca="false">IF(B569="","",SUMIFS($D$5:D569,$B$5:B569,B569))</f>
        <v/>
      </c>
      <c r="G569" s="10" t="str">
        <f aca="false">IF(B569="","",IF(F569&gt;=3,"FLAG",""))</f>
        <v/>
      </c>
    </row>
    <row r="570" customFormat="false" ht="15" hidden="false" customHeight="false" outlineLevel="0" collapsed="false">
      <c r="A570" s="24"/>
      <c r="B570" s="28"/>
      <c r="C570" s="22"/>
      <c r="D570" s="22"/>
      <c r="E570" s="28"/>
      <c r="F570" s="10" t="str">
        <f aca="false">IF(B570="","",SUMIFS($D$5:D570,$B$5:B570,B570))</f>
        <v/>
      </c>
      <c r="G570" s="10" t="str">
        <f aca="false">IF(B570="","",IF(F570&gt;=3,"FLAG",""))</f>
        <v/>
      </c>
    </row>
    <row r="571" customFormat="false" ht="15" hidden="false" customHeight="false" outlineLevel="0" collapsed="false">
      <c r="A571" s="24"/>
      <c r="B571" s="28"/>
      <c r="C571" s="22"/>
      <c r="D571" s="22"/>
      <c r="E571" s="28"/>
      <c r="F571" s="10" t="str">
        <f aca="false">IF(B571="","",SUMIFS($D$5:D571,$B$5:B571,B571))</f>
        <v/>
      </c>
      <c r="G571" s="10" t="str">
        <f aca="false">IF(B571="","",IF(F571&gt;=3,"FLAG",""))</f>
        <v/>
      </c>
    </row>
    <row r="572" customFormat="false" ht="15" hidden="false" customHeight="false" outlineLevel="0" collapsed="false">
      <c r="A572" s="24"/>
      <c r="B572" s="28"/>
      <c r="C572" s="22"/>
      <c r="D572" s="22"/>
      <c r="E572" s="28"/>
      <c r="F572" s="10" t="str">
        <f aca="false">IF(B572="","",SUMIFS($D$5:D572,$B$5:B572,B572))</f>
        <v/>
      </c>
      <c r="G572" s="10" t="str">
        <f aca="false">IF(B572="","",IF(F572&gt;=3,"FLAG",""))</f>
        <v/>
      </c>
    </row>
    <row r="573" customFormat="false" ht="15" hidden="false" customHeight="false" outlineLevel="0" collapsed="false">
      <c r="A573" s="24"/>
      <c r="B573" s="28"/>
      <c r="C573" s="22"/>
      <c r="D573" s="22"/>
      <c r="E573" s="28"/>
      <c r="F573" s="10" t="str">
        <f aca="false">IF(B573="","",SUMIFS($D$5:D573,$B$5:B573,B573))</f>
        <v/>
      </c>
      <c r="G573" s="10" t="str">
        <f aca="false">IF(B573="","",IF(F573&gt;=3,"FLAG",""))</f>
        <v/>
      </c>
    </row>
    <row r="574" customFormat="false" ht="15" hidden="false" customHeight="false" outlineLevel="0" collapsed="false">
      <c r="A574" s="24"/>
      <c r="B574" s="28"/>
      <c r="C574" s="22"/>
      <c r="D574" s="22"/>
      <c r="E574" s="28"/>
      <c r="F574" s="10" t="str">
        <f aca="false">IF(B574="","",SUMIFS($D$5:D574,$B$5:B574,B574))</f>
        <v/>
      </c>
      <c r="G574" s="10" t="str">
        <f aca="false">IF(B574="","",IF(F574&gt;=3,"FLAG",""))</f>
        <v/>
      </c>
    </row>
    <row r="575" customFormat="false" ht="15" hidden="false" customHeight="false" outlineLevel="0" collapsed="false">
      <c r="A575" s="24"/>
      <c r="B575" s="28"/>
      <c r="C575" s="22"/>
      <c r="D575" s="22"/>
      <c r="E575" s="28"/>
      <c r="F575" s="10" t="str">
        <f aca="false">IF(B575="","",SUMIFS($D$5:D575,$B$5:B575,B575))</f>
        <v/>
      </c>
      <c r="G575" s="10" t="str">
        <f aca="false">IF(B575="","",IF(F575&gt;=3,"FLAG",""))</f>
        <v/>
      </c>
    </row>
    <row r="576" customFormat="false" ht="15" hidden="false" customHeight="false" outlineLevel="0" collapsed="false">
      <c r="A576" s="24"/>
      <c r="B576" s="28"/>
      <c r="C576" s="22"/>
      <c r="D576" s="22"/>
      <c r="E576" s="28"/>
      <c r="F576" s="10" t="str">
        <f aca="false">IF(B576="","",SUMIFS($D$5:D576,$B$5:B576,B576))</f>
        <v/>
      </c>
      <c r="G576" s="10" t="str">
        <f aca="false">IF(B576="","",IF(F576&gt;=3,"FLAG",""))</f>
        <v/>
      </c>
    </row>
    <row r="577" customFormat="false" ht="15" hidden="false" customHeight="false" outlineLevel="0" collapsed="false">
      <c r="A577" s="24"/>
      <c r="B577" s="28"/>
      <c r="C577" s="22"/>
      <c r="D577" s="22"/>
      <c r="E577" s="28"/>
      <c r="F577" s="10" t="str">
        <f aca="false">IF(B577="","",SUMIFS($D$5:D577,$B$5:B577,B577))</f>
        <v/>
      </c>
      <c r="G577" s="10" t="str">
        <f aca="false">IF(B577="","",IF(F577&gt;=3,"FLAG",""))</f>
        <v/>
      </c>
    </row>
    <row r="578" customFormat="false" ht="15" hidden="false" customHeight="false" outlineLevel="0" collapsed="false">
      <c r="A578" s="24"/>
      <c r="B578" s="28"/>
      <c r="C578" s="22"/>
      <c r="D578" s="22"/>
      <c r="E578" s="28"/>
      <c r="F578" s="10" t="str">
        <f aca="false">IF(B578="","",SUMIFS($D$5:D578,$B$5:B578,B578))</f>
        <v/>
      </c>
      <c r="G578" s="10" t="str">
        <f aca="false">IF(B578="","",IF(F578&gt;=3,"FLAG",""))</f>
        <v/>
      </c>
    </row>
    <row r="579" customFormat="false" ht="15" hidden="false" customHeight="false" outlineLevel="0" collapsed="false">
      <c r="A579" s="24"/>
      <c r="B579" s="28"/>
      <c r="C579" s="22"/>
      <c r="D579" s="22"/>
      <c r="E579" s="28"/>
      <c r="F579" s="10" t="str">
        <f aca="false">IF(B579="","",SUMIFS($D$5:D579,$B$5:B579,B579))</f>
        <v/>
      </c>
      <c r="G579" s="10" t="str">
        <f aca="false">IF(B579="","",IF(F579&gt;=3,"FLAG",""))</f>
        <v/>
      </c>
    </row>
    <row r="580" customFormat="false" ht="15" hidden="false" customHeight="false" outlineLevel="0" collapsed="false">
      <c r="A580" s="24"/>
      <c r="B580" s="28"/>
      <c r="C580" s="22"/>
      <c r="D580" s="22"/>
      <c r="E580" s="28"/>
      <c r="F580" s="10" t="str">
        <f aca="false">IF(B580="","",SUMIFS($D$5:D580,$B$5:B580,B580))</f>
        <v/>
      </c>
      <c r="G580" s="10" t="str">
        <f aca="false">IF(B580="","",IF(F580&gt;=3,"FLAG",""))</f>
        <v/>
      </c>
    </row>
    <row r="581" customFormat="false" ht="15" hidden="false" customHeight="false" outlineLevel="0" collapsed="false">
      <c r="A581" s="24"/>
      <c r="B581" s="28"/>
      <c r="C581" s="22"/>
      <c r="D581" s="22"/>
      <c r="E581" s="28"/>
      <c r="F581" s="10" t="str">
        <f aca="false">IF(B581="","",SUMIFS($D$5:D581,$B$5:B581,B581))</f>
        <v/>
      </c>
      <c r="G581" s="10" t="str">
        <f aca="false">IF(B581="","",IF(F581&gt;=3,"FLAG",""))</f>
        <v/>
      </c>
    </row>
    <row r="582" customFormat="false" ht="15" hidden="false" customHeight="false" outlineLevel="0" collapsed="false">
      <c r="A582" s="24"/>
      <c r="B582" s="28"/>
      <c r="C582" s="22"/>
      <c r="D582" s="22"/>
      <c r="E582" s="28"/>
      <c r="F582" s="10" t="str">
        <f aca="false">IF(B582="","",SUMIFS($D$5:D582,$B$5:B582,B582))</f>
        <v/>
      </c>
      <c r="G582" s="10" t="str">
        <f aca="false">IF(B582="","",IF(F582&gt;=3,"FLAG",""))</f>
        <v/>
      </c>
    </row>
    <row r="583" customFormat="false" ht="15" hidden="false" customHeight="false" outlineLevel="0" collapsed="false">
      <c r="A583" s="24"/>
      <c r="B583" s="28"/>
      <c r="C583" s="22"/>
      <c r="D583" s="22"/>
      <c r="E583" s="28"/>
      <c r="F583" s="10" t="str">
        <f aca="false">IF(B583="","",SUMIFS($D$5:D583,$B$5:B583,B583))</f>
        <v/>
      </c>
      <c r="G583" s="10" t="str">
        <f aca="false">IF(B583="","",IF(F583&gt;=3,"FLAG",""))</f>
        <v/>
      </c>
    </row>
    <row r="584" customFormat="false" ht="15" hidden="false" customHeight="false" outlineLevel="0" collapsed="false">
      <c r="A584" s="24"/>
      <c r="B584" s="28"/>
      <c r="C584" s="22"/>
      <c r="D584" s="22"/>
      <c r="E584" s="28"/>
      <c r="F584" s="10" t="str">
        <f aca="false">IF(B584="","",SUMIFS($D$5:D584,$B$5:B584,B584))</f>
        <v/>
      </c>
      <c r="G584" s="10" t="str">
        <f aca="false">IF(B584="","",IF(F584&gt;=3,"FLAG",""))</f>
        <v/>
      </c>
    </row>
    <row r="585" customFormat="false" ht="15" hidden="false" customHeight="false" outlineLevel="0" collapsed="false">
      <c r="A585" s="24"/>
      <c r="B585" s="28"/>
      <c r="C585" s="22"/>
      <c r="D585" s="22"/>
      <c r="E585" s="28"/>
      <c r="F585" s="10" t="str">
        <f aca="false">IF(B585="","",SUMIFS($D$5:D585,$B$5:B585,B585))</f>
        <v/>
      </c>
      <c r="G585" s="10" t="str">
        <f aca="false">IF(B585="","",IF(F585&gt;=3,"FLAG",""))</f>
        <v/>
      </c>
    </row>
    <row r="586" customFormat="false" ht="15" hidden="false" customHeight="false" outlineLevel="0" collapsed="false">
      <c r="A586" s="24"/>
      <c r="B586" s="28"/>
      <c r="C586" s="22"/>
      <c r="D586" s="22"/>
      <c r="E586" s="28"/>
      <c r="F586" s="10" t="str">
        <f aca="false">IF(B586="","",SUMIFS($D$5:D586,$B$5:B586,B586))</f>
        <v/>
      </c>
      <c r="G586" s="10" t="str">
        <f aca="false">IF(B586="","",IF(F586&gt;=3,"FLAG",""))</f>
        <v/>
      </c>
    </row>
    <row r="587" customFormat="false" ht="15" hidden="false" customHeight="false" outlineLevel="0" collapsed="false">
      <c r="A587" s="24"/>
      <c r="B587" s="28"/>
      <c r="C587" s="22"/>
      <c r="D587" s="22"/>
      <c r="E587" s="28"/>
      <c r="F587" s="10" t="str">
        <f aca="false">IF(B587="","",SUMIFS($D$5:D587,$B$5:B587,B587))</f>
        <v/>
      </c>
      <c r="G587" s="10" t="str">
        <f aca="false">IF(B587="","",IF(F587&gt;=3,"FLAG",""))</f>
        <v/>
      </c>
    </row>
    <row r="588" customFormat="false" ht="15" hidden="false" customHeight="false" outlineLevel="0" collapsed="false">
      <c r="A588" s="24"/>
      <c r="B588" s="28"/>
      <c r="C588" s="22"/>
      <c r="D588" s="22"/>
      <c r="E588" s="28"/>
      <c r="F588" s="10" t="str">
        <f aca="false">IF(B588="","",SUMIFS($D$5:D588,$B$5:B588,B588))</f>
        <v/>
      </c>
      <c r="G588" s="10" t="str">
        <f aca="false">IF(B588="","",IF(F588&gt;=3,"FLAG",""))</f>
        <v/>
      </c>
    </row>
    <row r="589" customFormat="false" ht="15" hidden="false" customHeight="false" outlineLevel="0" collapsed="false">
      <c r="A589" s="24"/>
      <c r="B589" s="28"/>
      <c r="C589" s="22"/>
      <c r="D589" s="22"/>
      <c r="E589" s="28"/>
      <c r="F589" s="10" t="str">
        <f aca="false">IF(B589="","",SUMIFS($D$5:D589,$B$5:B589,B589))</f>
        <v/>
      </c>
      <c r="G589" s="10" t="str">
        <f aca="false">IF(B589="","",IF(F589&gt;=3,"FLAG",""))</f>
        <v/>
      </c>
    </row>
    <row r="590" customFormat="false" ht="15" hidden="false" customHeight="false" outlineLevel="0" collapsed="false">
      <c r="A590" s="24"/>
      <c r="B590" s="28"/>
      <c r="C590" s="22"/>
      <c r="D590" s="22"/>
      <c r="E590" s="28"/>
      <c r="F590" s="10" t="str">
        <f aca="false">IF(B590="","",SUMIFS($D$5:D590,$B$5:B590,B590))</f>
        <v/>
      </c>
      <c r="G590" s="10" t="str">
        <f aca="false">IF(B590="","",IF(F590&gt;=3,"FLAG",""))</f>
        <v/>
      </c>
    </row>
    <row r="591" customFormat="false" ht="15" hidden="false" customHeight="false" outlineLevel="0" collapsed="false">
      <c r="A591" s="24"/>
      <c r="B591" s="28"/>
      <c r="C591" s="22"/>
      <c r="D591" s="22"/>
      <c r="E591" s="28"/>
      <c r="F591" s="10" t="str">
        <f aca="false">IF(B591="","",SUMIFS($D$5:D591,$B$5:B591,B591))</f>
        <v/>
      </c>
      <c r="G591" s="10" t="str">
        <f aca="false">IF(B591="","",IF(F591&gt;=3,"FLAG",""))</f>
        <v/>
      </c>
    </row>
    <row r="592" customFormat="false" ht="15" hidden="false" customHeight="false" outlineLevel="0" collapsed="false">
      <c r="A592" s="24"/>
      <c r="B592" s="28"/>
      <c r="C592" s="22"/>
      <c r="D592" s="22"/>
      <c r="E592" s="28"/>
      <c r="F592" s="10" t="str">
        <f aca="false">IF(B592="","",SUMIFS($D$5:D592,$B$5:B592,B592))</f>
        <v/>
      </c>
      <c r="G592" s="10" t="str">
        <f aca="false">IF(B592="","",IF(F592&gt;=3,"FLAG",""))</f>
        <v/>
      </c>
    </row>
    <row r="593" customFormat="false" ht="15" hidden="false" customHeight="false" outlineLevel="0" collapsed="false">
      <c r="A593" s="24"/>
      <c r="B593" s="28"/>
      <c r="C593" s="22"/>
      <c r="D593" s="22"/>
      <c r="E593" s="28"/>
      <c r="F593" s="10" t="str">
        <f aca="false">IF(B593="","",SUMIFS($D$5:D593,$B$5:B593,B593))</f>
        <v/>
      </c>
      <c r="G593" s="10" t="str">
        <f aca="false">IF(B593="","",IF(F593&gt;=3,"FLAG",""))</f>
        <v/>
      </c>
    </row>
    <row r="594" customFormat="false" ht="15" hidden="false" customHeight="false" outlineLevel="0" collapsed="false">
      <c r="A594" s="24"/>
      <c r="B594" s="28"/>
      <c r="C594" s="22"/>
      <c r="D594" s="22"/>
      <c r="E594" s="28"/>
      <c r="F594" s="10" t="str">
        <f aca="false">IF(B594="","",SUMIFS($D$5:D594,$B$5:B594,B594))</f>
        <v/>
      </c>
      <c r="G594" s="10" t="str">
        <f aca="false">IF(B594="","",IF(F594&gt;=3,"FLAG",""))</f>
        <v/>
      </c>
    </row>
    <row r="595" customFormat="false" ht="15" hidden="false" customHeight="false" outlineLevel="0" collapsed="false">
      <c r="A595" s="24"/>
      <c r="B595" s="28"/>
      <c r="C595" s="22"/>
      <c r="D595" s="22"/>
      <c r="E595" s="28"/>
      <c r="F595" s="10" t="str">
        <f aca="false">IF(B595="","",SUMIFS($D$5:D595,$B$5:B595,B595))</f>
        <v/>
      </c>
      <c r="G595" s="10" t="str">
        <f aca="false">IF(B595="","",IF(F595&gt;=3,"FLAG",""))</f>
        <v/>
      </c>
    </row>
    <row r="596" customFormat="false" ht="15" hidden="false" customHeight="false" outlineLevel="0" collapsed="false">
      <c r="A596" s="24"/>
      <c r="B596" s="28"/>
      <c r="C596" s="22"/>
      <c r="D596" s="22"/>
      <c r="E596" s="28"/>
      <c r="F596" s="10" t="str">
        <f aca="false">IF(B596="","",SUMIFS($D$5:D596,$B$5:B596,B596))</f>
        <v/>
      </c>
      <c r="G596" s="10" t="str">
        <f aca="false">IF(B596="","",IF(F596&gt;=3,"FLAG",""))</f>
        <v/>
      </c>
    </row>
    <row r="597" customFormat="false" ht="15" hidden="false" customHeight="false" outlineLevel="0" collapsed="false">
      <c r="A597" s="24"/>
      <c r="B597" s="28"/>
      <c r="C597" s="22"/>
      <c r="D597" s="22"/>
      <c r="E597" s="28"/>
      <c r="F597" s="10" t="str">
        <f aca="false">IF(B597="","",SUMIFS($D$5:D597,$B$5:B597,B597))</f>
        <v/>
      </c>
      <c r="G597" s="10" t="str">
        <f aca="false">IF(B597="","",IF(F597&gt;=3,"FLAG",""))</f>
        <v/>
      </c>
    </row>
    <row r="598" customFormat="false" ht="15" hidden="false" customHeight="false" outlineLevel="0" collapsed="false">
      <c r="A598" s="24"/>
      <c r="B598" s="28"/>
      <c r="C598" s="22"/>
      <c r="D598" s="22"/>
      <c r="E598" s="28"/>
      <c r="F598" s="10" t="str">
        <f aca="false">IF(B598="","",SUMIFS($D$5:D598,$B$5:B598,B598))</f>
        <v/>
      </c>
      <c r="G598" s="10" t="str">
        <f aca="false">IF(B598="","",IF(F598&gt;=3,"FLAG",""))</f>
        <v/>
      </c>
    </row>
    <row r="599" customFormat="false" ht="15" hidden="false" customHeight="false" outlineLevel="0" collapsed="false">
      <c r="A599" s="24"/>
      <c r="B599" s="28"/>
      <c r="C599" s="22"/>
      <c r="D599" s="22"/>
      <c r="E599" s="28"/>
      <c r="F599" s="10" t="str">
        <f aca="false">IF(B599="","",SUMIFS($D$5:D599,$B$5:B599,B599))</f>
        <v/>
      </c>
      <c r="G599" s="10" t="str">
        <f aca="false">IF(B599="","",IF(F599&gt;=3,"FLAG",""))</f>
        <v/>
      </c>
    </row>
    <row r="600" customFormat="false" ht="15" hidden="false" customHeight="false" outlineLevel="0" collapsed="false">
      <c r="A600" s="24"/>
      <c r="B600" s="28"/>
      <c r="C600" s="22"/>
      <c r="D600" s="22"/>
      <c r="E600" s="28"/>
      <c r="F600" s="10" t="str">
        <f aca="false">IF(B600="","",SUMIFS($D$5:D600,$B$5:B600,B600))</f>
        <v/>
      </c>
      <c r="G600" s="10" t="str">
        <f aca="false">IF(B600="","",IF(F600&gt;=3,"FLAG",""))</f>
        <v/>
      </c>
    </row>
    <row r="601" customFormat="false" ht="15" hidden="false" customHeight="false" outlineLevel="0" collapsed="false">
      <c r="A601" s="24"/>
      <c r="B601" s="28"/>
      <c r="C601" s="22"/>
      <c r="D601" s="22"/>
      <c r="E601" s="28"/>
      <c r="F601" s="10" t="str">
        <f aca="false">IF(B601="","",SUMIFS($D$5:D601,$B$5:B601,B601))</f>
        <v/>
      </c>
      <c r="G601" s="10" t="str">
        <f aca="false">IF(B601="","",IF(F601&gt;=3,"FLAG",""))</f>
        <v/>
      </c>
    </row>
    <row r="602" customFormat="false" ht="15" hidden="false" customHeight="false" outlineLevel="0" collapsed="false">
      <c r="A602" s="24"/>
      <c r="B602" s="28"/>
      <c r="C602" s="22"/>
      <c r="D602" s="22"/>
      <c r="E602" s="28"/>
      <c r="F602" s="10" t="str">
        <f aca="false">IF(B602="","",SUMIFS($D$5:D602,$B$5:B602,B602))</f>
        <v/>
      </c>
      <c r="G602" s="10" t="str">
        <f aca="false">IF(B602="","",IF(F602&gt;=3,"FLAG",""))</f>
        <v/>
      </c>
    </row>
    <row r="603" customFormat="false" ht="15" hidden="false" customHeight="false" outlineLevel="0" collapsed="false">
      <c r="A603" s="24"/>
      <c r="B603" s="28"/>
      <c r="C603" s="22"/>
      <c r="D603" s="22"/>
      <c r="E603" s="28"/>
      <c r="F603" s="10" t="str">
        <f aca="false">IF(B603="","",SUMIFS($D$5:D603,$B$5:B603,B603))</f>
        <v/>
      </c>
      <c r="G603" s="10" t="str">
        <f aca="false">IF(B603="","",IF(F603&gt;=3,"FLAG",""))</f>
        <v/>
      </c>
    </row>
    <row r="604" customFormat="false" ht="15" hidden="false" customHeight="false" outlineLevel="0" collapsed="false">
      <c r="A604" s="24"/>
      <c r="B604" s="28"/>
      <c r="C604" s="22"/>
      <c r="D604" s="22"/>
      <c r="E604" s="28"/>
      <c r="F604" s="10" t="str">
        <f aca="false">IF(B604="","",SUMIFS($D$5:D604,$B$5:B604,B604))</f>
        <v/>
      </c>
      <c r="G604" s="10" t="str">
        <f aca="false">IF(B604="","",IF(F604&gt;=3,"FLAG",""))</f>
        <v/>
      </c>
    </row>
    <row r="605" customFormat="false" ht="15" hidden="false" customHeight="false" outlineLevel="0" collapsed="false">
      <c r="A605" s="24"/>
      <c r="B605" s="28"/>
      <c r="C605" s="22"/>
      <c r="D605" s="22"/>
      <c r="E605" s="28"/>
      <c r="F605" s="10" t="str">
        <f aca="false">IF(B605="","",SUMIFS($D$5:D605,$B$5:B605,B605))</f>
        <v/>
      </c>
      <c r="G605" s="10" t="str">
        <f aca="false">IF(B605="","",IF(F605&gt;=3,"FLAG",""))</f>
        <v/>
      </c>
    </row>
    <row r="606" customFormat="false" ht="15" hidden="false" customHeight="false" outlineLevel="0" collapsed="false">
      <c r="A606" s="24"/>
      <c r="B606" s="28"/>
      <c r="C606" s="22"/>
      <c r="D606" s="22"/>
      <c r="E606" s="28"/>
      <c r="F606" s="10" t="str">
        <f aca="false">IF(B606="","",SUMIFS($D$5:D606,$B$5:B606,B606))</f>
        <v/>
      </c>
      <c r="G606" s="10" t="str">
        <f aca="false">IF(B606="","",IF(F606&gt;=3,"FLAG",""))</f>
        <v/>
      </c>
    </row>
    <row r="607" customFormat="false" ht="15" hidden="false" customHeight="false" outlineLevel="0" collapsed="false">
      <c r="A607" s="24"/>
      <c r="B607" s="28"/>
      <c r="C607" s="22"/>
      <c r="D607" s="22"/>
      <c r="E607" s="28"/>
      <c r="F607" s="10" t="str">
        <f aca="false">IF(B607="","",SUMIFS($D$5:D607,$B$5:B607,B607))</f>
        <v/>
      </c>
      <c r="G607" s="10" t="str">
        <f aca="false">IF(B607="","",IF(F607&gt;=3,"FLAG",""))</f>
        <v/>
      </c>
    </row>
    <row r="608" customFormat="false" ht="15" hidden="false" customHeight="false" outlineLevel="0" collapsed="false">
      <c r="A608" s="24"/>
      <c r="B608" s="28"/>
      <c r="C608" s="22"/>
      <c r="D608" s="22"/>
      <c r="E608" s="28"/>
      <c r="F608" s="10" t="str">
        <f aca="false">IF(B608="","",SUMIFS($D$5:D608,$B$5:B608,B608))</f>
        <v/>
      </c>
      <c r="G608" s="10" t="str">
        <f aca="false">IF(B608="","",IF(F608&gt;=3,"FLAG",""))</f>
        <v/>
      </c>
    </row>
    <row r="609" customFormat="false" ht="15" hidden="false" customHeight="false" outlineLevel="0" collapsed="false">
      <c r="A609" s="24"/>
      <c r="B609" s="28"/>
      <c r="C609" s="22"/>
      <c r="D609" s="22"/>
      <c r="E609" s="28"/>
      <c r="F609" s="10" t="str">
        <f aca="false">IF(B609="","",SUMIFS($D$5:D609,$B$5:B609,B609))</f>
        <v/>
      </c>
      <c r="G609" s="10" t="str">
        <f aca="false">IF(B609="","",IF(F609&gt;=3,"FLAG",""))</f>
        <v/>
      </c>
    </row>
    <row r="610" customFormat="false" ht="15" hidden="false" customHeight="false" outlineLevel="0" collapsed="false">
      <c r="A610" s="24"/>
      <c r="B610" s="28"/>
      <c r="C610" s="22"/>
      <c r="D610" s="22"/>
      <c r="E610" s="28"/>
      <c r="F610" s="10" t="str">
        <f aca="false">IF(B610="","",SUMIFS($D$5:D610,$B$5:B610,B610))</f>
        <v/>
      </c>
      <c r="G610" s="10" t="str">
        <f aca="false">IF(B610="","",IF(F610&gt;=3,"FLAG",""))</f>
        <v/>
      </c>
    </row>
    <row r="611" customFormat="false" ht="15" hidden="false" customHeight="false" outlineLevel="0" collapsed="false">
      <c r="A611" s="24"/>
      <c r="B611" s="28"/>
      <c r="C611" s="22"/>
      <c r="D611" s="22"/>
      <c r="E611" s="28"/>
      <c r="F611" s="10" t="str">
        <f aca="false">IF(B611="","",SUMIFS($D$5:D611,$B$5:B611,B611))</f>
        <v/>
      </c>
      <c r="G611" s="10" t="str">
        <f aca="false">IF(B611="","",IF(F611&gt;=3,"FLAG",""))</f>
        <v/>
      </c>
    </row>
    <row r="612" customFormat="false" ht="15" hidden="false" customHeight="false" outlineLevel="0" collapsed="false">
      <c r="A612" s="24"/>
      <c r="B612" s="28"/>
      <c r="C612" s="22"/>
      <c r="D612" s="22"/>
      <c r="E612" s="28"/>
      <c r="F612" s="10" t="str">
        <f aca="false">IF(B612="","",SUMIFS($D$5:D612,$B$5:B612,B612))</f>
        <v/>
      </c>
      <c r="G612" s="10" t="str">
        <f aca="false">IF(B612="","",IF(F612&gt;=3,"FLAG",""))</f>
        <v/>
      </c>
    </row>
    <row r="613" customFormat="false" ht="15" hidden="false" customHeight="false" outlineLevel="0" collapsed="false">
      <c r="A613" s="24"/>
      <c r="B613" s="28"/>
      <c r="C613" s="22"/>
      <c r="D613" s="22"/>
      <c r="E613" s="28"/>
      <c r="F613" s="10" t="str">
        <f aca="false">IF(B613="","",SUMIFS($D$5:D613,$B$5:B613,B613))</f>
        <v/>
      </c>
      <c r="G613" s="10" t="str">
        <f aca="false">IF(B613="","",IF(F613&gt;=3,"FLAG",""))</f>
        <v/>
      </c>
    </row>
    <row r="614" customFormat="false" ht="15" hidden="false" customHeight="false" outlineLevel="0" collapsed="false">
      <c r="A614" s="24"/>
      <c r="B614" s="28"/>
      <c r="C614" s="22"/>
      <c r="D614" s="22"/>
      <c r="E614" s="28"/>
      <c r="F614" s="10" t="str">
        <f aca="false">IF(B614="","",SUMIFS($D$5:D614,$B$5:B614,B614))</f>
        <v/>
      </c>
      <c r="G614" s="10" t="str">
        <f aca="false">IF(B614="","",IF(F614&gt;=3,"FLAG",""))</f>
        <v/>
      </c>
    </row>
    <row r="615" customFormat="false" ht="15" hidden="false" customHeight="false" outlineLevel="0" collapsed="false">
      <c r="A615" s="24"/>
      <c r="B615" s="28"/>
      <c r="C615" s="22"/>
      <c r="D615" s="22"/>
      <c r="E615" s="28"/>
      <c r="F615" s="10" t="str">
        <f aca="false">IF(B615="","",SUMIFS($D$5:D615,$B$5:B615,B615))</f>
        <v/>
      </c>
      <c r="G615" s="10" t="str">
        <f aca="false">IF(B615="","",IF(F615&gt;=3,"FLAG",""))</f>
        <v/>
      </c>
    </row>
    <row r="616" customFormat="false" ht="15" hidden="false" customHeight="false" outlineLevel="0" collapsed="false">
      <c r="A616" s="24"/>
      <c r="B616" s="28"/>
      <c r="C616" s="22"/>
      <c r="D616" s="22"/>
      <c r="E616" s="28"/>
      <c r="F616" s="10" t="str">
        <f aca="false">IF(B616="","",SUMIFS($D$5:D616,$B$5:B616,B616))</f>
        <v/>
      </c>
      <c r="G616" s="10" t="str">
        <f aca="false">IF(B616="","",IF(F616&gt;=3,"FLAG",""))</f>
        <v/>
      </c>
    </row>
    <row r="617" customFormat="false" ht="15" hidden="false" customHeight="false" outlineLevel="0" collapsed="false">
      <c r="A617" s="24"/>
      <c r="B617" s="28"/>
      <c r="C617" s="22"/>
      <c r="D617" s="22"/>
      <c r="E617" s="28"/>
      <c r="F617" s="10" t="str">
        <f aca="false">IF(B617="","",SUMIFS($D$5:D617,$B$5:B617,B617))</f>
        <v/>
      </c>
      <c r="G617" s="10" t="str">
        <f aca="false">IF(B617="","",IF(F617&gt;=3,"FLAG",""))</f>
        <v/>
      </c>
    </row>
    <row r="618" customFormat="false" ht="15" hidden="false" customHeight="false" outlineLevel="0" collapsed="false">
      <c r="A618" s="24"/>
      <c r="B618" s="28"/>
      <c r="C618" s="22"/>
      <c r="D618" s="22"/>
      <c r="E618" s="28"/>
      <c r="F618" s="10" t="str">
        <f aca="false">IF(B618="","",SUMIFS($D$5:D618,$B$5:B618,B618))</f>
        <v/>
      </c>
      <c r="G618" s="10" t="str">
        <f aca="false">IF(B618="","",IF(F618&gt;=3,"FLAG",""))</f>
        <v/>
      </c>
    </row>
    <row r="619" customFormat="false" ht="15" hidden="false" customHeight="false" outlineLevel="0" collapsed="false">
      <c r="A619" s="24"/>
      <c r="B619" s="28"/>
      <c r="C619" s="22"/>
      <c r="D619" s="22"/>
      <c r="E619" s="28"/>
      <c r="F619" s="10" t="str">
        <f aca="false">IF(B619="","",SUMIFS($D$5:D619,$B$5:B619,B619))</f>
        <v/>
      </c>
      <c r="G619" s="10" t="str">
        <f aca="false">IF(B619="","",IF(F619&gt;=3,"FLAG",""))</f>
        <v/>
      </c>
    </row>
    <row r="620" customFormat="false" ht="15" hidden="false" customHeight="false" outlineLevel="0" collapsed="false">
      <c r="A620" s="24"/>
      <c r="B620" s="28"/>
      <c r="C620" s="22"/>
      <c r="D620" s="22"/>
      <c r="E620" s="28"/>
      <c r="F620" s="10" t="str">
        <f aca="false">IF(B620="","",SUMIFS($D$5:D620,$B$5:B620,B620))</f>
        <v/>
      </c>
      <c r="G620" s="10" t="str">
        <f aca="false">IF(B620="","",IF(F620&gt;=3,"FLAG",""))</f>
        <v/>
      </c>
    </row>
    <row r="621" customFormat="false" ht="15" hidden="false" customHeight="false" outlineLevel="0" collapsed="false">
      <c r="A621" s="24"/>
      <c r="B621" s="28"/>
      <c r="C621" s="22"/>
      <c r="D621" s="22"/>
      <c r="E621" s="28"/>
      <c r="F621" s="10" t="str">
        <f aca="false">IF(B621="","",SUMIFS($D$5:D621,$B$5:B621,B621))</f>
        <v/>
      </c>
      <c r="G621" s="10" t="str">
        <f aca="false">IF(B621="","",IF(F621&gt;=3,"FLAG",""))</f>
        <v/>
      </c>
    </row>
    <row r="622" customFormat="false" ht="15" hidden="false" customHeight="false" outlineLevel="0" collapsed="false">
      <c r="A622" s="24"/>
      <c r="B622" s="28"/>
      <c r="C622" s="22"/>
      <c r="D622" s="22"/>
      <c r="E622" s="28"/>
      <c r="F622" s="10" t="str">
        <f aca="false">IF(B622="","",SUMIFS($D$5:D622,$B$5:B622,B622))</f>
        <v/>
      </c>
      <c r="G622" s="10" t="str">
        <f aca="false">IF(B622="","",IF(F622&gt;=3,"FLAG",""))</f>
        <v/>
      </c>
    </row>
    <row r="623" customFormat="false" ht="15" hidden="false" customHeight="false" outlineLevel="0" collapsed="false">
      <c r="A623" s="24"/>
      <c r="B623" s="28"/>
      <c r="C623" s="22"/>
      <c r="D623" s="22"/>
      <c r="E623" s="28"/>
      <c r="F623" s="10" t="str">
        <f aca="false">IF(B623="","",SUMIFS($D$5:D623,$B$5:B623,B623))</f>
        <v/>
      </c>
      <c r="G623" s="10" t="str">
        <f aca="false">IF(B623="","",IF(F623&gt;=3,"FLAG",""))</f>
        <v/>
      </c>
    </row>
    <row r="624" customFormat="false" ht="15" hidden="false" customHeight="false" outlineLevel="0" collapsed="false">
      <c r="A624" s="24"/>
      <c r="B624" s="28"/>
      <c r="C624" s="22"/>
      <c r="D624" s="22"/>
      <c r="E624" s="28"/>
      <c r="F624" s="10" t="str">
        <f aca="false">IF(B624="","",SUMIFS($D$5:D624,$B$5:B624,B624))</f>
        <v/>
      </c>
      <c r="G624" s="10" t="str">
        <f aca="false">IF(B624="","",IF(F624&gt;=3,"FLAG",""))</f>
        <v/>
      </c>
    </row>
    <row r="625" customFormat="false" ht="15" hidden="false" customHeight="false" outlineLevel="0" collapsed="false">
      <c r="A625" s="24"/>
      <c r="B625" s="28"/>
      <c r="C625" s="22"/>
      <c r="D625" s="22"/>
      <c r="E625" s="28"/>
      <c r="F625" s="10" t="str">
        <f aca="false">IF(B625="","",SUMIFS($D$5:D625,$B$5:B625,B625))</f>
        <v/>
      </c>
      <c r="G625" s="10" t="str">
        <f aca="false">IF(B625="","",IF(F625&gt;=3,"FLAG",""))</f>
        <v/>
      </c>
    </row>
    <row r="626" customFormat="false" ht="15" hidden="false" customHeight="false" outlineLevel="0" collapsed="false">
      <c r="A626" s="24"/>
      <c r="B626" s="28"/>
      <c r="C626" s="22"/>
      <c r="D626" s="22"/>
      <c r="E626" s="28"/>
      <c r="F626" s="10" t="str">
        <f aca="false">IF(B626="","",SUMIFS($D$5:D626,$B$5:B626,B626))</f>
        <v/>
      </c>
      <c r="G626" s="10" t="str">
        <f aca="false">IF(B626="","",IF(F626&gt;=3,"FLAG",""))</f>
        <v/>
      </c>
    </row>
    <row r="627" customFormat="false" ht="15" hidden="false" customHeight="false" outlineLevel="0" collapsed="false">
      <c r="A627" s="24"/>
      <c r="B627" s="28"/>
      <c r="C627" s="22"/>
      <c r="D627" s="22"/>
      <c r="E627" s="28"/>
      <c r="F627" s="10" t="str">
        <f aca="false">IF(B627="","",SUMIFS($D$5:D627,$B$5:B627,B627))</f>
        <v/>
      </c>
      <c r="G627" s="10" t="str">
        <f aca="false">IF(B627="","",IF(F627&gt;=3,"FLAG",""))</f>
        <v/>
      </c>
    </row>
    <row r="628" customFormat="false" ht="15" hidden="false" customHeight="false" outlineLevel="0" collapsed="false">
      <c r="A628" s="24"/>
      <c r="B628" s="28"/>
      <c r="C628" s="22"/>
      <c r="D628" s="22"/>
      <c r="E628" s="28"/>
      <c r="F628" s="10" t="str">
        <f aca="false">IF(B628="","",SUMIFS($D$5:D628,$B$5:B628,B628))</f>
        <v/>
      </c>
      <c r="G628" s="10" t="str">
        <f aca="false">IF(B628="","",IF(F628&gt;=3,"FLAG",""))</f>
        <v/>
      </c>
    </row>
    <row r="629" customFormat="false" ht="15" hidden="false" customHeight="false" outlineLevel="0" collapsed="false">
      <c r="A629" s="24"/>
      <c r="B629" s="28"/>
      <c r="C629" s="22"/>
      <c r="D629" s="22"/>
      <c r="E629" s="28"/>
      <c r="F629" s="10" t="str">
        <f aca="false">IF(B629="","",SUMIFS($D$5:D629,$B$5:B629,B629))</f>
        <v/>
      </c>
      <c r="G629" s="10" t="str">
        <f aca="false">IF(B629="","",IF(F629&gt;=3,"FLAG",""))</f>
        <v/>
      </c>
    </row>
    <row r="630" customFormat="false" ht="15" hidden="false" customHeight="false" outlineLevel="0" collapsed="false">
      <c r="A630" s="24"/>
      <c r="B630" s="28"/>
      <c r="C630" s="22"/>
      <c r="D630" s="22"/>
      <c r="E630" s="28"/>
      <c r="F630" s="10" t="str">
        <f aca="false">IF(B630="","",SUMIFS($D$5:D630,$B$5:B630,B630))</f>
        <v/>
      </c>
      <c r="G630" s="10" t="str">
        <f aca="false">IF(B630="","",IF(F630&gt;=3,"FLAG",""))</f>
        <v/>
      </c>
    </row>
    <row r="631" customFormat="false" ht="15" hidden="false" customHeight="false" outlineLevel="0" collapsed="false">
      <c r="A631" s="24"/>
      <c r="B631" s="28"/>
      <c r="C631" s="22"/>
      <c r="D631" s="22"/>
      <c r="E631" s="28"/>
      <c r="F631" s="10" t="str">
        <f aca="false">IF(B631="","",SUMIFS($D$5:D631,$B$5:B631,B631))</f>
        <v/>
      </c>
      <c r="G631" s="10" t="str">
        <f aca="false">IF(B631="","",IF(F631&gt;=3,"FLAG",""))</f>
        <v/>
      </c>
    </row>
    <row r="632" customFormat="false" ht="15" hidden="false" customHeight="false" outlineLevel="0" collapsed="false">
      <c r="A632" s="24"/>
      <c r="B632" s="28"/>
      <c r="C632" s="22"/>
      <c r="D632" s="22"/>
      <c r="E632" s="28"/>
      <c r="F632" s="10" t="str">
        <f aca="false">IF(B632="","",SUMIFS($D$5:D632,$B$5:B632,B632))</f>
        <v/>
      </c>
      <c r="G632" s="10" t="str">
        <f aca="false">IF(B632="","",IF(F632&gt;=3,"FLAG",""))</f>
        <v/>
      </c>
    </row>
    <row r="633" customFormat="false" ht="15" hidden="false" customHeight="false" outlineLevel="0" collapsed="false">
      <c r="A633" s="24"/>
      <c r="B633" s="28"/>
      <c r="C633" s="22"/>
      <c r="D633" s="22"/>
      <c r="E633" s="28"/>
      <c r="F633" s="10" t="str">
        <f aca="false">IF(B633="","",SUMIFS($D$5:D633,$B$5:B633,B633))</f>
        <v/>
      </c>
      <c r="G633" s="10" t="str">
        <f aca="false">IF(B633="","",IF(F633&gt;=3,"FLAG",""))</f>
        <v/>
      </c>
    </row>
    <row r="634" customFormat="false" ht="15" hidden="false" customHeight="false" outlineLevel="0" collapsed="false">
      <c r="A634" s="24"/>
      <c r="B634" s="28"/>
      <c r="C634" s="22"/>
      <c r="D634" s="22"/>
      <c r="E634" s="28"/>
      <c r="F634" s="10" t="str">
        <f aca="false">IF(B634="","",SUMIFS($D$5:D634,$B$5:B634,B634))</f>
        <v/>
      </c>
      <c r="G634" s="10" t="str">
        <f aca="false">IF(B634="","",IF(F634&gt;=3,"FLAG",""))</f>
        <v/>
      </c>
    </row>
    <row r="635" customFormat="false" ht="15" hidden="false" customHeight="false" outlineLevel="0" collapsed="false">
      <c r="A635" s="24"/>
      <c r="B635" s="28"/>
      <c r="C635" s="22"/>
      <c r="D635" s="22"/>
      <c r="E635" s="28"/>
      <c r="F635" s="10" t="str">
        <f aca="false">IF(B635="","",SUMIFS($D$5:D635,$B$5:B635,B635))</f>
        <v/>
      </c>
      <c r="G635" s="10" t="str">
        <f aca="false">IF(B635="","",IF(F635&gt;=3,"FLAG",""))</f>
        <v/>
      </c>
    </row>
    <row r="636" customFormat="false" ht="15" hidden="false" customHeight="false" outlineLevel="0" collapsed="false">
      <c r="A636" s="24"/>
      <c r="B636" s="28"/>
      <c r="C636" s="22"/>
      <c r="D636" s="22"/>
      <c r="E636" s="28"/>
      <c r="F636" s="10" t="str">
        <f aca="false">IF(B636="","",SUMIFS($D$5:D636,$B$5:B636,B636))</f>
        <v/>
      </c>
      <c r="G636" s="10" t="str">
        <f aca="false">IF(B636="","",IF(F636&gt;=3,"FLAG",""))</f>
        <v/>
      </c>
    </row>
    <row r="637" customFormat="false" ht="15" hidden="false" customHeight="false" outlineLevel="0" collapsed="false">
      <c r="A637" s="24"/>
      <c r="B637" s="28"/>
      <c r="C637" s="22"/>
      <c r="D637" s="22"/>
      <c r="E637" s="28"/>
      <c r="F637" s="10" t="str">
        <f aca="false">IF(B637="","",SUMIFS($D$5:D637,$B$5:B637,B637))</f>
        <v/>
      </c>
      <c r="G637" s="10" t="str">
        <f aca="false">IF(B637="","",IF(F637&gt;=3,"FLAG",""))</f>
        <v/>
      </c>
    </row>
    <row r="638" customFormat="false" ht="15" hidden="false" customHeight="false" outlineLevel="0" collapsed="false">
      <c r="A638" s="24"/>
      <c r="B638" s="28"/>
      <c r="C638" s="22"/>
      <c r="D638" s="22"/>
      <c r="E638" s="28"/>
      <c r="F638" s="10" t="str">
        <f aca="false">IF(B638="","",SUMIFS($D$5:D638,$B$5:B638,B638))</f>
        <v/>
      </c>
      <c r="G638" s="10" t="str">
        <f aca="false">IF(B638="","",IF(F638&gt;=3,"FLAG",""))</f>
        <v/>
      </c>
    </row>
    <row r="639" customFormat="false" ht="15" hidden="false" customHeight="false" outlineLevel="0" collapsed="false">
      <c r="A639" s="24"/>
      <c r="B639" s="28"/>
      <c r="C639" s="22"/>
      <c r="D639" s="22"/>
      <c r="E639" s="28"/>
      <c r="F639" s="10" t="str">
        <f aca="false">IF(B639="","",SUMIFS($D$5:D639,$B$5:B639,B639))</f>
        <v/>
      </c>
      <c r="G639" s="10" t="str">
        <f aca="false">IF(B639="","",IF(F639&gt;=3,"FLAG",""))</f>
        <v/>
      </c>
    </row>
    <row r="640" customFormat="false" ht="15" hidden="false" customHeight="false" outlineLevel="0" collapsed="false">
      <c r="A640" s="24"/>
      <c r="B640" s="28"/>
      <c r="C640" s="22"/>
      <c r="D640" s="22"/>
      <c r="E640" s="28"/>
      <c r="F640" s="10" t="str">
        <f aca="false">IF(B640="","",SUMIFS($D$5:D640,$B$5:B640,B640))</f>
        <v/>
      </c>
      <c r="G640" s="10" t="str">
        <f aca="false">IF(B640="","",IF(F640&gt;=3,"FLAG",""))</f>
        <v/>
      </c>
    </row>
    <row r="641" customFormat="false" ht="15" hidden="false" customHeight="false" outlineLevel="0" collapsed="false">
      <c r="A641" s="24"/>
      <c r="B641" s="28"/>
      <c r="C641" s="22"/>
      <c r="D641" s="22"/>
      <c r="E641" s="28"/>
      <c r="F641" s="10" t="str">
        <f aca="false">IF(B641="","",SUMIFS($D$5:D641,$B$5:B641,B641))</f>
        <v/>
      </c>
      <c r="G641" s="10" t="str">
        <f aca="false">IF(B641="","",IF(F641&gt;=3,"FLAG",""))</f>
        <v/>
      </c>
    </row>
    <row r="642" customFormat="false" ht="15" hidden="false" customHeight="false" outlineLevel="0" collapsed="false">
      <c r="A642" s="24"/>
      <c r="B642" s="28"/>
      <c r="C642" s="22"/>
      <c r="D642" s="22"/>
      <c r="E642" s="28"/>
      <c r="F642" s="10" t="str">
        <f aca="false">IF(B642="","",SUMIFS($D$5:D642,$B$5:B642,B642))</f>
        <v/>
      </c>
      <c r="G642" s="10" t="str">
        <f aca="false">IF(B642="","",IF(F642&gt;=3,"FLAG",""))</f>
        <v/>
      </c>
    </row>
    <row r="643" customFormat="false" ht="15" hidden="false" customHeight="false" outlineLevel="0" collapsed="false">
      <c r="A643" s="24"/>
      <c r="B643" s="28"/>
      <c r="C643" s="22"/>
      <c r="D643" s="22"/>
      <c r="E643" s="28"/>
      <c r="F643" s="10" t="str">
        <f aca="false">IF(B643="","",SUMIFS($D$5:D643,$B$5:B643,B643))</f>
        <v/>
      </c>
      <c r="G643" s="10" t="str">
        <f aca="false">IF(B643="","",IF(F643&gt;=3,"FLAG",""))</f>
        <v/>
      </c>
    </row>
    <row r="644" customFormat="false" ht="15" hidden="false" customHeight="false" outlineLevel="0" collapsed="false">
      <c r="A644" s="24"/>
      <c r="B644" s="28"/>
      <c r="C644" s="22"/>
      <c r="D644" s="22"/>
      <c r="E644" s="28"/>
      <c r="F644" s="10" t="str">
        <f aca="false">IF(B644="","",SUMIFS($D$5:D644,$B$5:B644,B644))</f>
        <v/>
      </c>
      <c r="G644" s="10" t="str">
        <f aca="false">IF(B644="","",IF(F644&gt;=3,"FLAG",""))</f>
        <v/>
      </c>
    </row>
    <row r="645" customFormat="false" ht="15" hidden="false" customHeight="false" outlineLevel="0" collapsed="false">
      <c r="A645" s="24"/>
      <c r="B645" s="28"/>
      <c r="C645" s="22"/>
      <c r="D645" s="22"/>
      <c r="E645" s="28"/>
      <c r="F645" s="10" t="str">
        <f aca="false">IF(B645="","",SUMIFS($D$5:D645,$B$5:B645,B645))</f>
        <v/>
      </c>
      <c r="G645" s="10" t="str">
        <f aca="false">IF(B645="","",IF(F645&gt;=3,"FLAG",""))</f>
        <v/>
      </c>
    </row>
    <row r="646" customFormat="false" ht="15" hidden="false" customHeight="false" outlineLevel="0" collapsed="false">
      <c r="A646" s="24"/>
      <c r="B646" s="28"/>
      <c r="C646" s="22"/>
      <c r="D646" s="22"/>
      <c r="E646" s="28"/>
      <c r="F646" s="10" t="str">
        <f aca="false">IF(B646="","",SUMIFS($D$5:D646,$B$5:B646,B646))</f>
        <v/>
      </c>
      <c r="G646" s="10" t="str">
        <f aca="false">IF(B646="","",IF(F646&gt;=3,"FLAG",""))</f>
        <v/>
      </c>
    </row>
    <row r="647" customFormat="false" ht="15" hidden="false" customHeight="false" outlineLevel="0" collapsed="false">
      <c r="A647" s="24"/>
      <c r="B647" s="28"/>
      <c r="C647" s="22"/>
      <c r="D647" s="22"/>
      <c r="E647" s="28"/>
      <c r="F647" s="10" t="str">
        <f aca="false">IF(B647="","",SUMIFS($D$5:D647,$B$5:B647,B647))</f>
        <v/>
      </c>
      <c r="G647" s="10" t="str">
        <f aca="false">IF(B647="","",IF(F647&gt;=3,"FLAG",""))</f>
        <v/>
      </c>
    </row>
    <row r="648" customFormat="false" ht="15" hidden="false" customHeight="false" outlineLevel="0" collapsed="false">
      <c r="A648" s="24"/>
      <c r="B648" s="28"/>
      <c r="C648" s="22"/>
      <c r="D648" s="22"/>
      <c r="E648" s="28"/>
      <c r="F648" s="10" t="str">
        <f aca="false">IF(B648="","",SUMIFS($D$5:D648,$B$5:B648,B648))</f>
        <v/>
      </c>
      <c r="G648" s="10" t="str">
        <f aca="false">IF(B648="","",IF(F648&gt;=3,"FLAG",""))</f>
        <v/>
      </c>
    </row>
    <row r="649" customFormat="false" ht="15" hidden="false" customHeight="false" outlineLevel="0" collapsed="false">
      <c r="A649" s="24"/>
      <c r="B649" s="28"/>
      <c r="C649" s="22"/>
      <c r="D649" s="22"/>
      <c r="E649" s="28"/>
      <c r="F649" s="10" t="str">
        <f aca="false">IF(B649="","",SUMIFS($D$5:D649,$B$5:B649,B649))</f>
        <v/>
      </c>
      <c r="G649" s="10" t="str">
        <f aca="false">IF(B649="","",IF(F649&gt;=3,"FLAG",""))</f>
        <v/>
      </c>
    </row>
    <row r="650" customFormat="false" ht="15" hidden="false" customHeight="false" outlineLevel="0" collapsed="false">
      <c r="A650" s="24"/>
      <c r="B650" s="28"/>
      <c r="C650" s="22"/>
      <c r="D650" s="22"/>
      <c r="E650" s="28"/>
      <c r="F650" s="10" t="str">
        <f aca="false">IF(B650="","",SUMIFS($D$5:D650,$B$5:B650,B650))</f>
        <v/>
      </c>
      <c r="G650" s="10" t="str">
        <f aca="false">IF(B650="","",IF(F650&gt;=3,"FLAG",""))</f>
        <v/>
      </c>
    </row>
    <row r="651" customFormat="false" ht="15" hidden="false" customHeight="false" outlineLevel="0" collapsed="false">
      <c r="A651" s="24"/>
      <c r="B651" s="28"/>
      <c r="C651" s="22"/>
      <c r="D651" s="22"/>
      <c r="E651" s="28"/>
      <c r="F651" s="10" t="str">
        <f aca="false">IF(B651="","",SUMIFS($D$5:D651,$B$5:B651,B651))</f>
        <v/>
      </c>
      <c r="G651" s="10" t="str">
        <f aca="false">IF(B651="","",IF(F651&gt;=3,"FLAG",""))</f>
        <v/>
      </c>
    </row>
    <row r="652" customFormat="false" ht="15" hidden="false" customHeight="false" outlineLevel="0" collapsed="false">
      <c r="A652" s="24"/>
      <c r="B652" s="28"/>
      <c r="C652" s="22"/>
      <c r="D652" s="22"/>
      <c r="E652" s="28"/>
      <c r="F652" s="10" t="str">
        <f aca="false">IF(B652="","",SUMIFS($D$5:D652,$B$5:B652,B652))</f>
        <v/>
      </c>
      <c r="G652" s="10" t="str">
        <f aca="false">IF(B652="","",IF(F652&gt;=3,"FLAG",""))</f>
        <v/>
      </c>
    </row>
    <row r="653" customFormat="false" ht="15" hidden="false" customHeight="false" outlineLevel="0" collapsed="false">
      <c r="A653" s="24"/>
      <c r="B653" s="28"/>
      <c r="C653" s="22"/>
      <c r="D653" s="22"/>
      <c r="E653" s="28"/>
      <c r="F653" s="10" t="str">
        <f aca="false">IF(B653="","",SUMIFS($D$5:D653,$B$5:B653,B653))</f>
        <v/>
      </c>
      <c r="G653" s="10" t="str">
        <f aca="false">IF(B653="","",IF(F653&gt;=3,"FLAG",""))</f>
        <v/>
      </c>
    </row>
    <row r="654" customFormat="false" ht="15" hidden="false" customHeight="false" outlineLevel="0" collapsed="false">
      <c r="A654" s="24"/>
      <c r="B654" s="28"/>
      <c r="C654" s="22"/>
      <c r="D654" s="22"/>
      <c r="E654" s="28"/>
      <c r="F654" s="10" t="str">
        <f aca="false">IF(B654="","",SUMIFS($D$5:D654,$B$5:B654,B654))</f>
        <v/>
      </c>
      <c r="G654" s="10" t="str">
        <f aca="false">IF(B654="","",IF(F654&gt;=3,"FLAG",""))</f>
        <v/>
      </c>
    </row>
    <row r="655" customFormat="false" ht="15" hidden="false" customHeight="false" outlineLevel="0" collapsed="false">
      <c r="A655" s="24"/>
      <c r="B655" s="28"/>
      <c r="C655" s="22"/>
      <c r="D655" s="22"/>
      <c r="E655" s="28"/>
      <c r="F655" s="10" t="str">
        <f aca="false">IF(B655="","",SUMIFS($D$5:D655,$B$5:B655,B655))</f>
        <v/>
      </c>
      <c r="G655" s="10" t="str">
        <f aca="false">IF(B655="","",IF(F655&gt;=3,"FLAG",""))</f>
        <v/>
      </c>
    </row>
    <row r="656" customFormat="false" ht="15" hidden="false" customHeight="false" outlineLevel="0" collapsed="false">
      <c r="A656" s="24"/>
      <c r="B656" s="28"/>
      <c r="C656" s="22"/>
      <c r="D656" s="22"/>
      <c r="E656" s="28"/>
      <c r="F656" s="10" t="str">
        <f aca="false">IF(B656="","",SUMIFS($D$5:D656,$B$5:B656,B656))</f>
        <v/>
      </c>
      <c r="G656" s="10" t="str">
        <f aca="false">IF(B656="","",IF(F656&gt;=3,"FLAG",""))</f>
        <v/>
      </c>
    </row>
    <row r="657" customFormat="false" ht="15" hidden="false" customHeight="false" outlineLevel="0" collapsed="false">
      <c r="A657" s="24"/>
      <c r="B657" s="28"/>
      <c r="C657" s="22"/>
      <c r="D657" s="22"/>
      <c r="E657" s="28"/>
      <c r="F657" s="10" t="str">
        <f aca="false">IF(B657="","",SUMIFS($D$5:D657,$B$5:B657,B657))</f>
        <v/>
      </c>
      <c r="G657" s="10" t="str">
        <f aca="false">IF(B657="","",IF(F657&gt;=3,"FLAG",""))</f>
        <v/>
      </c>
    </row>
    <row r="658" customFormat="false" ht="15" hidden="false" customHeight="false" outlineLevel="0" collapsed="false">
      <c r="A658" s="24"/>
      <c r="B658" s="28"/>
      <c r="C658" s="22"/>
      <c r="D658" s="22"/>
      <c r="E658" s="28"/>
      <c r="F658" s="10" t="str">
        <f aca="false">IF(B658="","",SUMIFS($D$5:D658,$B$5:B658,B658))</f>
        <v/>
      </c>
      <c r="G658" s="10" t="str">
        <f aca="false">IF(B658="","",IF(F658&gt;=3,"FLAG",""))</f>
        <v/>
      </c>
    </row>
    <row r="659" customFormat="false" ht="15" hidden="false" customHeight="false" outlineLevel="0" collapsed="false">
      <c r="A659" s="24"/>
      <c r="B659" s="28"/>
      <c r="C659" s="22"/>
      <c r="D659" s="22"/>
      <c r="E659" s="28"/>
      <c r="F659" s="10" t="str">
        <f aca="false">IF(B659="","",SUMIFS($D$5:D659,$B$5:B659,B659))</f>
        <v/>
      </c>
      <c r="G659" s="10" t="str">
        <f aca="false">IF(B659="","",IF(F659&gt;=3,"FLAG",""))</f>
        <v/>
      </c>
    </row>
    <row r="660" customFormat="false" ht="15" hidden="false" customHeight="false" outlineLevel="0" collapsed="false">
      <c r="A660" s="24"/>
      <c r="B660" s="28"/>
      <c r="C660" s="22"/>
      <c r="D660" s="22"/>
      <c r="E660" s="28"/>
      <c r="F660" s="10" t="str">
        <f aca="false">IF(B660="","",SUMIFS($D$5:D660,$B$5:B660,B660))</f>
        <v/>
      </c>
      <c r="G660" s="10" t="str">
        <f aca="false">IF(B660="","",IF(F660&gt;=3,"FLAG",""))</f>
        <v/>
      </c>
    </row>
    <row r="661" customFormat="false" ht="15" hidden="false" customHeight="false" outlineLevel="0" collapsed="false">
      <c r="A661" s="24"/>
      <c r="B661" s="28"/>
      <c r="C661" s="22"/>
      <c r="D661" s="22"/>
      <c r="E661" s="28"/>
      <c r="F661" s="10" t="str">
        <f aca="false">IF(B661="","",SUMIFS($D$5:D661,$B$5:B661,B661))</f>
        <v/>
      </c>
      <c r="G661" s="10" t="str">
        <f aca="false">IF(B661="","",IF(F661&gt;=3,"FLAG",""))</f>
        <v/>
      </c>
    </row>
    <row r="662" customFormat="false" ht="15" hidden="false" customHeight="false" outlineLevel="0" collapsed="false">
      <c r="A662" s="24"/>
      <c r="B662" s="28"/>
      <c r="C662" s="22"/>
      <c r="D662" s="22"/>
      <c r="E662" s="28"/>
      <c r="F662" s="10" t="str">
        <f aca="false">IF(B662="","",SUMIFS($D$5:D662,$B$5:B662,B662))</f>
        <v/>
      </c>
      <c r="G662" s="10" t="str">
        <f aca="false">IF(B662="","",IF(F662&gt;=3,"FLAG",""))</f>
        <v/>
      </c>
    </row>
    <row r="663" customFormat="false" ht="15" hidden="false" customHeight="false" outlineLevel="0" collapsed="false">
      <c r="A663" s="24"/>
      <c r="B663" s="28"/>
      <c r="C663" s="22"/>
      <c r="D663" s="22"/>
      <c r="E663" s="28"/>
      <c r="F663" s="10" t="str">
        <f aca="false">IF(B663="","",SUMIFS($D$5:D663,$B$5:B663,B663))</f>
        <v/>
      </c>
      <c r="G663" s="10" t="str">
        <f aca="false">IF(B663="","",IF(F663&gt;=3,"FLAG",""))</f>
        <v/>
      </c>
    </row>
    <row r="664" customFormat="false" ht="15" hidden="false" customHeight="false" outlineLevel="0" collapsed="false">
      <c r="A664" s="24"/>
      <c r="B664" s="28"/>
      <c r="C664" s="22"/>
      <c r="D664" s="22"/>
      <c r="E664" s="28"/>
      <c r="F664" s="10" t="str">
        <f aca="false">IF(B664="","",SUMIFS($D$5:D664,$B$5:B664,B664))</f>
        <v/>
      </c>
      <c r="G664" s="10" t="str">
        <f aca="false">IF(B664="","",IF(F664&gt;=3,"FLAG",""))</f>
        <v/>
      </c>
    </row>
    <row r="665" customFormat="false" ht="15" hidden="false" customHeight="false" outlineLevel="0" collapsed="false">
      <c r="A665" s="24"/>
      <c r="B665" s="28"/>
      <c r="C665" s="22"/>
      <c r="D665" s="22"/>
      <c r="E665" s="28"/>
      <c r="F665" s="10" t="str">
        <f aca="false">IF(B665="","",SUMIFS($D$5:D665,$B$5:B665,B665))</f>
        <v/>
      </c>
      <c r="G665" s="10" t="str">
        <f aca="false">IF(B665="","",IF(F665&gt;=3,"FLAG",""))</f>
        <v/>
      </c>
    </row>
    <row r="666" customFormat="false" ht="15" hidden="false" customHeight="false" outlineLevel="0" collapsed="false">
      <c r="A666" s="24"/>
      <c r="B666" s="28"/>
      <c r="C666" s="22"/>
      <c r="D666" s="22"/>
      <c r="E666" s="28"/>
      <c r="F666" s="10" t="str">
        <f aca="false">IF(B666="","",SUMIFS($D$5:D666,$B$5:B666,B666))</f>
        <v/>
      </c>
      <c r="G666" s="10" t="str">
        <f aca="false">IF(B666="","",IF(F666&gt;=3,"FLAG",""))</f>
        <v/>
      </c>
    </row>
    <row r="667" customFormat="false" ht="15" hidden="false" customHeight="false" outlineLevel="0" collapsed="false">
      <c r="A667" s="24"/>
      <c r="B667" s="28"/>
      <c r="C667" s="22"/>
      <c r="D667" s="22"/>
      <c r="E667" s="28"/>
      <c r="F667" s="10" t="str">
        <f aca="false">IF(B667="","",SUMIFS($D$5:D667,$B$5:B667,B667))</f>
        <v/>
      </c>
      <c r="G667" s="10" t="str">
        <f aca="false">IF(B667="","",IF(F667&gt;=3,"FLAG",""))</f>
        <v/>
      </c>
    </row>
    <row r="668" customFormat="false" ht="15" hidden="false" customHeight="false" outlineLevel="0" collapsed="false">
      <c r="A668" s="24"/>
      <c r="B668" s="28"/>
      <c r="C668" s="22"/>
      <c r="D668" s="22"/>
      <c r="E668" s="28"/>
      <c r="F668" s="10" t="str">
        <f aca="false">IF(B668="","",SUMIFS($D$5:D668,$B$5:B668,B668))</f>
        <v/>
      </c>
      <c r="G668" s="10" t="str">
        <f aca="false">IF(B668="","",IF(F668&gt;=3,"FLAG",""))</f>
        <v/>
      </c>
    </row>
    <row r="669" customFormat="false" ht="15" hidden="false" customHeight="false" outlineLevel="0" collapsed="false">
      <c r="A669" s="24"/>
      <c r="B669" s="28"/>
      <c r="C669" s="22"/>
      <c r="D669" s="22"/>
      <c r="E669" s="28"/>
      <c r="F669" s="10" t="str">
        <f aca="false">IF(B669="","",SUMIFS($D$5:D669,$B$5:B669,B669))</f>
        <v/>
      </c>
      <c r="G669" s="10" t="str">
        <f aca="false">IF(B669="","",IF(F669&gt;=3,"FLAG",""))</f>
        <v/>
      </c>
    </row>
    <row r="670" customFormat="false" ht="15" hidden="false" customHeight="false" outlineLevel="0" collapsed="false">
      <c r="A670" s="24"/>
      <c r="B670" s="28"/>
      <c r="C670" s="22"/>
      <c r="D670" s="22"/>
      <c r="E670" s="28"/>
      <c r="F670" s="10" t="str">
        <f aca="false">IF(B670="","",SUMIFS($D$5:D670,$B$5:B670,B670))</f>
        <v/>
      </c>
      <c r="G670" s="10" t="str">
        <f aca="false">IF(B670="","",IF(F670&gt;=3,"FLAG",""))</f>
        <v/>
      </c>
    </row>
    <row r="671" customFormat="false" ht="15" hidden="false" customHeight="false" outlineLevel="0" collapsed="false">
      <c r="A671" s="24"/>
      <c r="B671" s="28"/>
      <c r="C671" s="22"/>
      <c r="D671" s="22"/>
      <c r="E671" s="28"/>
      <c r="F671" s="10" t="str">
        <f aca="false">IF(B671="","",SUMIFS($D$5:D671,$B$5:B671,B671))</f>
        <v/>
      </c>
      <c r="G671" s="10" t="str">
        <f aca="false">IF(B671="","",IF(F671&gt;=3,"FLAG",""))</f>
        <v/>
      </c>
    </row>
    <row r="672" customFormat="false" ht="15" hidden="false" customHeight="false" outlineLevel="0" collapsed="false">
      <c r="A672" s="24"/>
      <c r="B672" s="28"/>
      <c r="C672" s="22"/>
      <c r="D672" s="22"/>
      <c r="E672" s="28"/>
      <c r="F672" s="10" t="str">
        <f aca="false">IF(B672="","",SUMIFS($D$5:D672,$B$5:B672,B672))</f>
        <v/>
      </c>
      <c r="G672" s="10" t="str">
        <f aca="false">IF(B672="","",IF(F672&gt;=3,"FLAG",""))</f>
        <v/>
      </c>
    </row>
    <row r="673" customFormat="false" ht="15" hidden="false" customHeight="false" outlineLevel="0" collapsed="false">
      <c r="A673" s="24"/>
      <c r="B673" s="28"/>
      <c r="C673" s="22"/>
      <c r="D673" s="22"/>
      <c r="E673" s="28"/>
      <c r="F673" s="10" t="str">
        <f aca="false">IF(B673="","",SUMIFS($D$5:D673,$B$5:B673,B673))</f>
        <v/>
      </c>
      <c r="G673" s="10" t="str">
        <f aca="false">IF(B673="","",IF(F673&gt;=3,"FLAG",""))</f>
        <v/>
      </c>
    </row>
    <row r="674" customFormat="false" ht="15" hidden="false" customHeight="false" outlineLevel="0" collapsed="false">
      <c r="A674" s="24"/>
      <c r="B674" s="28"/>
      <c r="C674" s="22"/>
      <c r="D674" s="22"/>
      <c r="E674" s="28"/>
      <c r="F674" s="10" t="str">
        <f aca="false">IF(B674="","",SUMIFS($D$5:D674,$B$5:B674,B674))</f>
        <v/>
      </c>
      <c r="G674" s="10" t="str">
        <f aca="false">IF(B674="","",IF(F674&gt;=3,"FLAG",""))</f>
        <v/>
      </c>
    </row>
    <row r="675" customFormat="false" ht="15" hidden="false" customHeight="false" outlineLevel="0" collapsed="false">
      <c r="A675" s="24"/>
      <c r="B675" s="28"/>
      <c r="C675" s="22"/>
      <c r="D675" s="22"/>
      <c r="E675" s="28"/>
      <c r="F675" s="10" t="str">
        <f aca="false">IF(B675="","",SUMIFS($D$5:D675,$B$5:B675,B675))</f>
        <v/>
      </c>
      <c r="G675" s="10" t="str">
        <f aca="false">IF(B675="","",IF(F675&gt;=3,"FLAG",""))</f>
        <v/>
      </c>
    </row>
    <row r="676" customFormat="false" ht="15" hidden="false" customHeight="false" outlineLevel="0" collapsed="false">
      <c r="A676" s="24"/>
      <c r="B676" s="28"/>
      <c r="C676" s="22"/>
      <c r="D676" s="22"/>
      <c r="E676" s="28"/>
      <c r="F676" s="10" t="str">
        <f aca="false">IF(B676="","",SUMIFS($D$5:D676,$B$5:B676,B676))</f>
        <v/>
      </c>
      <c r="G676" s="10" t="str">
        <f aca="false">IF(B676="","",IF(F676&gt;=3,"FLAG",""))</f>
        <v/>
      </c>
    </row>
    <row r="677" customFormat="false" ht="15" hidden="false" customHeight="false" outlineLevel="0" collapsed="false">
      <c r="A677" s="24"/>
      <c r="B677" s="28"/>
      <c r="C677" s="22"/>
      <c r="D677" s="22"/>
      <c r="E677" s="28"/>
      <c r="F677" s="10" t="str">
        <f aca="false">IF(B677="","",SUMIFS($D$5:D677,$B$5:B677,B677))</f>
        <v/>
      </c>
      <c r="G677" s="10" t="str">
        <f aca="false">IF(B677="","",IF(F677&gt;=3,"FLAG",""))</f>
        <v/>
      </c>
    </row>
    <row r="678" customFormat="false" ht="15" hidden="false" customHeight="false" outlineLevel="0" collapsed="false">
      <c r="A678" s="24"/>
      <c r="B678" s="28"/>
      <c r="C678" s="22"/>
      <c r="D678" s="22"/>
      <c r="E678" s="28"/>
      <c r="F678" s="10" t="str">
        <f aca="false">IF(B678="","",SUMIFS($D$5:D678,$B$5:B678,B678))</f>
        <v/>
      </c>
      <c r="G678" s="10" t="str">
        <f aca="false">IF(B678="","",IF(F678&gt;=3,"FLAG",""))</f>
        <v/>
      </c>
    </row>
    <row r="679" customFormat="false" ht="15" hidden="false" customHeight="false" outlineLevel="0" collapsed="false">
      <c r="A679" s="24"/>
      <c r="B679" s="28"/>
      <c r="C679" s="22"/>
      <c r="D679" s="22"/>
      <c r="E679" s="28"/>
      <c r="F679" s="10" t="str">
        <f aca="false">IF(B679="","",SUMIFS($D$5:D679,$B$5:B679,B679))</f>
        <v/>
      </c>
      <c r="G679" s="10" t="str">
        <f aca="false">IF(B679="","",IF(F679&gt;=3,"FLAG",""))</f>
        <v/>
      </c>
    </row>
    <row r="680" customFormat="false" ht="15" hidden="false" customHeight="false" outlineLevel="0" collapsed="false">
      <c r="A680" s="24"/>
      <c r="B680" s="28"/>
      <c r="C680" s="22"/>
      <c r="D680" s="22"/>
      <c r="E680" s="28"/>
      <c r="F680" s="10" t="str">
        <f aca="false">IF(B680="","",SUMIFS($D$5:D680,$B$5:B680,B680))</f>
        <v/>
      </c>
      <c r="G680" s="10" t="str">
        <f aca="false">IF(B680="","",IF(F680&gt;=3,"FLAG",""))</f>
        <v/>
      </c>
    </row>
    <row r="681" customFormat="false" ht="15" hidden="false" customHeight="false" outlineLevel="0" collapsed="false">
      <c r="A681" s="24"/>
      <c r="B681" s="28"/>
      <c r="C681" s="22"/>
      <c r="D681" s="22"/>
      <c r="E681" s="28"/>
      <c r="F681" s="10" t="str">
        <f aca="false">IF(B681="","",SUMIFS($D$5:D681,$B$5:B681,B681))</f>
        <v/>
      </c>
      <c r="G681" s="10" t="str">
        <f aca="false">IF(B681="","",IF(F681&gt;=3,"FLAG",""))</f>
        <v/>
      </c>
    </row>
    <row r="682" customFormat="false" ht="15" hidden="false" customHeight="false" outlineLevel="0" collapsed="false">
      <c r="A682" s="24"/>
      <c r="B682" s="28"/>
      <c r="C682" s="22"/>
      <c r="D682" s="22"/>
      <c r="E682" s="28"/>
      <c r="F682" s="10" t="str">
        <f aca="false">IF(B682="","",SUMIFS($D$5:D682,$B$5:B682,B682))</f>
        <v/>
      </c>
      <c r="G682" s="10" t="str">
        <f aca="false">IF(B682="","",IF(F682&gt;=3,"FLAG",""))</f>
        <v/>
      </c>
    </row>
    <row r="683" customFormat="false" ht="15" hidden="false" customHeight="false" outlineLevel="0" collapsed="false">
      <c r="A683" s="24"/>
      <c r="B683" s="28"/>
      <c r="C683" s="22"/>
      <c r="D683" s="22"/>
      <c r="E683" s="28"/>
      <c r="F683" s="10" t="str">
        <f aca="false">IF(B683="","",SUMIFS($D$5:D683,$B$5:B683,B683))</f>
        <v/>
      </c>
      <c r="G683" s="10" t="str">
        <f aca="false">IF(B683="","",IF(F683&gt;=3,"FLAG",""))</f>
        <v/>
      </c>
    </row>
    <row r="684" customFormat="false" ht="15" hidden="false" customHeight="false" outlineLevel="0" collapsed="false">
      <c r="A684" s="24"/>
      <c r="B684" s="28"/>
      <c r="C684" s="22"/>
      <c r="D684" s="22"/>
      <c r="E684" s="28"/>
      <c r="F684" s="10" t="str">
        <f aca="false">IF(B684="","",SUMIFS($D$5:D684,$B$5:B684,B684))</f>
        <v/>
      </c>
      <c r="G684" s="10" t="str">
        <f aca="false">IF(B684="","",IF(F684&gt;=3,"FLAG",""))</f>
        <v/>
      </c>
    </row>
    <row r="685" customFormat="false" ht="15" hidden="false" customHeight="false" outlineLevel="0" collapsed="false">
      <c r="A685" s="24"/>
      <c r="B685" s="28"/>
      <c r="C685" s="22"/>
      <c r="D685" s="22"/>
      <c r="E685" s="28"/>
      <c r="F685" s="10" t="str">
        <f aca="false">IF(B685="","",SUMIFS($D$5:D685,$B$5:B685,B685))</f>
        <v/>
      </c>
      <c r="G685" s="10" t="str">
        <f aca="false">IF(B685="","",IF(F685&gt;=3,"FLAG",""))</f>
        <v/>
      </c>
    </row>
    <row r="686" customFormat="false" ht="15" hidden="false" customHeight="false" outlineLevel="0" collapsed="false">
      <c r="A686" s="24"/>
      <c r="B686" s="28"/>
      <c r="C686" s="22"/>
      <c r="D686" s="22"/>
      <c r="E686" s="28"/>
      <c r="F686" s="10" t="str">
        <f aca="false">IF(B686="","",SUMIFS($D$5:D686,$B$5:B686,B686))</f>
        <v/>
      </c>
      <c r="G686" s="10" t="str">
        <f aca="false">IF(B686="","",IF(F686&gt;=3,"FLAG",""))</f>
        <v/>
      </c>
    </row>
    <row r="687" customFormat="false" ht="15" hidden="false" customHeight="false" outlineLevel="0" collapsed="false">
      <c r="A687" s="24"/>
      <c r="B687" s="28"/>
      <c r="C687" s="22"/>
      <c r="D687" s="22"/>
      <c r="E687" s="28"/>
      <c r="F687" s="10" t="str">
        <f aca="false">IF(B687="","",SUMIFS($D$5:D687,$B$5:B687,B687))</f>
        <v/>
      </c>
      <c r="G687" s="10" t="str">
        <f aca="false">IF(B687="","",IF(F687&gt;=3,"FLAG",""))</f>
        <v/>
      </c>
    </row>
    <row r="688" customFormat="false" ht="15" hidden="false" customHeight="false" outlineLevel="0" collapsed="false">
      <c r="A688" s="24"/>
      <c r="B688" s="28"/>
      <c r="C688" s="22"/>
      <c r="D688" s="22"/>
      <c r="E688" s="28"/>
      <c r="F688" s="10" t="str">
        <f aca="false">IF(B688="","",SUMIFS($D$5:D688,$B$5:B688,B688))</f>
        <v/>
      </c>
      <c r="G688" s="10" t="str">
        <f aca="false">IF(B688="","",IF(F688&gt;=3,"FLAG",""))</f>
        <v/>
      </c>
    </row>
    <row r="689" customFormat="false" ht="15" hidden="false" customHeight="false" outlineLevel="0" collapsed="false">
      <c r="A689" s="24"/>
      <c r="B689" s="28"/>
      <c r="C689" s="22"/>
      <c r="D689" s="22"/>
      <c r="E689" s="28"/>
      <c r="F689" s="10" t="str">
        <f aca="false">IF(B689="","",SUMIFS($D$5:D689,$B$5:B689,B689))</f>
        <v/>
      </c>
      <c r="G689" s="10" t="str">
        <f aca="false">IF(B689="","",IF(F689&gt;=3,"FLAG",""))</f>
        <v/>
      </c>
    </row>
    <row r="690" customFormat="false" ht="15" hidden="false" customHeight="false" outlineLevel="0" collapsed="false">
      <c r="A690" s="24"/>
      <c r="B690" s="28"/>
      <c r="C690" s="22"/>
      <c r="D690" s="22"/>
      <c r="E690" s="28"/>
      <c r="F690" s="10" t="str">
        <f aca="false">IF(B690="","",SUMIFS($D$5:D690,$B$5:B690,B690))</f>
        <v/>
      </c>
      <c r="G690" s="10" t="str">
        <f aca="false">IF(B690="","",IF(F690&gt;=3,"FLAG",""))</f>
        <v/>
      </c>
    </row>
    <row r="691" customFormat="false" ht="15" hidden="false" customHeight="false" outlineLevel="0" collapsed="false">
      <c r="A691" s="24"/>
      <c r="B691" s="28"/>
      <c r="C691" s="22"/>
      <c r="D691" s="22"/>
      <c r="E691" s="28"/>
      <c r="F691" s="10" t="str">
        <f aca="false">IF(B691="","",SUMIFS($D$5:D691,$B$5:B691,B691))</f>
        <v/>
      </c>
      <c r="G691" s="10" t="str">
        <f aca="false">IF(B691="","",IF(F691&gt;=3,"FLAG",""))</f>
        <v/>
      </c>
    </row>
    <row r="692" customFormat="false" ht="15" hidden="false" customHeight="false" outlineLevel="0" collapsed="false">
      <c r="A692" s="24"/>
      <c r="B692" s="28"/>
      <c r="C692" s="22"/>
      <c r="D692" s="22"/>
      <c r="E692" s="28"/>
      <c r="F692" s="10" t="str">
        <f aca="false">IF(B692="","",SUMIFS($D$5:D692,$B$5:B692,B692))</f>
        <v/>
      </c>
      <c r="G692" s="10" t="str">
        <f aca="false">IF(B692="","",IF(F692&gt;=3,"FLAG",""))</f>
        <v/>
      </c>
    </row>
    <row r="693" customFormat="false" ht="15" hidden="false" customHeight="false" outlineLevel="0" collapsed="false">
      <c r="A693" s="24"/>
      <c r="B693" s="28"/>
      <c r="C693" s="22"/>
      <c r="D693" s="22"/>
      <c r="E693" s="28"/>
      <c r="F693" s="10" t="str">
        <f aca="false">IF(B693="","",SUMIFS($D$5:D693,$B$5:B693,B693))</f>
        <v/>
      </c>
      <c r="G693" s="10" t="str">
        <f aca="false">IF(B693="","",IF(F693&gt;=3,"FLAG",""))</f>
        <v/>
      </c>
    </row>
    <row r="694" customFormat="false" ht="15" hidden="false" customHeight="false" outlineLevel="0" collapsed="false">
      <c r="A694" s="24"/>
      <c r="B694" s="28"/>
      <c r="C694" s="22"/>
      <c r="D694" s="22"/>
      <c r="E694" s="28"/>
      <c r="F694" s="10" t="str">
        <f aca="false">IF(B694="","",SUMIFS($D$5:D694,$B$5:B694,B694))</f>
        <v/>
      </c>
      <c r="G694" s="10" t="str">
        <f aca="false">IF(B694="","",IF(F694&gt;=3,"FLAG",""))</f>
        <v/>
      </c>
    </row>
    <row r="695" customFormat="false" ht="15" hidden="false" customHeight="false" outlineLevel="0" collapsed="false">
      <c r="A695" s="24"/>
      <c r="B695" s="28"/>
      <c r="C695" s="22"/>
      <c r="D695" s="22"/>
      <c r="E695" s="28"/>
      <c r="F695" s="10" t="str">
        <f aca="false">IF(B695="","",SUMIFS($D$5:D695,$B$5:B695,B695))</f>
        <v/>
      </c>
      <c r="G695" s="10" t="str">
        <f aca="false">IF(B695="","",IF(F695&gt;=3,"FLAG",""))</f>
        <v/>
      </c>
    </row>
    <row r="696" customFormat="false" ht="15" hidden="false" customHeight="false" outlineLevel="0" collapsed="false">
      <c r="A696" s="24"/>
      <c r="B696" s="28"/>
      <c r="C696" s="22"/>
      <c r="D696" s="22"/>
      <c r="E696" s="28"/>
      <c r="F696" s="10" t="str">
        <f aca="false">IF(B696="","",SUMIFS($D$5:D696,$B$5:B696,B696))</f>
        <v/>
      </c>
      <c r="G696" s="10" t="str">
        <f aca="false">IF(B696="","",IF(F696&gt;=3,"FLAG",""))</f>
        <v/>
      </c>
    </row>
    <row r="697" customFormat="false" ht="15" hidden="false" customHeight="false" outlineLevel="0" collapsed="false">
      <c r="A697" s="24"/>
      <c r="B697" s="28"/>
      <c r="C697" s="22"/>
      <c r="D697" s="22"/>
      <c r="E697" s="28"/>
      <c r="F697" s="10" t="str">
        <f aca="false">IF(B697="","",SUMIFS($D$5:D697,$B$5:B697,B697))</f>
        <v/>
      </c>
      <c r="G697" s="10" t="str">
        <f aca="false">IF(B697="","",IF(F697&gt;=3,"FLAG",""))</f>
        <v/>
      </c>
    </row>
    <row r="698" customFormat="false" ht="15" hidden="false" customHeight="false" outlineLevel="0" collapsed="false">
      <c r="A698" s="24"/>
      <c r="B698" s="28"/>
      <c r="C698" s="22"/>
      <c r="D698" s="22"/>
      <c r="E698" s="28"/>
      <c r="F698" s="10" t="str">
        <f aca="false">IF(B698="","",SUMIFS($D$5:D698,$B$5:B698,B698))</f>
        <v/>
      </c>
      <c r="G698" s="10" t="str">
        <f aca="false">IF(B698="","",IF(F698&gt;=3,"FLAG",""))</f>
        <v/>
      </c>
    </row>
    <row r="699" customFormat="false" ht="15" hidden="false" customHeight="false" outlineLevel="0" collapsed="false">
      <c r="A699" s="24"/>
      <c r="B699" s="28"/>
      <c r="C699" s="22"/>
      <c r="D699" s="22"/>
      <c r="E699" s="28"/>
      <c r="F699" s="10" t="str">
        <f aca="false">IF(B699="","",SUMIFS($D$5:D699,$B$5:B699,B699))</f>
        <v/>
      </c>
      <c r="G699" s="10" t="str">
        <f aca="false">IF(B699="","",IF(F699&gt;=3,"FLAG",""))</f>
        <v/>
      </c>
    </row>
    <row r="700" customFormat="false" ht="15" hidden="false" customHeight="false" outlineLevel="0" collapsed="false">
      <c r="A700" s="24"/>
      <c r="B700" s="28"/>
      <c r="C700" s="22"/>
      <c r="D700" s="22"/>
      <c r="E700" s="28"/>
      <c r="F700" s="10" t="str">
        <f aca="false">IF(B700="","",SUMIFS($D$5:D700,$B$5:B700,B700))</f>
        <v/>
      </c>
      <c r="G700" s="10" t="str">
        <f aca="false">IF(B700="","",IF(F700&gt;=3,"FLAG",""))</f>
        <v/>
      </c>
    </row>
    <row r="701" customFormat="false" ht="15" hidden="false" customHeight="false" outlineLevel="0" collapsed="false">
      <c r="A701" s="24"/>
      <c r="B701" s="28"/>
      <c r="C701" s="22"/>
      <c r="D701" s="22"/>
      <c r="E701" s="28"/>
      <c r="F701" s="10" t="str">
        <f aca="false">IF(B701="","",SUMIFS($D$5:D701,$B$5:B701,B701))</f>
        <v/>
      </c>
      <c r="G701" s="10" t="str">
        <f aca="false">IF(B701="","",IF(F701&gt;=3,"FLAG",""))</f>
        <v/>
      </c>
    </row>
    <row r="702" customFormat="false" ht="15" hidden="false" customHeight="false" outlineLevel="0" collapsed="false">
      <c r="A702" s="24"/>
      <c r="B702" s="28"/>
      <c r="C702" s="22"/>
      <c r="D702" s="22"/>
      <c r="E702" s="28"/>
      <c r="F702" s="10" t="str">
        <f aca="false">IF(B702="","",SUMIFS($D$5:D702,$B$5:B702,B702))</f>
        <v/>
      </c>
      <c r="G702" s="10" t="str">
        <f aca="false">IF(B702="","",IF(F702&gt;=3,"FLAG",""))</f>
        <v/>
      </c>
    </row>
    <row r="703" customFormat="false" ht="15" hidden="false" customHeight="false" outlineLevel="0" collapsed="false">
      <c r="A703" s="24"/>
      <c r="B703" s="28"/>
      <c r="C703" s="22"/>
      <c r="D703" s="22"/>
      <c r="E703" s="28"/>
      <c r="F703" s="10" t="str">
        <f aca="false">IF(B703="","",SUMIFS($D$5:D703,$B$5:B703,B703))</f>
        <v/>
      </c>
      <c r="G703" s="10" t="str">
        <f aca="false">IF(B703="","",IF(F703&gt;=3,"FLAG",""))</f>
        <v/>
      </c>
    </row>
    <row r="704" customFormat="false" ht="15" hidden="false" customHeight="false" outlineLevel="0" collapsed="false">
      <c r="A704" s="24"/>
      <c r="B704" s="28"/>
      <c r="C704" s="22"/>
      <c r="D704" s="22"/>
      <c r="E704" s="28"/>
      <c r="F704" s="10" t="str">
        <f aca="false">IF(B704="","",SUMIFS($D$5:D704,$B$5:B704,B704))</f>
        <v/>
      </c>
      <c r="G704" s="10" t="str">
        <f aca="false">IF(B704="","",IF(F704&gt;=3,"FLAG",""))</f>
        <v/>
      </c>
    </row>
    <row r="705" customFormat="false" ht="15" hidden="false" customHeight="false" outlineLevel="0" collapsed="false">
      <c r="A705" s="24"/>
      <c r="B705" s="28"/>
      <c r="C705" s="22"/>
      <c r="D705" s="22"/>
      <c r="E705" s="28"/>
      <c r="F705" s="10" t="str">
        <f aca="false">IF(B705="","",SUMIFS($D$5:D705,$B$5:B705,B705))</f>
        <v/>
      </c>
      <c r="G705" s="10" t="str">
        <f aca="false">IF(B705="","",IF(F705&gt;=3,"FLAG",""))</f>
        <v/>
      </c>
    </row>
    <row r="706" customFormat="false" ht="15" hidden="false" customHeight="false" outlineLevel="0" collapsed="false">
      <c r="A706" s="24"/>
      <c r="B706" s="28"/>
      <c r="C706" s="22"/>
      <c r="D706" s="22"/>
      <c r="E706" s="28"/>
      <c r="F706" s="10" t="str">
        <f aca="false">IF(B706="","",SUMIFS($D$5:D706,$B$5:B706,B706))</f>
        <v/>
      </c>
      <c r="G706" s="10" t="str">
        <f aca="false">IF(B706="","",IF(F706&gt;=3,"FLAG",""))</f>
        <v/>
      </c>
    </row>
    <row r="707" customFormat="false" ht="15" hidden="false" customHeight="false" outlineLevel="0" collapsed="false">
      <c r="A707" s="24"/>
      <c r="B707" s="28"/>
      <c r="C707" s="22"/>
      <c r="D707" s="22"/>
      <c r="E707" s="28"/>
      <c r="F707" s="10" t="str">
        <f aca="false">IF(B707="","",SUMIFS($D$5:D707,$B$5:B707,B707))</f>
        <v/>
      </c>
      <c r="G707" s="10" t="str">
        <f aca="false">IF(B707="","",IF(F707&gt;=3,"FLAG",""))</f>
        <v/>
      </c>
    </row>
    <row r="708" customFormat="false" ht="15" hidden="false" customHeight="false" outlineLevel="0" collapsed="false">
      <c r="A708" s="24"/>
      <c r="B708" s="28"/>
      <c r="C708" s="22"/>
      <c r="D708" s="22"/>
      <c r="E708" s="28"/>
      <c r="F708" s="10" t="str">
        <f aca="false">IF(B708="","",SUMIFS($D$5:D708,$B$5:B708,B708))</f>
        <v/>
      </c>
      <c r="G708" s="10" t="str">
        <f aca="false">IF(B708="","",IF(F708&gt;=3,"FLAG",""))</f>
        <v/>
      </c>
    </row>
    <row r="709" customFormat="false" ht="15" hidden="false" customHeight="false" outlineLevel="0" collapsed="false">
      <c r="A709" s="24"/>
      <c r="B709" s="28"/>
      <c r="C709" s="22"/>
      <c r="D709" s="22"/>
      <c r="E709" s="28"/>
      <c r="F709" s="10" t="str">
        <f aca="false">IF(B709="","",SUMIFS($D$5:D709,$B$5:B709,B709))</f>
        <v/>
      </c>
      <c r="G709" s="10" t="str">
        <f aca="false">IF(B709="","",IF(F709&gt;=3,"FLAG",""))</f>
        <v/>
      </c>
    </row>
    <row r="710" customFormat="false" ht="15" hidden="false" customHeight="false" outlineLevel="0" collapsed="false">
      <c r="A710" s="24"/>
      <c r="B710" s="28"/>
      <c r="C710" s="22"/>
      <c r="D710" s="22"/>
      <c r="E710" s="28"/>
      <c r="F710" s="10" t="str">
        <f aca="false">IF(B710="","",SUMIFS($D$5:D710,$B$5:B710,B710))</f>
        <v/>
      </c>
      <c r="G710" s="10" t="str">
        <f aca="false">IF(B710="","",IF(F710&gt;=3,"FLAG",""))</f>
        <v/>
      </c>
    </row>
    <row r="711" customFormat="false" ht="15" hidden="false" customHeight="false" outlineLevel="0" collapsed="false">
      <c r="A711" s="24"/>
      <c r="B711" s="28"/>
      <c r="C711" s="22"/>
      <c r="D711" s="22"/>
      <c r="E711" s="28"/>
      <c r="F711" s="10" t="str">
        <f aca="false">IF(B711="","",SUMIFS($D$5:D711,$B$5:B711,B711))</f>
        <v/>
      </c>
      <c r="G711" s="10" t="str">
        <f aca="false">IF(B711="","",IF(F711&gt;=3,"FLAG",""))</f>
        <v/>
      </c>
    </row>
    <row r="712" customFormat="false" ht="15" hidden="false" customHeight="false" outlineLevel="0" collapsed="false">
      <c r="A712" s="24"/>
      <c r="B712" s="28"/>
      <c r="C712" s="22"/>
      <c r="D712" s="22"/>
      <c r="E712" s="28"/>
      <c r="F712" s="10" t="str">
        <f aca="false">IF(B712="","",SUMIFS($D$5:D712,$B$5:B712,B712))</f>
        <v/>
      </c>
      <c r="G712" s="10" t="str">
        <f aca="false">IF(B712="","",IF(F712&gt;=3,"FLAG",""))</f>
        <v/>
      </c>
    </row>
    <row r="713" customFormat="false" ht="15" hidden="false" customHeight="false" outlineLevel="0" collapsed="false">
      <c r="A713" s="24"/>
      <c r="B713" s="28"/>
      <c r="C713" s="22"/>
      <c r="D713" s="22"/>
      <c r="E713" s="28"/>
      <c r="F713" s="10" t="str">
        <f aca="false">IF(B713="","",SUMIFS($D$5:D713,$B$5:B713,B713))</f>
        <v/>
      </c>
      <c r="G713" s="10" t="str">
        <f aca="false">IF(B713="","",IF(F713&gt;=3,"FLAG",""))</f>
        <v/>
      </c>
    </row>
    <row r="714" customFormat="false" ht="15" hidden="false" customHeight="false" outlineLevel="0" collapsed="false">
      <c r="A714" s="24"/>
      <c r="B714" s="28"/>
      <c r="C714" s="22"/>
      <c r="D714" s="22"/>
      <c r="E714" s="28"/>
      <c r="F714" s="10" t="str">
        <f aca="false">IF(B714="","",SUMIFS($D$5:D714,$B$5:B714,B714))</f>
        <v/>
      </c>
      <c r="G714" s="10" t="str">
        <f aca="false">IF(B714="","",IF(F714&gt;=3,"FLAG",""))</f>
        <v/>
      </c>
    </row>
    <row r="715" customFormat="false" ht="15" hidden="false" customHeight="false" outlineLevel="0" collapsed="false">
      <c r="A715" s="24"/>
      <c r="B715" s="28"/>
      <c r="C715" s="22"/>
      <c r="D715" s="22"/>
      <c r="E715" s="28"/>
      <c r="F715" s="10" t="str">
        <f aca="false">IF(B715="","",SUMIFS($D$5:D715,$B$5:B715,B715))</f>
        <v/>
      </c>
      <c r="G715" s="10" t="str">
        <f aca="false">IF(B715="","",IF(F715&gt;=3,"FLAG",""))</f>
        <v/>
      </c>
    </row>
    <row r="716" customFormat="false" ht="15" hidden="false" customHeight="false" outlineLevel="0" collapsed="false">
      <c r="A716" s="24"/>
      <c r="B716" s="28"/>
      <c r="C716" s="22"/>
      <c r="D716" s="22"/>
      <c r="E716" s="28"/>
      <c r="F716" s="10" t="str">
        <f aca="false">IF(B716="","",SUMIFS($D$5:D716,$B$5:B716,B716))</f>
        <v/>
      </c>
      <c r="G716" s="10" t="str">
        <f aca="false">IF(B716="","",IF(F716&gt;=3,"FLAG",""))</f>
        <v/>
      </c>
    </row>
    <row r="717" customFormat="false" ht="15" hidden="false" customHeight="false" outlineLevel="0" collapsed="false">
      <c r="A717" s="24"/>
      <c r="B717" s="28"/>
      <c r="C717" s="22"/>
      <c r="D717" s="22"/>
      <c r="E717" s="28"/>
      <c r="F717" s="10" t="str">
        <f aca="false">IF(B717="","",SUMIFS($D$5:D717,$B$5:B717,B717))</f>
        <v/>
      </c>
      <c r="G717" s="10" t="str">
        <f aca="false">IF(B717="","",IF(F717&gt;=3,"FLAG",""))</f>
        <v/>
      </c>
    </row>
    <row r="718" customFormat="false" ht="15" hidden="false" customHeight="false" outlineLevel="0" collapsed="false">
      <c r="A718" s="24"/>
      <c r="B718" s="28"/>
      <c r="C718" s="22"/>
      <c r="D718" s="22"/>
      <c r="E718" s="28"/>
      <c r="F718" s="10" t="str">
        <f aca="false">IF(B718="","",SUMIFS($D$5:D718,$B$5:B718,B718))</f>
        <v/>
      </c>
      <c r="G718" s="10" t="str">
        <f aca="false">IF(B718="","",IF(F718&gt;=3,"FLAG",""))</f>
        <v/>
      </c>
    </row>
    <row r="719" customFormat="false" ht="15" hidden="false" customHeight="false" outlineLevel="0" collapsed="false">
      <c r="A719" s="24"/>
      <c r="B719" s="28"/>
      <c r="C719" s="22"/>
      <c r="D719" s="22"/>
      <c r="E719" s="28"/>
      <c r="F719" s="10" t="str">
        <f aca="false">IF(B719="","",SUMIFS($D$5:D719,$B$5:B719,B719))</f>
        <v/>
      </c>
      <c r="G719" s="10" t="str">
        <f aca="false">IF(B719="","",IF(F719&gt;=3,"FLAG",""))</f>
        <v/>
      </c>
    </row>
    <row r="720" customFormat="false" ht="15" hidden="false" customHeight="false" outlineLevel="0" collapsed="false">
      <c r="A720" s="24"/>
      <c r="B720" s="28"/>
      <c r="C720" s="22"/>
      <c r="D720" s="22"/>
      <c r="E720" s="28"/>
      <c r="F720" s="10" t="str">
        <f aca="false">IF(B720="","",SUMIFS($D$5:D720,$B$5:B720,B720))</f>
        <v/>
      </c>
      <c r="G720" s="10" t="str">
        <f aca="false">IF(B720="","",IF(F720&gt;=3,"FLAG",""))</f>
        <v/>
      </c>
    </row>
    <row r="721" customFormat="false" ht="15" hidden="false" customHeight="false" outlineLevel="0" collapsed="false">
      <c r="A721" s="24"/>
      <c r="B721" s="28"/>
      <c r="C721" s="22"/>
      <c r="D721" s="22"/>
      <c r="E721" s="28"/>
      <c r="F721" s="10" t="str">
        <f aca="false">IF(B721="","",SUMIFS($D$5:D721,$B$5:B721,B721))</f>
        <v/>
      </c>
      <c r="G721" s="10" t="str">
        <f aca="false">IF(B721="","",IF(F721&gt;=3,"FLAG",""))</f>
        <v/>
      </c>
    </row>
    <row r="722" customFormat="false" ht="15" hidden="false" customHeight="false" outlineLevel="0" collapsed="false">
      <c r="A722" s="24"/>
      <c r="B722" s="28"/>
      <c r="C722" s="22"/>
      <c r="D722" s="22"/>
      <c r="E722" s="28"/>
      <c r="F722" s="10" t="str">
        <f aca="false">IF(B722="","",SUMIFS($D$5:D722,$B$5:B722,B722))</f>
        <v/>
      </c>
      <c r="G722" s="10" t="str">
        <f aca="false">IF(B722="","",IF(F722&gt;=3,"FLAG",""))</f>
        <v/>
      </c>
    </row>
    <row r="723" customFormat="false" ht="15" hidden="false" customHeight="false" outlineLevel="0" collapsed="false">
      <c r="A723" s="24"/>
      <c r="B723" s="28"/>
      <c r="C723" s="22"/>
      <c r="D723" s="22"/>
      <c r="E723" s="28"/>
      <c r="F723" s="10" t="str">
        <f aca="false">IF(B723="","",SUMIFS($D$5:D723,$B$5:B723,B723))</f>
        <v/>
      </c>
      <c r="G723" s="10" t="str">
        <f aca="false">IF(B723="","",IF(F723&gt;=3,"FLAG",""))</f>
        <v/>
      </c>
    </row>
    <row r="724" customFormat="false" ht="15" hidden="false" customHeight="false" outlineLevel="0" collapsed="false">
      <c r="A724" s="24"/>
      <c r="B724" s="28"/>
      <c r="C724" s="22"/>
      <c r="D724" s="22"/>
      <c r="E724" s="28"/>
      <c r="F724" s="10" t="str">
        <f aca="false">IF(B724="","",SUMIFS($D$5:D724,$B$5:B724,B724))</f>
        <v/>
      </c>
      <c r="G724" s="10" t="str">
        <f aca="false">IF(B724="","",IF(F724&gt;=3,"FLAG",""))</f>
        <v/>
      </c>
    </row>
    <row r="725" customFormat="false" ht="15" hidden="false" customHeight="false" outlineLevel="0" collapsed="false">
      <c r="A725" s="24"/>
      <c r="B725" s="28"/>
      <c r="C725" s="22"/>
      <c r="D725" s="22"/>
      <c r="E725" s="28"/>
      <c r="F725" s="10" t="str">
        <f aca="false">IF(B725="","",SUMIFS($D$5:D725,$B$5:B725,B725))</f>
        <v/>
      </c>
      <c r="G725" s="10" t="str">
        <f aca="false">IF(B725="","",IF(F725&gt;=3,"FLAG",""))</f>
        <v/>
      </c>
    </row>
    <row r="726" customFormat="false" ht="15" hidden="false" customHeight="false" outlineLevel="0" collapsed="false">
      <c r="A726" s="24"/>
      <c r="B726" s="28"/>
      <c r="C726" s="22"/>
      <c r="D726" s="22"/>
      <c r="E726" s="28"/>
      <c r="F726" s="10" t="str">
        <f aca="false">IF(B726="","",SUMIFS($D$5:D726,$B$5:B726,B726))</f>
        <v/>
      </c>
      <c r="G726" s="10" t="str">
        <f aca="false">IF(B726="","",IF(F726&gt;=3,"FLAG",""))</f>
        <v/>
      </c>
    </row>
    <row r="727" customFormat="false" ht="15" hidden="false" customHeight="false" outlineLevel="0" collapsed="false">
      <c r="A727" s="24"/>
      <c r="B727" s="28"/>
      <c r="C727" s="22"/>
      <c r="D727" s="22"/>
      <c r="E727" s="28"/>
      <c r="F727" s="10" t="str">
        <f aca="false">IF(B727="","",SUMIFS($D$5:D727,$B$5:B727,B727))</f>
        <v/>
      </c>
      <c r="G727" s="10" t="str">
        <f aca="false">IF(B727="","",IF(F727&gt;=3,"FLAG",""))</f>
        <v/>
      </c>
    </row>
    <row r="728" customFormat="false" ht="15" hidden="false" customHeight="false" outlineLevel="0" collapsed="false">
      <c r="A728" s="24"/>
      <c r="B728" s="28"/>
      <c r="C728" s="22"/>
      <c r="D728" s="22"/>
      <c r="E728" s="28"/>
      <c r="F728" s="10" t="str">
        <f aca="false">IF(B728="","",SUMIFS($D$5:D728,$B$5:B728,B728))</f>
        <v/>
      </c>
      <c r="G728" s="10" t="str">
        <f aca="false">IF(B728="","",IF(F728&gt;=3,"FLAG",""))</f>
        <v/>
      </c>
    </row>
    <row r="729" customFormat="false" ht="15" hidden="false" customHeight="false" outlineLevel="0" collapsed="false">
      <c r="A729" s="24"/>
      <c r="B729" s="28"/>
      <c r="C729" s="22"/>
      <c r="D729" s="22"/>
      <c r="E729" s="28"/>
      <c r="F729" s="10" t="str">
        <f aca="false">IF(B729="","",SUMIFS($D$5:D729,$B$5:B729,B729))</f>
        <v/>
      </c>
      <c r="G729" s="10" t="str">
        <f aca="false">IF(B729="","",IF(F729&gt;=3,"FLAG",""))</f>
        <v/>
      </c>
    </row>
    <row r="730" customFormat="false" ht="15" hidden="false" customHeight="false" outlineLevel="0" collapsed="false">
      <c r="A730" s="24"/>
      <c r="B730" s="28"/>
      <c r="C730" s="22"/>
      <c r="D730" s="22"/>
      <c r="E730" s="28"/>
      <c r="F730" s="10" t="str">
        <f aca="false">IF(B730="","",SUMIFS($D$5:D730,$B$5:B730,B730))</f>
        <v/>
      </c>
      <c r="G730" s="10" t="str">
        <f aca="false">IF(B730="","",IF(F730&gt;=3,"FLAG",""))</f>
        <v/>
      </c>
    </row>
    <row r="731" customFormat="false" ht="15" hidden="false" customHeight="false" outlineLevel="0" collapsed="false">
      <c r="A731" s="24"/>
      <c r="B731" s="28"/>
      <c r="C731" s="22"/>
      <c r="D731" s="22"/>
      <c r="E731" s="28"/>
      <c r="F731" s="10" t="str">
        <f aca="false">IF(B731="","",SUMIFS($D$5:D731,$B$5:B731,B731))</f>
        <v/>
      </c>
      <c r="G731" s="10" t="str">
        <f aca="false">IF(B731="","",IF(F731&gt;=3,"FLAG",""))</f>
        <v/>
      </c>
    </row>
    <row r="732" customFormat="false" ht="15" hidden="false" customHeight="false" outlineLevel="0" collapsed="false">
      <c r="A732" s="24"/>
      <c r="B732" s="28"/>
      <c r="C732" s="22"/>
      <c r="D732" s="22"/>
      <c r="E732" s="28"/>
      <c r="F732" s="10" t="str">
        <f aca="false">IF(B732="","",SUMIFS($D$5:D732,$B$5:B732,B732))</f>
        <v/>
      </c>
      <c r="G732" s="10" t="str">
        <f aca="false">IF(B732="","",IF(F732&gt;=3,"FLAG",""))</f>
        <v/>
      </c>
    </row>
    <row r="733" customFormat="false" ht="15" hidden="false" customHeight="false" outlineLevel="0" collapsed="false">
      <c r="A733" s="24"/>
      <c r="B733" s="28"/>
      <c r="C733" s="22"/>
      <c r="D733" s="22"/>
      <c r="E733" s="28"/>
      <c r="F733" s="10" t="str">
        <f aca="false">IF(B733="","",SUMIFS($D$5:D733,$B$5:B733,B733))</f>
        <v/>
      </c>
      <c r="G733" s="10" t="str">
        <f aca="false">IF(B733="","",IF(F733&gt;=3,"FLAG",""))</f>
        <v/>
      </c>
    </row>
    <row r="734" customFormat="false" ht="15" hidden="false" customHeight="false" outlineLevel="0" collapsed="false">
      <c r="A734" s="24"/>
      <c r="B734" s="28"/>
      <c r="C734" s="22"/>
      <c r="D734" s="22"/>
      <c r="E734" s="28"/>
      <c r="F734" s="10" t="str">
        <f aca="false">IF(B734="","",SUMIFS($D$5:D734,$B$5:B734,B734))</f>
        <v/>
      </c>
      <c r="G734" s="10" t="str">
        <f aca="false">IF(B734="","",IF(F734&gt;=3,"FLAG",""))</f>
        <v/>
      </c>
    </row>
    <row r="735" customFormat="false" ht="15" hidden="false" customHeight="false" outlineLevel="0" collapsed="false">
      <c r="A735" s="24"/>
      <c r="B735" s="28"/>
      <c r="C735" s="22"/>
      <c r="D735" s="22"/>
      <c r="E735" s="28"/>
      <c r="F735" s="10" t="str">
        <f aca="false">IF(B735="","",SUMIFS($D$5:D735,$B$5:B735,B735))</f>
        <v/>
      </c>
      <c r="G735" s="10" t="str">
        <f aca="false">IF(B735="","",IF(F735&gt;=3,"FLAG",""))</f>
        <v/>
      </c>
    </row>
    <row r="736" customFormat="false" ht="15" hidden="false" customHeight="false" outlineLevel="0" collapsed="false">
      <c r="A736" s="24"/>
      <c r="B736" s="28"/>
      <c r="C736" s="22"/>
      <c r="D736" s="22"/>
      <c r="E736" s="28"/>
      <c r="F736" s="10" t="str">
        <f aca="false">IF(B736="","",SUMIFS($D$5:D736,$B$5:B736,B736))</f>
        <v/>
      </c>
      <c r="G736" s="10" t="str">
        <f aca="false">IF(B736="","",IF(F736&gt;=3,"FLAG",""))</f>
        <v/>
      </c>
    </row>
    <row r="737" customFormat="false" ht="15" hidden="false" customHeight="false" outlineLevel="0" collapsed="false">
      <c r="A737" s="24"/>
      <c r="B737" s="28"/>
      <c r="C737" s="22"/>
      <c r="D737" s="22"/>
      <c r="E737" s="28"/>
      <c r="F737" s="10" t="str">
        <f aca="false">IF(B737="","",SUMIFS($D$5:D737,$B$5:B737,B737))</f>
        <v/>
      </c>
      <c r="G737" s="10" t="str">
        <f aca="false">IF(B737="","",IF(F737&gt;=3,"FLAG",""))</f>
        <v/>
      </c>
    </row>
    <row r="738" customFormat="false" ht="15" hidden="false" customHeight="false" outlineLevel="0" collapsed="false">
      <c r="A738" s="24"/>
      <c r="B738" s="28"/>
      <c r="C738" s="22"/>
      <c r="D738" s="22"/>
      <c r="E738" s="28"/>
      <c r="F738" s="10" t="str">
        <f aca="false">IF(B738="","",SUMIFS($D$5:D738,$B$5:B738,B738))</f>
        <v/>
      </c>
      <c r="G738" s="10" t="str">
        <f aca="false">IF(B738="","",IF(F738&gt;=3,"FLAG",""))</f>
        <v/>
      </c>
    </row>
    <row r="739" customFormat="false" ht="15" hidden="false" customHeight="false" outlineLevel="0" collapsed="false">
      <c r="A739" s="24"/>
      <c r="B739" s="28"/>
      <c r="C739" s="22"/>
      <c r="D739" s="22"/>
      <c r="E739" s="28"/>
      <c r="F739" s="10" t="str">
        <f aca="false">IF(B739="","",SUMIFS($D$5:D739,$B$5:B739,B739))</f>
        <v/>
      </c>
      <c r="G739" s="10" t="str">
        <f aca="false">IF(B739="","",IF(F739&gt;=3,"FLAG",""))</f>
        <v/>
      </c>
    </row>
    <row r="740" customFormat="false" ht="15" hidden="false" customHeight="false" outlineLevel="0" collapsed="false">
      <c r="A740" s="24"/>
      <c r="B740" s="28"/>
      <c r="C740" s="22"/>
      <c r="D740" s="22"/>
      <c r="E740" s="28"/>
      <c r="F740" s="10" t="str">
        <f aca="false">IF(B740="","",SUMIFS($D$5:D740,$B$5:B740,B740))</f>
        <v/>
      </c>
      <c r="G740" s="10" t="str">
        <f aca="false">IF(B740="","",IF(F740&gt;=3,"FLAG",""))</f>
        <v/>
      </c>
    </row>
    <row r="741" customFormat="false" ht="15" hidden="false" customHeight="false" outlineLevel="0" collapsed="false">
      <c r="A741" s="24"/>
      <c r="B741" s="28"/>
      <c r="C741" s="22"/>
      <c r="D741" s="22"/>
      <c r="E741" s="28"/>
      <c r="F741" s="10" t="str">
        <f aca="false">IF(B741="","",SUMIFS($D$5:D741,$B$5:B741,B741))</f>
        <v/>
      </c>
      <c r="G741" s="10" t="str">
        <f aca="false">IF(B741="","",IF(F741&gt;=3,"FLAG",""))</f>
        <v/>
      </c>
    </row>
    <row r="742" customFormat="false" ht="15" hidden="false" customHeight="false" outlineLevel="0" collapsed="false">
      <c r="A742" s="24"/>
      <c r="B742" s="28"/>
      <c r="C742" s="22"/>
      <c r="D742" s="22"/>
      <c r="E742" s="28"/>
      <c r="F742" s="10" t="str">
        <f aca="false">IF(B742="","",SUMIFS($D$5:D742,$B$5:B742,B742))</f>
        <v/>
      </c>
      <c r="G742" s="10" t="str">
        <f aca="false">IF(B742="","",IF(F742&gt;=3,"FLAG",""))</f>
        <v/>
      </c>
    </row>
    <row r="743" customFormat="false" ht="15" hidden="false" customHeight="false" outlineLevel="0" collapsed="false">
      <c r="A743" s="24"/>
      <c r="B743" s="28"/>
      <c r="C743" s="22"/>
      <c r="D743" s="22"/>
      <c r="E743" s="28"/>
      <c r="F743" s="10" t="str">
        <f aca="false">IF(B743="","",SUMIFS($D$5:D743,$B$5:B743,B743))</f>
        <v/>
      </c>
      <c r="G743" s="10" t="str">
        <f aca="false">IF(B743="","",IF(F743&gt;=3,"FLAG",""))</f>
        <v/>
      </c>
    </row>
    <row r="744" customFormat="false" ht="15" hidden="false" customHeight="false" outlineLevel="0" collapsed="false">
      <c r="A744" s="24"/>
      <c r="B744" s="28"/>
      <c r="C744" s="22"/>
      <c r="D744" s="22"/>
      <c r="E744" s="28"/>
      <c r="F744" s="10" t="str">
        <f aca="false">IF(B744="","",SUMIFS($D$5:D744,$B$5:B744,B744))</f>
        <v/>
      </c>
      <c r="G744" s="10" t="str">
        <f aca="false">IF(B744="","",IF(F744&gt;=3,"FLAG",""))</f>
        <v/>
      </c>
    </row>
    <row r="745" customFormat="false" ht="15" hidden="false" customHeight="false" outlineLevel="0" collapsed="false">
      <c r="A745" s="24"/>
      <c r="B745" s="28"/>
      <c r="C745" s="22"/>
      <c r="D745" s="22"/>
      <c r="E745" s="28"/>
      <c r="F745" s="10" t="str">
        <f aca="false">IF(B745="","",SUMIFS($D$5:D745,$B$5:B745,B745))</f>
        <v/>
      </c>
      <c r="G745" s="10" t="str">
        <f aca="false">IF(B745="","",IF(F745&gt;=3,"FLAG",""))</f>
        <v/>
      </c>
    </row>
    <row r="746" customFormat="false" ht="15" hidden="false" customHeight="false" outlineLevel="0" collapsed="false">
      <c r="A746" s="24"/>
      <c r="B746" s="28"/>
      <c r="C746" s="22"/>
      <c r="D746" s="22"/>
      <c r="E746" s="28"/>
      <c r="F746" s="10" t="str">
        <f aca="false">IF(B746="","",SUMIFS($D$5:D746,$B$5:B746,B746))</f>
        <v/>
      </c>
      <c r="G746" s="10" t="str">
        <f aca="false">IF(B746="","",IF(F746&gt;=3,"FLAG",""))</f>
        <v/>
      </c>
    </row>
    <row r="747" customFormat="false" ht="15" hidden="false" customHeight="false" outlineLevel="0" collapsed="false">
      <c r="A747" s="24"/>
      <c r="B747" s="28"/>
      <c r="C747" s="22"/>
      <c r="D747" s="22"/>
      <c r="E747" s="28"/>
      <c r="F747" s="10" t="str">
        <f aca="false">IF(B747="","",SUMIFS($D$5:D747,$B$5:B747,B747))</f>
        <v/>
      </c>
      <c r="G747" s="10" t="str">
        <f aca="false">IF(B747="","",IF(F747&gt;=3,"FLAG",""))</f>
        <v/>
      </c>
    </row>
    <row r="748" customFormat="false" ht="15" hidden="false" customHeight="false" outlineLevel="0" collapsed="false">
      <c r="A748" s="24"/>
      <c r="B748" s="28"/>
      <c r="C748" s="22"/>
      <c r="D748" s="22"/>
      <c r="E748" s="28"/>
      <c r="F748" s="10" t="str">
        <f aca="false">IF(B748="","",SUMIFS($D$5:D748,$B$5:B748,B748))</f>
        <v/>
      </c>
      <c r="G748" s="10" t="str">
        <f aca="false">IF(B748="","",IF(F748&gt;=3,"FLAG",""))</f>
        <v/>
      </c>
    </row>
    <row r="749" customFormat="false" ht="15" hidden="false" customHeight="false" outlineLevel="0" collapsed="false">
      <c r="A749" s="24"/>
      <c r="B749" s="28"/>
      <c r="C749" s="22"/>
      <c r="D749" s="22"/>
      <c r="E749" s="28"/>
      <c r="F749" s="10" t="str">
        <f aca="false">IF(B749="","",SUMIFS($D$5:D749,$B$5:B749,B749))</f>
        <v/>
      </c>
      <c r="G749" s="10" t="str">
        <f aca="false">IF(B749="","",IF(F749&gt;=3,"FLAG",""))</f>
        <v/>
      </c>
    </row>
    <row r="750" customFormat="false" ht="15" hidden="false" customHeight="false" outlineLevel="0" collapsed="false">
      <c r="A750" s="24"/>
      <c r="B750" s="28"/>
      <c r="C750" s="22"/>
      <c r="D750" s="22"/>
      <c r="E750" s="28"/>
      <c r="F750" s="10" t="str">
        <f aca="false">IF(B750="","",SUMIFS($D$5:D750,$B$5:B750,B750))</f>
        <v/>
      </c>
      <c r="G750" s="10" t="str">
        <f aca="false">IF(B750="","",IF(F750&gt;=3,"FLAG",""))</f>
        <v/>
      </c>
    </row>
    <row r="751" customFormat="false" ht="15" hidden="false" customHeight="false" outlineLevel="0" collapsed="false">
      <c r="A751" s="24"/>
      <c r="B751" s="28"/>
      <c r="C751" s="22"/>
      <c r="D751" s="22"/>
      <c r="E751" s="28"/>
      <c r="F751" s="10" t="str">
        <f aca="false">IF(B751="","",SUMIFS($D$5:D751,$B$5:B751,B751))</f>
        <v/>
      </c>
      <c r="G751" s="10" t="str">
        <f aca="false">IF(B751="","",IF(F751&gt;=3,"FLAG",""))</f>
        <v/>
      </c>
    </row>
    <row r="752" customFormat="false" ht="15" hidden="false" customHeight="false" outlineLevel="0" collapsed="false">
      <c r="A752" s="24"/>
      <c r="B752" s="28"/>
      <c r="C752" s="22"/>
      <c r="D752" s="22"/>
      <c r="E752" s="28"/>
      <c r="F752" s="10" t="str">
        <f aca="false">IF(B752="","",SUMIFS($D$5:D752,$B$5:B752,B752))</f>
        <v/>
      </c>
      <c r="G752" s="10" t="str">
        <f aca="false">IF(B752="","",IF(F752&gt;=3,"FLAG",""))</f>
        <v/>
      </c>
    </row>
    <row r="753" customFormat="false" ht="15" hidden="false" customHeight="false" outlineLevel="0" collapsed="false">
      <c r="A753" s="24"/>
      <c r="B753" s="28"/>
      <c r="C753" s="22"/>
      <c r="D753" s="22"/>
      <c r="E753" s="28"/>
      <c r="F753" s="10" t="str">
        <f aca="false">IF(B753="","",SUMIFS($D$5:D753,$B$5:B753,B753))</f>
        <v/>
      </c>
      <c r="G753" s="10" t="str">
        <f aca="false">IF(B753="","",IF(F753&gt;=3,"FLAG",""))</f>
        <v/>
      </c>
    </row>
    <row r="754" customFormat="false" ht="15" hidden="false" customHeight="false" outlineLevel="0" collapsed="false">
      <c r="A754" s="24"/>
      <c r="B754" s="28"/>
      <c r="C754" s="22"/>
      <c r="D754" s="22"/>
      <c r="E754" s="28"/>
      <c r="F754" s="10" t="str">
        <f aca="false">IF(B754="","",SUMIFS($D$5:D754,$B$5:B754,B754))</f>
        <v/>
      </c>
      <c r="G754" s="10" t="str">
        <f aca="false">IF(B754="","",IF(F754&gt;=3,"FLAG",""))</f>
        <v/>
      </c>
    </row>
    <row r="755" customFormat="false" ht="15" hidden="false" customHeight="false" outlineLevel="0" collapsed="false">
      <c r="A755" s="24"/>
      <c r="B755" s="28"/>
      <c r="C755" s="22"/>
      <c r="D755" s="22"/>
      <c r="E755" s="28"/>
      <c r="F755" s="10" t="str">
        <f aca="false">IF(B755="","",SUMIFS($D$5:D755,$B$5:B755,B755))</f>
        <v/>
      </c>
      <c r="G755" s="10" t="str">
        <f aca="false">IF(B755="","",IF(F755&gt;=3,"FLAG",""))</f>
        <v/>
      </c>
    </row>
    <row r="756" customFormat="false" ht="15" hidden="false" customHeight="false" outlineLevel="0" collapsed="false">
      <c r="A756" s="24"/>
      <c r="B756" s="28"/>
      <c r="C756" s="22"/>
      <c r="D756" s="22"/>
      <c r="E756" s="28"/>
      <c r="F756" s="10" t="str">
        <f aca="false">IF(B756="","",SUMIFS($D$5:D756,$B$5:B756,B756))</f>
        <v/>
      </c>
      <c r="G756" s="10" t="str">
        <f aca="false">IF(B756="","",IF(F756&gt;=3,"FLAG",""))</f>
        <v/>
      </c>
    </row>
    <row r="757" customFormat="false" ht="15" hidden="false" customHeight="false" outlineLevel="0" collapsed="false">
      <c r="A757" s="24"/>
      <c r="B757" s="28"/>
      <c r="C757" s="22"/>
      <c r="D757" s="22"/>
      <c r="E757" s="28"/>
      <c r="F757" s="10" t="str">
        <f aca="false">IF(B757="","",SUMIFS($D$5:D757,$B$5:B757,B757))</f>
        <v/>
      </c>
      <c r="G757" s="10" t="str">
        <f aca="false">IF(B757="","",IF(F757&gt;=3,"FLAG",""))</f>
        <v/>
      </c>
    </row>
    <row r="758" customFormat="false" ht="15" hidden="false" customHeight="false" outlineLevel="0" collapsed="false">
      <c r="A758" s="24"/>
      <c r="B758" s="28"/>
      <c r="C758" s="22"/>
      <c r="D758" s="22"/>
      <c r="E758" s="28"/>
      <c r="F758" s="10" t="str">
        <f aca="false">IF(B758="","",SUMIFS($D$5:D758,$B$5:B758,B758))</f>
        <v/>
      </c>
      <c r="G758" s="10" t="str">
        <f aca="false">IF(B758="","",IF(F758&gt;=3,"FLAG",""))</f>
        <v/>
      </c>
    </row>
    <row r="759" customFormat="false" ht="15" hidden="false" customHeight="false" outlineLevel="0" collapsed="false">
      <c r="A759" s="24"/>
      <c r="B759" s="28"/>
      <c r="C759" s="22"/>
      <c r="D759" s="22"/>
      <c r="E759" s="28"/>
      <c r="F759" s="10" t="str">
        <f aca="false">IF(B759="","",SUMIFS($D$5:D759,$B$5:B759,B759))</f>
        <v/>
      </c>
      <c r="G759" s="10" t="str">
        <f aca="false">IF(B759="","",IF(F759&gt;=3,"FLAG",""))</f>
        <v/>
      </c>
    </row>
    <row r="760" customFormat="false" ht="15" hidden="false" customHeight="false" outlineLevel="0" collapsed="false">
      <c r="A760" s="24"/>
      <c r="B760" s="28"/>
      <c r="C760" s="22"/>
      <c r="D760" s="22"/>
      <c r="E760" s="28"/>
      <c r="F760" s="10" t="str">
        <f aca="false">IF(B760="","",SUMIFS($D$5:D760,$B$5:B760,B760))</f>
        <v/>
      </c>
      <c r="G760" s="10" t="str">
        <f aca="false">IF(B760="","",IF(F760&gt;=3,"FLAG",""))</f>
        <v/>
      </c>
    </row>
    <row r="761" customFormat="false" ht="15" hidden="false" customHeight="false" outlineLevel="0" collapsed="false">
      <c r="A761" s="24"/>
      <c r="B761" s="28"/>
      <c r="C761" s="22"/>
      <c r="D761" s="22"/>
      <c r="E761" s="28"/>
      <c r="F761" s="10" t="str">
        <f aca="false">IF(B761="","",SUMIFS($D$5:D761,$B$5:B761,B761))</f>
        <v/>
      </c>
      <c r="G761" s="10" t="str">
        <f aca="false">IF(B761="","",IF(F761&gt;=3,"FLAG",""))</f>
        <v/>
      </c>
    </row>
    <row r="762" customFormat="false" ht="15" hidden="false" customHeight="false" outlineLevel="0" collapsed="false">
      <c r="A762" s="24"/>
      <c r="B762" s="28"/>
      <c r="C762" s="22"/>
      <c r="D762" s="22"/>
      <c r="E762" s="28"/>
      <c r="F762" s="10" t="str">
        <f aca="false">IF(B762="","",SUMIFS($D$5:D762,$B$5:B762,B762))</f>
        <v/>
      </c>
      <c r="G762" s="10" t="str">
        <f aca="false">IF(B762="","",IF(F762&gt;=3,"FLAG",""))</f>
        <v/>
      </c>
    </row>
    <row r="763" customFormat="false" ht="15" hidden="false" customHeight="false" outlineLevel="0" collapsed="false">
      <c r="A763" s="24"/>
      <c r="B763" s="28"/>
      <c r="C763" s="22"/>
      <c r="D763" s="22"/>
      <c r="E763" s="28"/>
      <c r="F763" s="10" t="str">
        <f aca="false">IF(B763="","",SUMIFS($D$5:D763,$B$5:B763,B763))</f>
        <v/>
      </c>
      <c r="G763" s="10" t="str">
        <f aca="false">IF(B763="","",IF(F763&gt;=3,"FLAG",""))</f>
        <v/>
      </c>
    </row>
    <row r="764" customFormat="false" ht="15" hidden="false" customHeight="false" outlineLevel="0" collapsed="false">
      <c r="A764" s="24"/>
      <c r="B764" s="28"/>
      <c r="C764" s="22"/>
      <c r="D764" s="22"/>
      <c r="E764" s="28"/>
      <c r="F764" s="10" t="str">
        <f aca="false">IF(B764="","",SUMIFS($D$5:D764,$B$5:B764,B764))</f>
        <v/>
      </c>
      <c r="G764" s="10" t="str">
        <f aca="false">IF(B764="","",IF(F764&gt;=3,"FLAG",""))</f>
        <v/>
      </c>
    </row>
    <row r="765" customFormat="false" ht="15" hidden="false" customHeight="false" outlineLevel="0" collapsed="false">
      <c r="A765" s="24"/>
      <c r="B765" s="28"/>
      <c r="C765" s="22"/>
      <c r="D765" s="22"/>
      <c r="E765" s="28"/>
      <c r="F765" s="10" t="str">
        <f aca="false">IF(B765="","",SUMIFS($D$5:D765,$B$5:B765,B765))</f>
        <v/>
      </c>
      <c r="G765" s="10" t="str">
        <f aca="false">IF(B765="","",IF(F765&gt;=3,"FLAG",""))</f>
        <v/>
      </c>
    </row>
    <row r="766" customFormat="false" ht="15" hidden="false" customHeight="false" outlineLevel="0" collapsed="false">
      <c r="A766" s="24"/>
      <c r="B766" s="28"/>
      <c r="C766" s="22"/>
      <c r="D766" s="22"/>
      <c r="E766" s="28"/>
      <c r="F766" s="10" t="str">
        <f aca="false">IF(B766="","",SUMIFS($D$5:D766,$B$5:B766,B766))</f>
        <v/>
      </c>
      <c r="G766" s="10" t="str">
        <f aca="false">IF(B766="","",IF(F766&gt;=3,"FLAG",""))</f>
        <v/>
      </c>
    </row>
    <row r="767" customFormat="false" ht="15" hidden="false" customHeight="false" outlineLevel="0" collapsed="false">
      <c r="A767" s="24"/>
      <c r="B767" s="28"/>
      <c r="C767" s="22"/>
      <c r="D767" s="22"/>
      <c r="E767" s="28"/>
      <c r="F767" s="10" t="str">
        <f aca="false">IF(B767="","",SUMIFS($D$5:D767,$B$5:B767,B767))</f>
        <v/>
      </c>
      <c r="G767" s="10" t="str">
        <f aca="false">IF(B767="","",IF(F767&gt;=3,"FLAG",""))</f>
        <v/>
      </c>
    </row>
    <row r="768" customFormat="false" ht="15" hidden="false" customHeight="false" outlineLevel="0" collapsed="false">
      <c r="A768" s="24"/>
      <c r="B768" s="28"/>
      <c r="C768" s="22"/>
      <c r="D768" s="22"/>
      <c r="E768" s="28"/>
      <c r="F768" s="10" t="str">
        <f aca="false">IF(B768="","",SUMIFS($D$5:D768,$B$5:B768,B768))</f>
        <v/>
      </c>
      <c r="G768" s="10" t="str">
        <f aca="false">IF(B768="","",IF(F768&gt;=3,"FLAG",""))</f>
        <v/>
      </c>
    </row>
    <row r="769" customFormat="false" ht="15" hidden="false" customHeight="false" outlineLevel="0" collapsed="false">
      <c r="A769" s="24"/>
      <c r="B769" s="28"/>
      <c r="C769" s="22"/>
      <c r="D769" s="22"/>
      <c r="E769" s="28"/>
      <c r="F769" s="10" t="str">
        <f aca="false">IF(B769="","",SUMIFS($D$5:D769,$B$5:B769,B769))</f>
        <v/>
      </c>
      <c r="G769" s="10" t="str">
        <f aca="false">IF(B769="","",IF(F769&gt;=3,"FLAG",""))</f>
        <v/>
      </c>
    </row>
    <row r="770" customFormat="false" ht="15" hidden="false" customHeight="false" outlineLevel="0" collapsed="false">
      <c r="A770" s="24"/>
      <c r="B770" s="28"/>
      <c r="C770" s="22"/>
      <c r="D770" s="22"/>
      <c r="E770" s="28"/>
      <c r="F770" s="10" t="str">
        <f aca="false">IF(B770="","",SUMIFS($D$5:D770,$B$5:B770,B770))</f>
        <v/>
      </c>
      <c r="G770" s="10" t="str">
        <f aca="false">IF(B770="","",IF(F770&gt;=3,"FLAG",""))</f>
        <v/>
      </c>
    </row>
    <row r="771" customFormat="false" ht="15" hidden="false" customHeight="false" outlineLevel="0" collapsed="false">
      <c r="A771" s="24"/>
      <c r="B771" s="28"/>
      <c r="C771" s="22"/>
      <c r="D771" s="22"/>
      <c r="E771" s="28"/>
      <c r="F771" s="10" t="str">
        <f aca="false">IF(B771="","",SUMIFS($D$5:D771,$B$5:B771,B771))</f>
        <v/>
      </c>
      <c r="G771" s="10" t="str">
        <f aca="false">IF(B771="","",IF(F771&gt;=3,"FLAG",""))</f>
        <v/>
      </c>
    </row>
    <row r="772" customFormat="false" ht="15" hidden="false" customHeight="false" outlineLevel="0" collapsed="false">
      <c r="A772" s="24"/>
      <c r="B772" s="28"/>
      <c r="C772" s="22"/>
      <c r="D772" s="22"/>
      <c r="E772" s="28"/>
      <c r="F772" s="10" t="str">
        <f aca="false">IF(B772="","",SUMIFS($D$5:D772,$B$5:B772,B772))</f>
        <v/>
      </c>
      <c r="G772" s="10" t="str">
        <f aca="false">IF(B772="","",IF(F772&gt;=3,"FLAG",""))</f>
        <v/>
      </c>
    </row>
    <row r="773" customFormat="false" ht="15" hidden="false" customHeight="false" outlineLevel="0" collapsed="false">
      <c r="A773" s="24"/>
      <c r="B773" s="28"/>
      <c r="C773" s="22"/>
      <c r="D773" s="22"/>
      <c r="E773" s="28"/>
      <c r="F773" s="10" t="str">
        <f aca="false">IF(B773="","",SUMIFS($D$5:D773,$B$5:B773,B773))</f>
        <v/>
      </c>
      <c r="G773" s="10" t="str">
        <f aca="false">IF(B773="","",IF(F773&gt;=3,"FLAG",""))</f>
        <v/>
      </c>
    </row>
    <row r="774" customFormat="false" ht="15" hidden="false" customHeight="false" outlineLevel="0" collapsed="false">
      <c r="A774" s="24"/>
      <c r="B774" s="28"/>
      <c r="C774" s="22"/>
      <c r="D774" s="22"/>
      <c r="E774" s="28"/>
      <c r="F774" s="10" t="str">
        <f aca="false">IF(B774="","",SUMIFS($D$5:D774,$B$5:B774,B774))</f>
        <v/>
      </c>
      <c r="G774" s="10" t="str">
        <f aca="false">IF(B774="","",IF(F774&gt;=3,"FLAG",""))</f>
        <v/>
      </c>
    </row>
    <row r="775" customFormat="false" ht="15" hidden="false" customHeight="false" outlineLevel="0" collapsed="false">
      <c r="A775" s="24"/>
      <c r="B775" s="28"/>
      <c r="C775" s="22"/>
      <c r="D775" s="22"/>
      <c r="E775" s="28"/>
      <c r="F775" s="10" t="str">
        <f aca="false">IF(B775="","",SUMIFS($D$5:D775,$B$5:B775,B775))</f>
        <v/>
      </c>
      <c r="G775" s="10" t="str">
        <f aca="false">IF(B775="","",IF(F775&gt;=3,"FLAG",""))</f>
        <v/>
      </c>
    </row>
    <row r="776" customFormat="false" ht="15" hidden="false" customHeight="false" outlineLevel="0" collapsed="false">
      <c r="A776" s="24"/>
      <c r="B776" s="28"/>
      <c r="C776" s="22"/>
      <c r="D776" s="22"/>
      <c r="E776" s="28"/>
      <c r="F776" s="10" t="str">
        <f aca="false">IF(B776="","",SUMIFS($D$5:D776,$B$5:B776,B776))</f>
        <v/>
      </c>
      <c r="G776" s="10" t="str">
        <f aca="false">IF(B776="","",IF(F776&gt;=3,"FLAG",""))</f>
        <v/>
      </c>
    </row>
    <row r="777" customFormat="false" ht="15" hidden="false" customHeight="false" outlineLevel="0" collapsed="false">
      <c r="A777" s="24"/>
      <c r="B777" s="28"/>
      <c r="C777" s="22"/>
      <c r="D777" s="22"/>
      <c r="E777" s="28"/>
      <c r="F777" s="10" t="str">
        <f aca="false">IF(B777="","",SUMIFS($D$5:D777,$B$5:B777,B777))</f>
        <v/>
      </c>
      <c r="G777" s="10" t="str">
        <f aca="false">IF(B777="","",IF(F777&gt;=3,"FLAG",""))</f>
        <v/>
      </c>
    </row>
    <row r="778" customFormat="false" ht="15" hidden="false" customHeight="false" outlineLevel="0" collapsed="false">
      <c r="A778" s="24"/>
      <c r="B778" s="28"/>
      <c r="C778" s="22"/>
      <c r="D778" s="22"/>
      <c r="E778" s="28"/>
      <c r="F778" s="10" t="str">
        <f aca="false">IF(B778="","",SUMIFS($D$5:D778,$B$5:B778,B778))</f>
        <v/>
      </c>
      <c r="G778" s="10" t="str">
        <f aca="false">IF(B778="","",IF(F778&gt;=3,"FLAG",""))</f>
        <v/>
      </c>
    </row>
    <row r="779" customFormat="false" ht="15" hidden="false" customHeight="false" outlineLevel="0" collapsed="false">
      <c r="A779" s="24"/>
      <c r="B779" s="28"/>
      <c r="C779" s="22"/>
      <c r="D779" s="22"/>
      <c r="E779" s="28"/>
      <c r="F779" s="10" t="str">
        <f aca="false">IF(B779="","",SUMIFS($D$5:D779,$B$5:B779,B779))</f>
        <v/>
      </c>
      <c r="G779" s="10" t="str">
        <f aca="false">IF(B779="","",IF(F779&gt;=3,"FLAG",""))</f>
        <v/>
      </c>
    </row>
    <row r="780" customFormat="false" ht="15" hidden="false" customHeight="false" outlineLevel="0" collapsed="false">
      <c r="A780" s="24"/>
      <c r="B780" s="28"/>
      <c r="C780" s="22"/>
      <c r="D780" s="22"/>
      <c r="E780" s="28"/>
      <c r="F780" s="10" t="str">
        <f aca="false">IF(B780="","",SUMIFS($D$5:D780,$B$5:B780,B780))</f>
        <v/>
      </c>
      <c r="G780" s="10" t="str">
        <f aca="false">IF(B780="","",IF(F780&gt;=3,"FLAG",""))</f>
        <v/>
      </c>
    </row>
    <row r="781" customFormat="false" ht="15" hidden="false" customHeight="false" outlineLevel="0" collapsed="false">
      <c r="A781" s="24"/>
      <c r="B781" s="28"/>
      <c r="C781" s="22"/>
      <c r="D781" s="22"/>
      <c r="E781" s="28"/>
      <c r="F781" s="10" t="str">
        <f aca="false">IF(B781="","",SUMIFS($D$5:D781,$B$5:B781,B781))</f>
        <v/>
      </c>
      <c r="G781" s="10" t="str">
        <f aca="false">IF(B781="","",IF(F781&gt;=3,"FLAG",""))</f>
        <v/>
      </c>
    </row>
    <row r="782" customFormat="false" ht="15" hidden="false" customHeight="false" outlineLevel="0" collapsed="false">
      <c r="A782" s="24"/>
      <c r="B782" s="28"/>
      <c r="C782" s="22"/>
      <c r="D782" s="22"/>
      <c r="E782" s="28"/>
      <c r="F782" s="10" t="str">
        <f aca="false">IF(B782="","",SUMIFS($D$5:D782,$B$5:B782,B782))</f>
        <v/>
      </c>
      <c r="G782" s="10" t="str">
        <f aca="false">IF(B782="","",IF(F782&gt;=3,"FLAG",""))</f>
        <v/>
      </c>
    </row>
    <row r="783" customFormat="false" ht="15" hidden="false" customHeight="false" outlineLevel="0" collapsed="false">
      <c r="A783" s="24"/>
      <c r="B783" s="28"/>
      <c r="C783" s="22"/>
      <c r="D783" s="22"/>
      <c r="E783" s="28"/>
      <c r="F783" s="10" t="str">
        <f aca="false">IF(B783="","",SUMIFS($D$5:D783,$B$5:B783,B783))</f>
        <v/>
      </c>
      <c r="G783" s="10" t="str">
        <f aca="false">IF(B783="","",IF(F783&gt;=3,"FLAG",""))</f>
        <v/>
      </c>
    </row>
    <row r="784" customFormat="false" ht="15" hidden="false" customHeight="false" outlineLevel="0" collapsed="false">
      <c r="A784" s="24"/>
      <c r="B784" s="28"/>
      <c r="C784" s="22"/>
      <c r="D784" s="22"/>
      <c r="E784" s="28"/>
      <c r="F784" s="10" t="str">
        <f aca="false">IF(B784="","",SUMIFS($D$5:D784,$B$5:B784,B784))</f>
        <v/>
      </c>
      <c r="G784" s="10" t="str">
        <f aca="false">IF(B784="","",IF(F784&gt;=3,"FLAG",""))</f>
        <v/>
      </c>
    </row>
    <row r="785" customFormat="false" ht="15" hidden="false" customHeight="false" outlineLevel="0" collapsed="false">
      <c r="A785" s="24"/>
      <c r="B785" s="28"/>
      <c r="C785" s="22"/>
      <c r="D785" s="22"/>
      <c r="E785" s="28"/>
      <c r="F785" s="10" t="str">
        <f aca="false">IF(B785="","",SUMIFS($D$5:D785,$B$5:B785,B785))</f>
        <v/>
      </c>
      <c r="G785" s="10" t="str">
        <f aca="false">IF(B785="","",IF(F785&gt;=3,"FLAG",""))</f>
        <v/>
      </c>
    </row>
    <row r="786" customFormat="false" ht="15" hidden="false" customHeight="false" outlineLevel="0" collapsed="false">
      <c r="A786" s="24"/>
      <c r="B786" s="28"/>
      <c r="C786" s="22"/>
      <c r="D786" s="22"/>
      <c r="E786" s="28"/>
      <c r="F786" s="10" t="str">
        <f aca="false">IF(B786="","",SUMIFS($D$5:D786,$B$5:B786,B786))</f>
        <v/>
      </c>
      <c r="G786" s="10" t="str">
        <f aca="false">IF(B786="","",IF(F786&gt;=3,"FLAG",""))</f>
        <v/>
      </c>
    </row>
    <row r="787" customFormat="false" ht="15" hidden="false" customHeight="false" outlineLevel="0" collapsed="false">
      <c r="A787" s="24"/>
      <c r="B787" s="28"/>
      <c r="C787" s="22"/>
      <c r="D787" s="22"/>
      <c r="E787" s="28"/>
      <c r="F787" s="10" t="str">
        <f aca="false">IF(B787="","",SUMIFS($D$5:D787,$B$5:B787,B787))</f>
        <v/>
      </c>
      <c r="G787" s="10" t="str">
        <f aca="false">IF(B787="","",IF(F787&gt;=3,"FLAG",""))</f>
        <v/>
      </c>
    </row>
    <row r="788" customFormat="false" ht="15" hidden="false" customHeight="false" outlineLevel="0" collapsed="false">
      <c r="A788" s="24"/>
      <c r="B788" s="28"/>
      <c r="C788" s="22"/>
      <c r="D788" s="22"/>
      <c r="E788" s="28"/>
      <c r="F788" s="10" t="str">
        <f aca="false">IF(B788="","",SUMIFS($D$5:D788,$B$5:B788,B788))</f>
        <v/>
      </c>
      <c r="G788" s="10" t="str">
        <f aca="false">IF(B788="","",IF(F788&gt;=3,"FLAG",""))</f>
        <v/>
      </c>
    </row>
    <row r="789" customFormat="false" ht="15" hidden="false" customHeight="false" outlineLevel="0" collapsed="false">
      <c r="A789" s="24"/>
      <c r="B789" s="28"/>
      <c r="C789" s="22"/>
      <c r="D789" s="22"/>
      <c r="E789" s="28"/>
      <c r="F789" s="10" t="str">
        <f aca="false">IF(B789="","",SUMIFS($D$5:D789,$B$5:B789,B789))</f>
        <v/>
      </c>
      <c r="G789" s="10" t="str">
        <f aca="false">IF(B789="","",IF(F789&gt;=3,"FLAG",""))</f>
        <v/>
      </c>
    </row>
    <row r="790" customFormat="false" ht="15" hidden="false" customHeight="false" outlineLevel="0" collapsed="false">
      <c r="A790" s="24"/>
      <c r="B790" s="28"/>
      <c r="C790" s="22"/>
      <c r="D790" s="22"/>
      <c r="E790" s="28"/>
      <c r="F790" s="10" t="str">
        <f aca="false">IF(B790="","",SUMIFS($D$5:D790,$B$5:B790,B790))</f>
        <v/>
      </c>
      <c r="G790" s="10" t="str">
        <f aca="false">IF(B790="","",IF(F790&gt;=3,"FLAG",""))</f>
        <v/>
      </c>
    </row>
    <row r="791" customFormat="false" ht="15" hidden="false" customHeight="false" outlineLevel="0" collapsed="false">
      <c r="A791" s="24"/>
      <c r="B791" s="28"/>
      <c r="C791" s="22"/>
      <c r="D791" s="22"/>
      <c r="E791" s="28"/>
      <c r="F791" s="10" t="str">
        <f aca="false">IF(B791="","",SUMIFS($D$5:D791,$B$5:B791,B791))</f>
        <v/>
      </c>
      <c r="G791" s="10" t="str">
        <f aca="false">IF(B791="","",IF(F791&gt;=3,"FLAG",""))</f>
        <v/>
      </c>
    </row>
    <row r="792" customFormat="false" ht="15" hidden="false" customHeight="false" outlineLevel="0" collapsed="false">
      <c r="A792" s="24"/>
      <c r="B792" s="28"/>
      <c r="C792" s="22"/>
      <c r="D792" s="22"/>
      <c r="E792" s="28"/>
      <c r="F792" s="10" t="str">
        <f aca="false">IF(B792="","",SUMIFS($D$5:D792,$B$5:B792,B792))</f>
        <v/>
      </c>
      <c r="G792" s="10" t="str">
        <f aca="false">IF(B792="","",IF(F792&gt;=3,"FLAG",""))</f>
        <v/>
      </c>
    </row>
    <row r="793" customFormat="false" ht="15" hidden="false" customHeight="false" outlineLevel="0" collapsed="false">
      <c r="A793" s="24"/>
      <c r="B793" s="28"/>
      <c r="C793" s="22"/>
      <c r="D793" s="22"/>
      <c r="E793" s="28"/>
      <c r="F793" s="10" t="str">
        <f aca="false">IF(B793="","",SUMIFS($D$5:D793,$B$5:B793,B793))</f>
        <v/>
      </c>
      <c r="G793" s="10" t="str">
        <f aca="false">IF(B793="","",IF(F793&gt;=3,"FLAG",""))</f>
        <v/>
      </c>
    </row>
    <row r="794" customFormat="false" ht="15" hidden="false" customHeight="false" outlineLevel="0" collapsed="false">
      <c r="A794" s="24"/>
      <c r="B794" s="28"/>
      <c r="C794" s="22"/>
      <c r="D794" s="22"/>
      <c r="E794" s="28"/>
      <c r="F794" s="10" t="str">
        <f aca="false">IF(B794="","",SUMIFS($D$5:D794,$B$5:B794,B794))</f>
        <v/>
      </c>
      <c r="G794" s="10" t="str">
        <f aca="false">IF(B794="","",IF(F794&gt;=3,"FLAG",""))</f>
        <v/>
      </c>
    </row>
    <row r="795" customFormat="false" ht="15" hidden="false" customHeight="false" outlineLevel="0" collapsed="false">
      <c r="A795" s="24"/>
      <c r="B795" s="28"/>
      <c r="C795" s="22"/>
      <c r="D795" s="22"/>
      <c r="E795" s="28"/>
      <c r="F795" s="10" t="str">
        <f aca="false">IF(B795="","",SUMIFS($D$5:D795,$B$5:B795,B795))</f>
        <v/>
      </c>
      <c r="G795" s="10" t="str">
        <f aca="false">IF(B795="","",IF(F795&gt;=3,"FLAG",""))</f>
        <v/>
      </c>
    </row>
    <row r="796" customFormat="false" ht="15" hidden="false" customHeight="false" outlineLevel="0" collapsed="false">
      <c r="A796" s="24"/>
      <c r="B796" s="28"/>
      <c r="C796" s="22"/>
      <c r="D796" s="22"/>
      <c r="E796" s="28"/>
      <c r="F796" s="10" t="str">
        <f aca="false">IF(B796="","",SUMIFS($D$5:D796,$B$5:B796,B796))</f>
        <v/>
      </c>
      <c r="G796" s="10" t="str">
        <f aca="false">IF(B796="","",IF(F796&gt;=3,"FLAG",""))</f>
        <v/>
      </c>
    </row>
    <row r="797" customFormat="false" ht="15" hidden="false" customHeight="false" outlineLevel="0" collapsed="false">
      <c r="A797" s="24"/>
      <c r="B797" s="28"/>
      <c r="C797" s="22"/>
      <c r="D797" s="22"/>
      <c r="E797" s="28"/>
      <c r="F797" s="10" t="str">
        <f aca="false">IF(B797="","",SUMIFS($D$5:D797,$B$5:B797,B797))</f>
        <v/>
      </c>
      <c r="G797" s="10" t="str">
        <f aca="false">IF(B797="","",IF(F797&gt;=3,"FLAG",""))</f>
        <v/>
      </c>
    </row>
    <row r="798" customFormat="false" ht="15" hidden="false" customHeight="false" outlineLevel="0" collapsed="false">
      <c r="A798" s="24"/>
      <c r="B798" s="28"/>
      <c r="C798" s="22"/>
      <c r="D798" s="22"/>
      <c r="E798" s="28"/>
      <c r="F798" s="10" t="str">
        <f aca="false">IF(B798="","",SUMIFS($D$5:D798,$B$5:B798,B798))</f>
        <v/>
      </c>
      <c r="G798" s="10" t="str">
        <f aca="false">IF(B798="","",IF(F798&gt;=3,"FLAG",""))</f>
        <v/>
      </c>
    </row>
    <row r="799" customFormat="false" ht="15" hidden="false" customHeight="false" outlineLevel="0" collapsed="false">
      <c r="A799" s="24"/>
      <c r="B799" s="28"/>
      <c r="C799" s="22"/>
      <c r="D799" s="22"/>
      <c r="E799" s="28"/>
      <c r="F799" s="10" t="str">
        <f aca="false">IF(B799="","",SUMIFS($D$5:D799,$B$5:B799,B799))</f>
        <v/>
      </c>
      <c r="G799" s="10" t="str">
        <f aca="false">IF(B799="","",IF(F799&gt;=3,"FLAG",""))</f>
        <v/>
      </c>
    </row>
    <row r="800" customFormat="false" ht="15" hidden="false" customHeight="false" outlineLevel="0" collapsed="false">
      <c r="A800" s="24"/>
      <c r="B800" s="28"/>
      <c r="C800" s="22"/>
      <c r="D800" s="22"/>
      <c r="E800" s="28"/>
      <c r="F800" s="10" t="str">
        <f aca="false">IF(B800="","",SUMIFS($D$5:D800,$B$5:B800,B800))</f>
        <v/>
      </c>
      <c r="G800" s="10" t="str">
        <f aca="false">IF(B800="","",IF(F800&gt;=3,"FLAG",""))</f>
        <v/>
      </c>
    </row>
    <row r="801" customFormat="false" ht="15" hidden="false" customHeight="false" outlineLevel="0" collapsed="false">
      <c r="A801" s="24"/>
      <c r="B801" s="28"/>
      <c r="C801" s="22"/>
      <c r="D801" s="22"/>
      <c r="E801" s="28"/>
      <c r="F801" s="10" t="str">
        <f aca="false">IF(B801="","",SUMIFS($D$5:D801,$B$5:B801,B801))</f>
        <v/>
      </c>
      <c r="G801" s="10" t="str">
        <f aca="false">IF(B801="","",IF(F801&gt;=3,"FLAG",""))</f>
        <v/>
      </c>
    </row>
    <row r="802" customFormat="false" ht="15" hidden="false" customHeight="false" outlineLevel="0" collapsed="false">
      <c r="A802" s="24"/>
      <c r="B802" s="28"/>
      <c r="C802" s="22"/>
      <c r="D802" s="22"/>
      <c r="E802" s="28"/>
      <c r="F802" s="10" t="str">
        <f aca="false">IF(B802="","",SUMIFS($D$5:D802,$B$5:B802,B802))</f>
        <v/>
      </c>
      <c r="G802" s="10" t="str">
        <f aca="false">IF(B802="","",IF(F802&gt;=3,"FLAG",""))</f>
        <v/>
      </c>
    </row>
    <row r="803" customFormat="false" ht="15" hidden="false" customHeight="false" outlineLevel="0" collapsed="false">
      <c r="A803" s="24"/>
      <c r="B803" s="28"/>
      <c r="C803" s="22"/>
      <c r="D803" s="22"/>
      <c r="E803" s="28"/>
      <c r="F803" s="10" t="str">
        <f aca="false">IF(B803="","",SUMIFS($D$5:D803,$B$5:B803,B803))</f>
        <v/>
      </c>
      <c r="G803" s="10" t="str">
        <f aca="false">IF(B803="","",IF(F803&gt;=3,"FLAG",""))</f>
        <v/>
      </c>
    </row>
    <row r="804" customFormat="false" ht="15" hidden="false" customHeight="false" outlineLevel="0" collapsed="false">
      <c r="A804" s="24"/>
      <c r="B804" s="28"/>
      <c r="C804" s="22"/>
      <c r="D804" s="22"/>
      <c r="E804" s="28"/>
      <c r="F804" s="10" t="str">
        <f aca="false">IF(B804="","",SUMIFS($D$5:D804,$B$5:B804,B804))</f>
        <v/>
      </c>
      <c r="G804" s="10" t="str">
        <f aca="false">IF(B804="","",IF(F804&gt;=3,"FLAG",""))</f>
        <v/>
      </c>
    </row>
    <row r="805" customFormat="false" ht="15" hidden="false" customHeight="false" outlineLevel="0" collapsed="false">
      <c r="A805" s="24"/>
      <c r="B805" s="28"/>
      <c r="C805" s="22"/>
      <c r="D805" s="22"/>
      <c r="E805" s="28"/>
      <c r="F805" s="10" t="str">
        <f aca="false">IF(B805="","",SUMIFS($D$5:D805,$B$5:B805,B805))</f>
        <v/>
      </c>
      <c r="G805" s="10" t="str">
        <f aca="false">IF(B805="","",IF(F805&gt;=3,"FLAG",""))</f>
        <v/>
      </c>
    </row>
    <row r="806" customFormat="false" ht="15" hidden="false" customHeight="false" outlineLevel="0" collapsed="false">
      <c r="A806" s="24"/>
      <c r="B806" s="28"/>
      <c r="C806" s="22"/>
      <c r="D806" s="22"/>
      <c r="E806" s="28"/>
      <c r="F806" s="10" t="str">
        <f aca="false">IF(B806="","",SUMIFS($D$5:D806,$B$5:B806,B806))</f>
        <v/>
      </c>
      <c r="G806" s="10" t="str">
        <f aca="false">IF(B806="","",IF(F806&gt;=3,"FLAG",""))</f>
        <v/>
      </c>
    </row>
    <row r="807" customFormat="false" ht="15" hidden="false" customHeight="false" outlineLevel="0" collapsed="false">
      <c r="A807" s="24"/>
      <c r="B807" s="28"/>
      <c r="C807" s="22"/>
      <c r="D807" s="22"/>
      <c r="E807" s="28"/>
      <c r="F807" s="10" t="str">
        <f aca="false">IF(B807="","",SUMIFS($D$5:D807,$B$5:B807,B807))</f>
        <v/>
      </c>
      <c r="G807" s="10" t="str">
        <f aca="false">IF(B807="","",IF(F807&gt;=3,"FLAG",""))</f>
        <v/>
      </c>
    </row>
    <row r="808" customFormat="false" ht="15" hidden="false" customHeight="false" outlineLevel="0" collapsed="false">
      <c r="A808" s="24"/>
      <c r="B808" s="28"/>
      <c r="C808" s="22"/>
      <c r="D808" s="22"/>
      <c r="E808" s="28"/>
      <c r="F808" s="10" t="str">
        <f aca="false">IF(B808="","",SUMIFS($D$5:D808,$B$5:B808,B808))</f>
        <v/>
      </c>
      <c r="G808" s="10" t="str">
        <f aca="false">IF(B808="","",IF(F808&gt;=3,"FLAG",""))</f>
        <v/>
      </c>
    </row>
    <row r="809" customFormat="false" ht="15" hidden="false" customHeight="false" outlineLevel="0" collapsed="false">
      <c r="A809" s="24"/>
      <c r="B809" s="28"/>
      <c r="C809" s="22"/>
      <c r="D809" s="22"/>
      <c r="E809" s="28"/>
      <c r="F809" s="10" t="str">
        <f aca="false">IF(B809="","",SUMIFS($D$5:D809,$B$5:B809,B809))</f>
        <v/>
      </c>
      <c r="G809" s="10" t="str">
        <f aca="false">IF(B809="","",IF(F809&gt;=3,"FLAG",""))</f>
        <v/>
      </c>
    </row>
    <row r="810" customFormat="false" ht="15" hidden="false" customHeight="false" outlineLevel="0" collapsed="false">
      <c r="A810" s="24"/>
      <c r="B810" s="28"/>
      <c r="C810" s="22"/>
      <c r="D810" s="22"/>
      <c r="E810" s="28"/>
      <c r="F810" s="10" t="str">
        <f aca="false">IF(B810="","",SUMIFS($D$5:D810,$B$5:B810,B810))</f>
        <v/>
      </c>
      <c r="G810" s="10" t="str">
        <f aca="false">IF(B810="","",IF(F810&gt;=3,"FLAG",""))</f>
        <v/>
      </c>
    </row>
    <row r="811" customFormat="false" ht="15" hidden="false" customHeight="false" outlineLevel="0" collapsed="false">
      <c r="A811" s="24"/>
      <c r="B811" s="28"/>
      <c r="C811" s="22"/>
      <c r="D811" s="22"/>
      <c r="E811" s="28"/>
      <c r="F811" s="10" t="str">
        <f aca="false">IF(B811="","",SUMIFS($D$5:D811,$B$5:B811,B811))</f>
        <v/>
      </c>
      <c r="G811" s="10" t="str">
        <f aca="false">IF(B811="","",IF(F811&gt;=3,"FLAG",""))</f>
        <v/>
      </c>
    </row>
    <row r="812" customFormat="false" ht="15" hidden="false" customHeight="false" outlineLevel="0" collapsed="false">
      <c r="A812" s="24"/>
      <c r="B812" s="28"/>
      <c r="C812" s="22"/>
      <c r="D812" s="22"/>
      <c r="E812" s="28"/>
      <c r="F812" s="10" t="str">
        <f aca="false">IF(B812="","",SUMIFS($D$5:D812,$B$5:B812,B812))</f>
        <v/>
      </c>
      <c r="G812" s="10" t="str">
        <f aca="false">IF(B812="","",IF(F812&gt;=3,"FLAG",""))</f>
        <v/>
      </c>
    </row>
    <row r="813" customFormat="false" ht="15" hidden="false" customHeight="false" outlineLevel="0" collapsed="false">
      <c r="A813" s="24"/>
      <c r="B813" s="28"/>
      <c r="C813" s="22"/>
      <c r="D813" s="22"/>
      <c r="E813" s="28"/>
      <c r="F813" s="10" t="str">
        <f aca="false">IF(B813="","",SUMIFS($D$5:D813,$B$5:B813,B813))</f>
        <v/>
      </c>
      <c r="G813" s="10" t="str">
        <f aca="false">IF(B813="","",IF(F813&gt;=3,"FLAG",""))</f>
        <v/>
      </c>
    </row>
    <row r="814" customFormat="false" ht="15" hidden="false" customHeight="false" outlineLevel="0" collapsed="false">
      <c r="A814" s="24"/>
      <c r="B814" s="28"/>
      <c r="C814" s="22"/>
      <c r="D814" s="22"/>
      <c r="E814" s="28"/>
      <c r="F814" s="10" t="str">
        <f aca="false">IF(B814="","",SUMIFS($D$5:D814,$B$5:B814,B814))</f>
        <v/>
      </c>
      <c r="G814" s="10" t="str">
        <f aca="false">IF(B814="","",IF(F814&gt;=3,"FLAG",""))</f>
        <v/>
      </c>
    </row>
    <row r="815" customFormat="false" ht="15" hidden="false" customHeight="false" outlineLevel="0" collapsed="false">
      <c r="A815" s="24"/>
      <c r="B815" s="28"/>
      <c r="C815" s="22"/>
      <c r="D815" s="22"/>
      <c r="E815" s="28"/>
      <c r="F815" s="10" t="str">
        <f aca="false">IF(B815="","",SUMIFS($D$5:D815,$B$5:B815,B815))</f>
        <v/>
      </c>
      <c r="G815" s="10" t="str">
        <f aca="false">IF(B815="","",IF(F815&gt;=3,"FLAG",""))</f>
        <v/>
      </c>
    </row>
    <row r="816" customFormat="false" ht="15" hidden="false" customHeight="false" outlineLevel="0" collapsed="false">
      <c r="A816" s="24"/>
      <c r="B816" s="28"/>
      <c r="C816" s="22"/>
      <c r="D816" s="22"/>
      <c r="E816" s="28"/>
      <c r="F816" s="10" t="str">
        <f aca="false">IF(B816="","",SUMIFS($D$5:D816,$B$5:B816,B816))</f>
        <v/>
      </c>
      <c r="G816" s="10" t="str">
        <f aca="false">IF(B816="","",IF(F816&gt;=3,"FLAG",""))</f>
        <v/>
      </c>
    </row>
    <row r="817" customFormat="false" ht="15" hidden="false" customHeight="false" outlineLevel="0" collapsed="false">
      <c r="A817" s="24"/>
      <c r="B817" s="28"/>
      <c r="C817" s="22"/>
      <c r="D817" s="22"/>
      <c r="E817" s="28"/>
      <c r="F817" s="10" t="str">
        <f aca="false">IF(B817="","",SUMIFS($D$5:D817,$B$5:B817,B817))</f>
        <v/>
      </c>
      <c r="G817" s="10" t="str">
        <f aca="false">IF(B817="","",IF(F817&gt;=3,"FLAG",""))</f>
        <v/>
      </c>
    </row>
    <row r="818" customFormat="false" ht="15" hidden="false" customHeight="false" outlineLevel="0" collapsed="false">
      <c r="A818" s="24"/>
      <c r="B818" s="28"/>
      <c r="C818" s="22"/>
      <c r="D818" s="22"/>
      <c r="E818" s="28"/>
      <c r="F818" s="10" t="str">
        <f aca="false">IF(B818="","",SUMIFS($D$5:D818,$B$5:B818,B818))</f>
        <v/>
      </c>
      <c r="G818" s="10" t="str">
        <f aca="false">IF(B818="","",IF(F818&gt;=3,"FLAG",""))</f>
        <v/>
      </c>
    </row>
    <row r="819" customFormat="false" ht="15" hidden="false" customHeight="false" outlineLevel="0" collapsed="false">
      <c r="A819" s="24"/>
      <c r="B819" s="28"/>
      <c r="C819" s="22"/>
      <c r="D819" s="22"/>
      <c r="E819" s="28"/>
      <c r="F819" s="10" t="str">
        <f aca="false">IF(B819="","",SUMIFS($D$5:D819,$B$5:B819,B819))</f>
        <v/>
      </c>
      <c r="G819" s="10" t="str">
        <f aca="false">IF(B819="","",IF(F819&gt;=3,"FLAG",""))</f>
        <v/>
      </c>
    </row>
    <row r="820" customFormat="false" ht="15" hidden="false" customHeight="false" outlineLevel="0" collapsed="false">
      <c r="A820" s="24"/>
      <c r="B820" s="28"/>
      <c r="C820" s="22"/>
      <c r="D820" s="22"/>
      <c r="E820" s="28"/>
      <c r="F820" s="10" t="str">
        <f aca="false">IF(B820="","",SUMIFS($D$5:D820,$B$5:B820,B820))</f>
        <v/>
      </c>
      <c r="G820" s="10" t="str">
        <f aca="false">IF(B820="","",IF(F820&gt;=3,"FLAG",""))</f>
        <v/>
      </c>
    </row>
    <row r="821" customFormat="false" ht="15" hidden="false" customHeight="false" outlineLevel="0" collapsed="false">
      <c r="A821" s="24"/>
      <c r="B821" s="28"/>
      <c r="C821" s="22"/>
      <c r="D821" s="22"/>
      <c r="E821" s="28"/>
      <c r="F821" s="10" t="str">
        <f aca="false">IF(B821="","",SUMIFS($D$5:D821,$B$5:B821,B821))</f>
        <v/>
      </c>
      <c r="G821" s="10" t="str">
        <f aca="false">IF(B821="","",IF(F821&gt;=3,"FLAG",""))</f>
        <v/>
      </c>
    </row>
    <row r="822" customFormat="false" ht="15" hidden="false" customHeight="false" outlineLevel="0" collapsed="false">
      <c r="A822" s="24"/>
      <c r="B822" s="28"/>
      <c r="C822" s="22"/>
      <c r="D822" s="22"/>
      <c r="E822" s="28"/>
      <c r="F822" s="10" t="str">
        <f aca="false">IF(B822="","",SUMIFS($D$5:D822,$B$5:B822,B822))</f>
        <v/>
      </c>
      <c r="G822" s="10" t="str">
        <f aca="false">IF(B822="","",IF(F822&gt;=3,"FLAG",""))</f>
        <v/>
      </c>
    </row>
    <row r="823" customFormat="false" ht="15" hidden="false" customHeight="false" outlineLevel="0" collapsed="false">
      <c r="A823" s="24"/>
      <c r="B823" s="28"/>
      <c r="C823" s="22"/>
      <c r="D823" s="22"/>
      <c r="E823" s="28"/>
      <c r="F823" s="10" t="str">
        <f aca="false">IF(B823="","",SUMIFS($D$5:D823,$B$5:B823,B823))</f>
        <v/>
      </c>
      <c r="G823" s="10" t="str">
        <f aca="false">IF(B823="","",IF(F823&gt;=3,"FLAG",""))</f>
        <v/>
      </c>
    </row>
    <row r="824" customFormat="false" ht="15" hidden="false" customHeight="false" outlineLevel="0" collapsed="false">
      <c r="A824" s="24"/>
      <c r="B824" s="28"/>
      <c r="C824" s="22"/>
      <c r="D824" s="22"/>
      <c r="E824" s="28"/>
      <c r="F824" s="10" t="str">
        <f aca="false">IF(B824="","",SUMIFS($D$5:D824,$B$5:B824,B824))</f>
        <v/>
      </c>
      <c r="G824" s="10" t="str">
        <f aca="false">IF(B824="","",IF(F824&gt;=3,"FLAG",""))</f>
        <v/>
      </c>
    </row>
    <row r="825" customFormat="false" ht="15" hidden="false" customHeight="false" outlineLevel="0" collapsed="false">
      <c r="A825" s="24"/>
      <c r="B825" s="28"/>
      <c r="C825" s="22"/>
      <c r="D825" s="22"/>
      <c r="E825" s="28"/>
      <c r="F825" s="10" t="str">
        <f aca="false">IF(B825="","",SUMIFS($D$5:D825,$B$5:B825,B825))</f>
        <v/>
      </c>
      <c r="G825" s="10" t="str">
        <f aca="false">IF(B825="","",IF(F825&gt;=3,"FLAG",""))</f>
        <v/>
      </c>
    </row>
    <row r="826" customFormat="false" ht="15" hidden="false" customHeight="false" outlineLevel="0" collapsed="false">
      <c r="A826" s="24"/>
      <c r="B826" s="28"/>
      <c r="C826" s="22"/>
      <c r="D826" s="22"/>
      <c r="E826" s="28"/>
      <c r="F826" s="10" t="str">
        <f aca="false">IF(B826="","",SUMIFS($D$5:D826,$B$5:B826,B826))</f>
        <v/>
      </c>
      <c r="G826" s="10" t="str">
        <f aca="false">IF(B826="","",IF(F826&gt;=3,"FLAG",""))</f>
        <v/>
      </c>
    </row>
    <row r="827" customFormat="false" ht="15" hidden="false" customHeight="false" outlineLevel="0" collapsed="false">
      <c r="A827" s="24"/>
      <c r="B827" s="28"/>
      <c r="C827" s="22"/>
      <c r="D827" s="22"/>
      <c r="E827" s="28"/>
      <c r="F827" s="10" t="str">
        <f aca="false">IF(B827="","",SUMIFS($D$5:D827,$B$5:B827,B827))</f>
        <v/>
      </c>
      <c r="G827" s="10" t="str">
        <f aca="false">IF(B827="","",IF(F827&gt;=3,"FLAG",""))</f>
        <v/>
      </c>
    </row>
    <row r="828" customFormat="false" ht="15" hidden="false" customHeight="false" outlineLevel="0" collapsed="false">
      <c r="A828" s="24"/>
      <c r="B828" s="28"/>
      <c r="C828" s="22"/>
      <c r="D828" s="22"/>
      <c r="E828" s="28"/>
      <c r="F828" s="10" t="str">
        <f aca="false">IF(B828="","",SUMIFS($D$5:D828,$B$5:B828,B828))</f>
        <v/>
      </c>
      <c r="G828" s="10" t="str">
        <f aca="false">IF(B828="","",IF(F828&gt;=3,"FLAG",""))</f>
        <v/>
      </c>
    </row>
    <row r="829" customFormat="false" ht="15" hidden="false" customHeight="false" outlineLevel="0" collapsed="false">
      <c r="A829" s="24"/>
      <c r="B829" s="28"/>
      <c r="C829" s="22"/>
      <c r="D829" s="22"/>
      <c r="E829" s="28"/>
      <c r="F829" s="10" t="str">
        <f aca="false">IF(B829="","",SUMIFS($D$5:D829,$B$5:B829,B829))</f>
        <v/>
      </c>
      <c r="G829" s="10" t="str">
        <f aca="false">IF(B829="","",IF(F829&gt;=3,"FLAG",""))</f>
        <v/>
      </c>
    </row>
    <row r="830" customFormat="false" ht="15" hidden="false" customHeight="false" outlineLevel="0" collapsed="false">
      <c r="A830" s="24"/>
      <c r="B830" s="28"/>
      <c r="C830" s="22"/>
      <c r="D830" s="22"/>
      <c r="E830" s="28"/>
      <c r="F830" s="10" t="str">
        <f aca="false">IF(B830="","",SUMIFS($D$5:D830,$B$5:B830,B830))</f>
        <v/>
      </c>
      <c r="G830" s="10" t="str">
        <f aca="false">IF(B830="","",IF(F830&gt;=3,"FLAG",""))</f>
        <v/>
      </c>
    </row>
    <row r="831" customFormat="false" ht="15" hidden="false" customHeight="false" outlineLevel="0" collapsed="false">
      <c r="A831" s="24"/>
      <c r="B831" s="28"/>
      <c r="C831" s="22"/>
      <c r="D831" s="22"/>
      <c r="E831" s="28"/>
      <c r="F831" s="10" t="str">
        <f aca="false">IF(B831="","",SUMIFS($D$5:D831,$B$5:B831,B831))</f>
        <v/>
      </c>
      <c r="G831" s="10" t="str">
        <f aca="false">IF(B831="","",IF(F831&gt;=3,"FLAG",""))</f>
        <v/>
      </c>
    </row>
    <row r="832" customFormat="false" ht="15" hidden="false" customHeight="false" outlineLevel="0" collapsed="false">
      <c r="A832" s="24"/>
      <c r="B832" s="28"/>
      <c r="C832" s="22"/>
      <c r="D832" s="22"/>
      <c r="E832" s="28"/>
      <c r="F832" s="10" t="str">
        <f aca="false">IF(B832="","",SUMIFS($D$5:D832,$B$5:B832,B832))</f>
        <v/>
      </c>
      <c r="G832" s="10" t="str">
        <f aca="false">IF(B832="","",IF(F832&gt;=3,"FLAG",""))</f>
        <v/>
      </c>
    </row>
    <row r="833" customFormat="false" ht="15" hidden="false" customHeight="false" outlineLevel="0" collapsed="false">
      <c r="A833" s="24"/>
      <c r="B833" s="28"/>
      <c r="C833" s="22"/>
      <c r="D833" s="22"/>
      <c r="E833" s="28"/>
      <c r="F833" s="10" t="str">
        <f aca="false">IF(B833="","",SUMIFS($D$5:D833,$B$5:B833,B833))</f>
        <v/>
      </c>
      <c r="G833" s="10" t="str">
        <f aca="false">IF(B833="","",IF(F833&gt;=3,"FLAG",""))</f>
        <v/>
      </c>
    </row>
    <row r="834" customFormat="false" ht="15" hidden="false" customHeight="false" outlineLevel="0" collapsed="false">
      <c r="A834" s="24"/>
      <c r="B834" s="28"/>
      <c r="C834" s="22"/>
      <c r="D834" s="22"/>
      <c r="E834" s="28"/>
      <c r="F834" s="10" t="str">
        <f aca="false">IF(B834="","",SUMIFS($D$5:D834,$B$5:B834,B834))</f>
        <v/>
      </c>
      <c r="G834" s="10" t="str">
        <f aca="false">IF(B834="","",IF(F834&gt;=3,"FLAG",""))</f>
        <v/>
      </c>
    </row>
    <row r="835" customFormat="false" ht="15" hidden="false" customHeight="false" outlineLevel="0" collapsed="false">
      <c r="A835" s="24"/>
      <c r="B835" s="28"/>
      <c r="C835" s="22"/>
      <c r="D835" s="22"/>
      <c r="E835" s="28"/>
      <c r="F835" s="10" t="str">
        <f aca="false">IF(B835="","",SUMIFS($D$5:D835,$B$5:B835,B835))</f>
        <v/>
      </c>
      <c r="G835" s="10" t="str">
        <f aca="false">IF(B835="","",IF(F835&gt;=3,"FLAG",""))</f>
        <v/>
      </c>
    </row>
    <row r="836" customFormat="false" ht="15" hidden="false" customHeight="false" outlineLevel="0" collapsed="false">
      <c r="A836" s="24"/>
      <c r="B836" s="28"/>
      <c r="C836" s="22"/>
      <c r="D836" s="22"/>
      <c r="E836" s="28"/>
      <c r="F836" s="10" t="str">
        <f aca="false">IF(B836="","",SUMIFS($D$5:D836,$B$5:B836,B836))</f>
        <v/>
      </c>
      <c r="G836" s="10" t="str">
        <f aca="false">IF(B836="","",IF(F836&gt;=3,"FLAG",""))</f>
        <v/>
      </c>
    </row>
    <row r="837" customFormat="false" ht="15" hidden="false" customHeight="false" outlineLevel="0" collapsed="false">
      <c r="A837" s="24"/>
      <c r="B837" s="28"/>
      <c r="C837" s="22"/>
      <c r="D837" s="22"/>
      <c r="E837" s="28"/>
      <c r="F837" s="10" t="str">
        <f aca="false">IF(B837="","",SUMIFS($D$5:D837,$B$5:B837,B837))</f>
        <v/>
      </c>
      <c r="G837" s="10" t="str">
        <f aca="false">IF(B837="","",IF(F837&gt;=3,"FLAG",""))</f>
        <v/>
      </c>
    </row>
    <row r="838" customFormat="false" ht="15" hidden="false" customHeight="false" outlineLevel="0" collapsed="false">
      <c r="A838" s="24"/>
      <c r="B838" s="28"/>
      <c r="C838" s="22"/>
      <c r="D838" s="22"/>
      <c r="E838" s="28"/>
      <c r="F838" s="10" t="str">
        <f aca="false">IF(B838="","",SUMIFS($D$5:D838,$B$5:B838,B838))</f>
        <v/>
      </c>
      <c r="G838" s="10" t="str">
        <f aca="false">IF(B838="","",IF(F838&gt;=3,"FLAG",""))</f>
        <v/>
      </c>
    </row>
    <row r="839" customFormat="false" ht="15" hidden="false" customHeight="false" outlineLevel="0" collapsed="false">
      <c r="A839" s="24"/>
      <c r="B839" s="28"/>
      <c r="C839" s="22"/>
      <c r="D839" s="22"/>
      <c r="E839" s="28"/>
      <c r="F839" s="10" t="str">
        <f aca="false">IF(B839="","",SUMIFS($D$5:D839,$B$5:B839,B839))</f>
        <v/>
      </c>
      <c r="G839" s="10" t="str">
        <f aca="false">IF(B839="","",IF(F839&gt;=3,"FLAG",""))</f>
        <v/>
      </c>
    </row>
    <row r="840" customFormat="false" ht="15" hidden="false" customHeight="false" outlineLevel="0" collapsed="false">
      <c r="A840" s="24"/>
      <c r="B840" s="28"/>
      <c r="C840" s="22"/>
      <c r="D840" s="22"/>
      <c r="E840" s="28"/>
      <c r="F840" s="10" t="str">
        <f aca="false">IF(B840="","",SUMIFS($D$5:D840,$B$5:B840,B840))</f>
        <v/>
      </c>
      <c r="G840" s="10" t="str">
        <f aca="false">IF(B840="","",IF(F840&gt;=3,"FLAG",""))</f>
        <v/>
      </c>
    </row>
    <row r="841" customFormat="false" ht="15" hidden="false" customHeight="false" outlineLevel="0" collapsed="false">
      <c r="A841" s="24"/>
      <c r="B841" s="28"/>
      <c r="C841" s="22"/>
      <c r="D841" s="22"/>
      <c r="E841" s="28"/>
      <c r="F841" s="10" t="str">
        <f aca="false">IF(B841="","",SUMIFS($D$5:D841,$B$5:B841,B841))</f>
        <v/>
      </c>
      <c r="G841" s="10" t="str">
        <f aca="false">IF(B841="","",IF(F841&gt;=3,"FLAG",""))</f>
        <v/>
      </c>
    </row>
    <row r="842" customFormat="false" ht="15" hidden="false" customHeight="false" outlineLevel="0" collapsed="false">
      <c r="A842" s="24"/>
      <c r="B842" s="28"/>
      <c r="C842" s="22"/>
      <c r="D842" s="22"/>
      <c r="E842" s="28"/>
      <c r="F842" s="10" t="str">
        <f aca="false">IF(B842="","",SUMIFS($D$5:D842,$B$5:B842,B842))</f>
        <v/>
      </c>
      <c r="G842" s="10" t="str">
        <f aca="false">IF(B842="","",IF(F842&gt;=3,"FLAG",""))</f>
        <v/>
      </c>
    </row>
    <row r="843" customFormat="false" ht="15" hidden="false" customHeight="false" outlineLevel="0" collapsed="false">
      <c r="A843" s="24"/>
      <c r="B843" s="28"/>
      <c r="C843" s="22"/>
      <c r="D843" s="22"/>
      <c r="E843" s="28"/>
      <c r="F843" s="10" t="str">
        <f aca="false">IF(B843="","",SUMIFS($D$5:D843,$B$5:B843,B843))</f>
        <v/>
      </c>
      <c r="G843" s="10" t="str">
        <f aca="false">IF(B843="","",IF(F843&gt;=3,"FLAG",""))</f>
        <v/>
      </c>
    </row>
    <row r="844" customFormat="false" ht="15" hidden="false" customHeight="false" outlineLevel="0" collapsed="false">
      <c r="A844" s="24"/>
      <c r="B844" s="28"/>
      <c r="C844" s="22"/>
      <c r="D844" s="22"/>
      <c r="E844" s="28"/>
      <c r="F844" s="10" t="str">
        <f aca="false">IF(B844="","",SUMIFS($D$5:D844,$B$5:B844,B844))</f>
        <v/>
      </c>
      <c r="G844" s="10" t="str">
        <f aca="false">IF(B844="","",IF(F844&gt;=3,"FLAG",""))</f>
        <v/>
      </c>
    </row>
    <row r="845" customFormat="false" ht="15" hidden="false" customHeight="false" outlineLevel="0" collapsed="false">
      <c r="A845" s="24"/>
      <c r="B845" s="28"/>
      <c r="C845" s="22"/>
      <c r="D845" s="22"/>
      <c r="E845" s="28"/>
      <c r="F845" s="10" t="str">
        <f aca="false">IF(B845="","",SUMIFS($D$5:D845,$B$5:B845,B845))</f>
        <v/>
      </c>
      <c r="G845" s="10" t="str">
        <f aca="false">IF(B845="","",IF(F845&gt;=3,"FLAG",""))</f>
        <v/>
      </c>
    </row>
    <row r="846" customFormat="false" ht="15" hidden="false" customHeight="false" outlineLevel="0" collapsed="false">
      <c r="A846" s="24"/>
      <c r="B846" s="28"/>
      <c r="C846" s="22"/>
      <c r="D846" s="22"/>
      <c r="E846" s="28"/>
      <c r="F846" s="10" t="str">
        <f aca="false">IF(B846="","",SUMIFS($D$5:D846,$B$5:B846,B846))</f>
        <v/>
      </c>
      <c r="G846" s="10" t="str">
        <f aca="false">IF(B846="","",IF(F846&gt;=3,"FLAG",""))</f>
        <v/>
      </c>
    </row>
    <row r="847" customFormat="false" ht="15" hidden="false" customHeight="false" outlineLevel="0" collapsed="false">
      <c r="A847" s="24"/>
      <c r="B847" s="28"/>
      <c r="C847" s="22"/>
      <c r="D847" s="22"/>
      <c r="E847" s="28"/>
      <c r="F847" s="10" t="str">
        <f aca="false">IF(B847="","",SUMIFS($D$5:D847,$B$5:B847,B847))</f>
        <v/>
      </c>
      <c r="G847" s="10" t="str">
        <f aca="false">IF(B847="","",IF(F847&gt;=3,"FLAG",""))</f>
        <v/>
      </c>
    </row>
    <row r="848" customFormat="false" ht="15" hidden="false" customHeight="false" outlineLevel="0" collapsed="false">
      <c r="A848" s="24"/>
      <c r="B848" s="28"/>
      <c r="C848" s="22"/>
      <c r="D848" s="22"/>
      <c r="E848" s="28"/>
      <c r="F848" s="10" t="str">
        <f aca="false">IF(B848="","",SUMIFS($D$5:D848,$B$5:B848,B848))</f>
        <v/>
      </c>
      <c r="G848" s="10" t="str">
        <f aca="false">IF(B848="","",IF(F848&gt;=3,"FLAG",""))</f>
        <v/>
      </c>
    </row>
    <row r="849" customFormat="false" ht="15" hidden="false" customHeight="false" outlineLevel="0" collapsed="false">
      <c r="A849" s="24"/>
      <c r="B849" s="28"/>
      <c r="C849" s="22"/>
      <c r="D849" s="22"/>
      <c r="E849" s="28"/>
      <c r="F849" s="10" t="str">
        <f aca="false">IF(B849="","",SUMIFS($D$5:D849,$B$5:B849,B849))</f>
        <v/>
      </c>
      <c r="G849" s="10" t="str">
        <f aca="false">IF(B849="","",IF(F849&gt;=3,"FLAG",""))</f>
        <v/>
      </c>
    </row>
    <row r="850" customFormat="false" ht="15" hidden="false" customHeight="false" outlineLevel="0" collapsed="false">
      <c r="A850" s="24"/>
      <c r="B850" s="28"/>
      <c r="C850" s="22"/>
      <c r="D850" s="22"/>
      <c r="E850" s="28"/>
      <c r="F850" s="10" t="str">
        <f aca="false">IF(B850="","",SUMIFS($D$5:D850,$B$5:B850,B850))</f>
        <v/>
      </c>
      <c r="G850" s="10" t="str">
        <f aca="false">IF(B850="","",IF(F850&gt;=3,"FLAG",""))</f>
        <v/>
      </c>
    </row>
    <row r="851" customFormat="false" ht="15" hidden="false" customHeight="false" outlineLevel="0" collapsed="false">
      <c r="A851" s="24"/>
      <c r="B851" s="28"/>
      <c r="C851" s="22"/>
      <c r="D851" s="22"/>
      <c r="E851" s="28"/>
      <c r="F851" s="10" t="str">
        <f aca="false">IF(B851="","",SUMIFS($D$5:D851,$B$5:B851,B851))</f>
        <v/>
      </c>
      <c r="G851" s="10" t="str">
        <f aca="false">IF(B851="","",IF(F851&gt;=3,"FLAG",""))</f>
        <v/>
      </c>
    </row>
    <row r="852" customFormat="false" ht="15" hidden="false" customHeight="false" outlineLevel="0" collapsed="false">
      <c r="A852" s="24"/>
      <c r="B852" s="28"/>
      <c r="C852" s="22"/>
      <c r="D852" s="22"/>
      <c r="E852" s="28"/>
      <c r="F852" s="10" t="str">
        <f aca="false">IF(B852="","",SUMIFS($D$5:D852,$B$5:B852,B852))</f>
        <v/>
      </c>
      <c r="G852" s="10" t="str">
        <f aca="false">IF(B852="","",IF(F852&gt;=3,"FLAG",""))</f>
        <v/>
      </c>
    </row>
    <row r="853" customFormat="false" ht="15" hidden="false" customHeight="false" outlineLevel="0" collapsed="false">
      <c r="A853" s="24"/>
      <c r="B853" s="28"/>
      <c r="C853" s="22"/>
      <c r="D853" s="22"/>
      <c r="E853" s="28"/>
      <c r="F853" s="10" t="str">
        <f aca="false">IF(B853="","",SUMIFS($D$5:D853,$B$5:B853,B853))</f>
        <v/>
      </c>
      <c r="G853" s="10" t="str">
        <f aca="false">IF(B853="","",IF(F853&gt;=3,"FLAG",""))</f>
        <v/>
      </c>
    </row>
    <row r="854" customFormat="false" ht="15" hidden="false" customHeight="false" outlineLevel="0" collapsed="false">
      <c r="A854" s="24"/>
      <c r="B854" s="28"/>
      <c r="C854" s="22"/>
      <c r="D854" s="22"/>
      <c r="E854" s="28"/>
      <c r="F854" s="10" t="str">
        <f aca="false">IF(B854="","",SUMIFS($D$5:D854,$B$5:B854,B854))</f>
        <v/>
      </c>
      <c r="G854" s="10" t="str">
        <f aca="false">IF(B854="","",IF(F854&gt;=3,"FLAG",""))</f>
        <v/>
      </c>
    </row>
    <row r="855" customFormat="false" ht="15" hidden="false" customHeight="false" outlineLevel="0" collapsed="false">
      <c r="A855" s="24"/>
      <c r="B855" s="28"/>
      <c r="C855" s="22"/>
      <c r="D855" s="22"/>
      <c r="E855" s="28"/>
      <c r="F855" s="10" t="str">
        <f aca="false">IF(B855="","",SUMIFS($D$5:D855,$B$5:B855,B855))</f>
        <v/>
      </c>
      <c r="G855" s="10" t="str">
        <f aca="false">IF(B855="","",IF(F855&gt;=3,"FLAG",""))</f>
        <v/>
      </c>
    </row>
    <row r="856" customFormat="false" ht="15" hidden="false" customHeight="false" outlineLevel="0" collapsed="false">
      <c r="A856" s="24"/>
      <c r="B856" s="28"/>
      <c r="C856" s="22"/>
      <c r="D856" s="22"/>
      <c r="E856" s="28"/>
      <c r="F856" s="10" t="str">
        <f aca="false">IF(B856="","",SUMIFS($D$5:D856,$B$5:B856,B856))</f>
        <v/>
      </c>
      <c r="G856" s="10" t="str">
        <f aca="false">IF(B856="","",IF(F856&gt;=3,"FLAG",""))</f>
        <v/>
      </c>
    </row>
    <row r="857" customFormat="false" ht="15" hidden="false" customHeight="false" outlineLevel="0" collapsed="false">
      <c r="A857" s="24"/>
      <c r="B857" s="28"/>
      <c r="C857" s="22"/>
      <c r="D857" s="22"/>
      <c r="E857" s="28"/>
      <c r="F857" s="10" t="str">
        <f aca="false">IF(B857="","",SUMIFS($D$5:D857,$B$5:B857,B857))</f>
        <v/>
      </c>
      <c r="G857" s="10" t="str">
        <f aca="false">IF(B857="","",IF(F857&gt;=3,"FLAG",""))</f>
        <v/>
      </c>
    </row>
    <row r="858" customFormat="false" ht="15" hidden="false" customHeight="false" outlineLevel="0" collapsed="false">
      <c r="A858" s="24"/>
      <c r="B858" s="28"/>
      <c r="C858" s="22"/>
      <c r="D858" s="22"/>
      <c r="E858" s="28"/>
      <c r="F858" s="10" t="str">
        <f aca="false">IF(B858="","",SUMIFS($D$5:D858,$B$5:B858,B858))</f>
        <v/>
      </c>
      <c r="G858" s="10" t="str">
        <f aca="false">IF(B858="","",IF(F858&gt;=3,"FLAG",""))</f>
        <v/>
      </c>
    </row>
    <row r="859" customFormat="false" ht="15" hidden="false" customHeight="false" outlineLevel="0" collapsed="false">
      <c r="A859" s="24"/>
      <c r="B859" s="28"/>
      <c r="C859" s="22"/>
      <c r="D859" s="22"/>
      <c r="E859" s="28"/>
      <c r="F859" s="10" t="str">
        <f aca="false">IF(B859="","",SUMIFS($D$5:D859,$B$5:B859,B859))</f>
        <v/>
      </c>
      <c r="G859" s="10" t="str">
        <f aca="false">IF(B859="","",IF(F859&gt;=3,"FLAG",""))</f>
        <v/>
      </c>
    </row>
    <row r="860" customFormat="false" ht="15" hidden="false" customHeight="false" outlineLevel="0" collapsed="false">
      <c r="A860" s="24"/>
      <c r="B860" s="28"/>
      <c r="C860" s="22"/>
      <c r="D860" s="22"/>
      <c r="E860" s="28"/>
      <c r="F860" s="10" t="str">
        <f aca="false">IF(B860="","",SUMIFS($D$5:D860,$B$5:B860,B860))</f>
        <v/>
      </c>
      <c r="G860" s="10" t="str">
        <f aca="false">IF(B860="","",IF(F860&gt;=3,"FLAG",""))</f>
        <v/>
      </c>
    </row>
    <row r="861" customFormat="false" ht="15" hidden="false" customHeight="false" outlineLevel="0" collapsed="false">
      <c r="A861" s="24"/>
      <c r="B861" s="28"/>
      <c r="C861" s="22"/>
      <c r="D861" s="22"/>
      <c r="E861" s="28"/>
      <c r="F861" s="10" t="str">
        <f aca="false">IF(B861="","",SUMIFS($D$5:D861,$B$5:B861,B861))</f>
        <v/>
      </c>
      <c r="G861" s="10" t="str">
        <f aca="false">IF(B861="","",IF(F861&gt;=3,"FLAG",""))</f>
        <v/>
      </c>
    </row>
    <row r="862" customFormat="false" ht="15" hidden="false" customHeight="false" outlineLevel="0" collapsed="false">
      <c r="A862" s="24"/>
      <c r="B862" s="28"/>
      <c r="C862" s="22"/>
      <c r="D862" s="22"/>
      <c r="E862" s="28"/>
      <c r="F862" s="10" t="str">
        <f aca="false">IF(B862="","",SUMIFS($D$5:D862,$B$5:B862,B862))</f>
        <v/>
      </c>
      <c r="G862" s="10" t="str">
        <f aca="false">IF(B862="","",IF(F862&gt;=3,"FLAG",""))</f>
        <v/>
      </c>
    </row>
    <row r="863" customFormat="false" ht="15" hidden="false" customHeight="false" outlineLevel="0" collapsed="false">
      <c r="A863" s="24"/>
      <c r="B863" s="28"/>
      <c r="C863" s="22"/>
      <c r="D863" s="22"/>
      <c r="E863" s="28"/>
      <c r="F863" s="10" t="str">
        <f aca="false">IF(B863="","",SUMIFS($D$5:D863,$B$5:B863,B863))</f>
        <v/>
      </c>
      <c r="G863" s="10" t="str">
        <f aca="false">IF(B863="","",IF(F863&gt;=3,"FLAG",""))</f>
        <v/>
      </c>
    </row>
    <row r="864" customFormat="false" ht="15" hidden="false" customHeight="false" outlineLevel="0" collapsed="false">
      <c r="A864" s="24"/>
      <c r="B864" s="28"/>
      <c r="C864" s="22"/>
      <c r="D864" s="22"/>
      <c r="E864" s="28"/>
      <c r="F864" s="10" t="str">
        <f aca="false">IF(B864="","",SUMIFS($D$5:D864,$B$5:B864,B864))</f>
        <v/>
      </c>
      <c r="G864" s="10" t="str">
        <f aca="false">IF(B864="","",IF(F864&gt;=3,"FLAG",""))</f>
        <v/>
      </c>
    </row>
    <row r="865" customFormat="false" ht="15" hidden="false" customHeight="false" outlineLevel="0" collapsed="false">
      <c r="A865" s="24"/>
      <c r="B865" s="28"/>
      <c r="C865" s="22"/>
      <c r="D865" s="22"/>
      <c r="E865" s="28"/>
      <c r="F865" s="10" t="str">
        <f aca="false">IF(B865="","",SUMIFS($D$5:D865,$B$5:B865,B865))</f>
        <v/>
      </c>
      <c r="G865" s="10" t="str">
        <f aca="false">IF(B865="","",IF(F865&gt;=3,"FLAG",""))</f>
        <v/>
      </c>
    </row>
    <row r="866" customFormat="false" ht="15" hidden="false" customHeight="false" outlineLevel="0" collapsed="false">
      <c r="A866" s="24"/>
      <c r="B866" s="28"/>
      <c r="C866" s="22"/>
      <c r="D866" s="22"/>
      <c r="E866" s="28"/>
      <c r="F866" s="10" t="str">
        <f aca="false">IF(B866="","",SUMIFS($D$5:D866,$B$5:B866,B866))</f>
        <v/>
      </c>
      <c r="G866" s="10" t="str">
        <f aca="false">IF(B866="","",IF(F866&gt;=3,"FLAG",""))</f>
        <v/>
      </c>
    </row>
    <row r="867" customFormat="false" ht="15" hidden="false" customHeight="false" outlineLevel="0" collapsed="false">
      <c r="A867" s="24"/>
      <c r="B867" s="28"/>
      <c r="C867" s="22"/>
      <c r="D867" s="22"/>
      <c r="E867" s="28"/>
      <c r="F867" s="10" t="str">
        <f aca="false">IF(B867="","",SUMIFS($D$5:D867,$B$5:B867,B867))</f>
        <v/>
      </c>
      <c r="G867" s="10" t="str">
        <f aca="false">IF(B867="","",IF(F867&gt;=3,"FLAG",""))</f>
        <v/>
      </c>
    </row>
    <row r="868" customFormat="false" ht="15" hidden="false" customHeight="false" outlineLevel="0" collapsed="false">
      <c r="A868" s="24"/>
      <c r="B868" s="28"/>
      <c r="C868" s="22"/>
      <c r="D868" s="22"/>
      <c r="E868" s="28"/>
      <c r="F868" s="10" t="str">
        <f aca="false">IF(B868="","",SUMIFS($D$5:D868,$B$5:B868,B868))</f>
        <v/>
      </c>
      <c r="G868" s="10" t="str">
        <f aca="false">IF(B868="","",IF(F868&gt;=3,"FLAG",""))</f>
        <v/>
      </c>
    </row>
    <row r="869" customFormat="false" ht="15" hidden="false" customHeight="false" outlineLevel="0" collapsed="false">
      <c r="A869" s="24"/>
      <c r="B869" s="28"/>
      <c r="C869" s="22"/>
      <c r="D869" s="22"/>
      <c r="E869" s="28"/>
      <c r="F869" s="10" t="str">
        <f aca="false">IF(B869="","",SUMIFS($D$5:D869,$B$5:B869,B869))</f>
        <v/>
      </c>
      <c r="G869" s="10" t="str">
        <f aca="false">IF(B869="","",IF(F869&gt;=3,"FLAG",""))</f>
        <v/>
      </c>
    </row>
    <row r="870" customFormat="false" ht="15" hidden="false" customHeight="false" outlineLevel="0" collapsed="false">
      <c r="A870" s="24"/>
      <c r="B870" s="28"/>
      <c r="C870" s="22"/>
      <c r="D870" s="22"/>
      <c r="E870" s="28"/>
      <c r="F870" s="10" t="str">
        <f aca="false">IF(B870="","",SUMIFS($D$5:D870,$B$5:B870,B870))</f>
        <v/>
      </c>
      <c r="G870" s="10" t="str">
        <f aca="false">IF(B870="","",IF(F870&gt;=3,"FLAG",""))</f>
        <v/>
      </c>
    </row>
    <row r="871" customFormat="false" ht="15" hidden="false" customHeight="false" outlineLevel="0" collapsed="false">
      <c r="A871" s="24"/>
      <c r="B871" s="28"/>
      <c r="C871" s="22"/>
      <c r="D871" s="22"/>
      <c r="E871" s="28"/>
      <c r="F871" s="10" t="str">
        <f aca="false">IF(B871="","",SUMIFS($D$5:D871,$B$5:B871,B871))</f>
        <v/>
      </c>
      <c r="G871" s="10" t="str">
        <f aca="false">IF(B871="","",IF(F871&gt;=3,"FLAG",""))</f>
        <v/>
      </c>
    </row>
    <row r="872" customFormat="false" ht="15" hidden="false" customHeight="false" outlineLevel="0" collapsed="false">
      <c r="A872" s="24"/>
      <c r="B872" s="28"/>
      <c r="C872" s="22"/>
      <c r="D872" s="22"/>
      <c r="E872" s="28"/>
      <c r="F872" s="10" t="str">
        <f aca="false">IF(B872="","",SUMIFS($D$5:D872,$B$5:B872,B872))</f>
        <v/>
      </c>
      <c r="G872" s="10" t="str">
        <f aca="false">IF(B872="","",IF(F872&gt;=3,"FLAG",""))</f>
        <v/>
      </c>
    </row>
    <row r="873" customFormat="false" ht="15" hidden="false" customHeight="false" outlineLevel="0" collapsed="false">
      <c r="A873" s="24"/>
      <c r="B873" s="28"/>
      <c r="C873" s="22"/>
      <c r="D873" s="22"/>
      <c r="E873" s="28"/>
      <c r="F873" s="10" t="str">
        <f aca="false">IF(B873="","",SUMIFS($D$5:D873,$B$5:B873,B873))</f>
        <v/>
      </c>
      <c r="G873" s="10" t="str">
        <f aca="false">IF(B873="","",IF(F873&gt;=3,"FLAG",""))</f>
        <v/>
      </c>
    </row>
    <row r="874" customFormat="false" ht="15" hidden="false" customHeight="false" outlineLevel="0" collapsed="false">
      <c r="A874" s="24"/>
      <c r="B874" s="28"/>
      <c r="C874" s="22"/>
      <c r="D874" s="22"/>
      <c r="E874" s="28"/>
      <c r="F874" s="10" t="str">
        <f aca="false">IF(B874="","",SUMIFS($D$5:D874,$B$5:B874,B874))</f>
        <v/>
      </c>
      <c r="G874" s="10" t="str">
        <f aca="false">IF(B874="","",IF(F874&gt;=3,"FLAG",""))</f>
        <v/>
      </c>
    </row>
    <row r="875" customFormat="false" ht="15" hidden="false" customHeight="false" outlineLevel="0" collapsed="false">
      <c r="A875" s="24"/>
      <c r="B875" s="28"/>
      <c r="C875" s="22"/>
      <c r="D875" s="22"/>
      <c r="E875" s="28"/>
      <c r="F875" s="10" t="str">
        <f aca="false">IF(B875="","",SUMIFS($D$5:D875,$B$5:B875,B875))</f>
        <v/>
      </c>
      <c r="G875" s="10" t="str">
        <f aca="false">IF(B875="","",IF(F875&gt;=3,"FLAG",""))</f>
        <v/>
      </c>
    </row>
    <row r="876" customFormat="false" ht="15" hidden="false" customHeight="false" outlineLevel="0" collapsed="false">
      <c r="A876" s="24"/>
      <c r="B876" s="28"/>
      <c r="C876" s="22"/>
      <c r="D876" s="22"/>
      <c r="E876" s="28"/>
      <c r="F876" s="10" t="str">
        <f aca="false">IF(B876="","",SUMIFS($D$5:D876,$B$5:B876,B876))</f>
        <v/>
      </c>
      <c r="G876" s="10" t="str">
        <f aca="false">IF(B876="","",IF(F876&gt;=3,"FLAG",""))</f>
        <v/>
      </c>
    </row>
    <row r="877" customFormat="false" ht="15" hidden="false" customHeight="false" outlineLevel="0" collapsed="false">
      <c r="A877" s="24"/>
      <c r="B877" s="28"/>
      <c r="C877" s="22"/>
      <c r="D877" s="22"/>
      <c r="E877" s="28"/>
      <c r="F877" s="10" t="str">
        <f aca="false">IF(B877="","",SUMIFS($D$5:D877,$B$5:B877,B877))</f>
        <v/>
      </c>
      <c r="G877" s="10" t="str">
        <f aca="false">IF(B877="","",IF(F877&gt;=3,"FLAG",""))</f>
        <v/>
      </c>
    </row>
    <row r="878" customFormat="false" ht="15" hidden="false" customHeight="false" outlineLevel="0" collapsed="false">
      <c r="A878" s="24"/>
      <c r="B878" s="28"/>
      <c r="C878" s="22"/>
      <c r="D878" s="22"/>
      <c r="E878" s="28"/>
      <c r="F878" s="10" t="str">
        <f aca="false">IF(B878="","",SUMIFS($D$5:D878,$B$5:B878,B878))</f>
        <v/>
      </c>
      <c r="G878" s="10" t="str">
        <f aca="false">IF(B878="","",IF(F878&gt;=3,"FLAG",""))</f>
        <v/>
      </c>
    </row>
    <row r="879" customFormat="false" ht="15" hidden="false" customHeight="false" outlineLevel="0" collapsed="false">
      <c r="A879" s="24"/>
      <c r="B879" s="28"/>
      <c r="C879" s="22"/>
      <c r="D879" s="22"/>
      <c r="E879" s="28"/>
      <c r="F879" s="10" t="str">
        <f aca="false">IF(B879="","",SUMIFS($D$5:D879,$B$5:B879,B879))</f>
        <v/>
      </c>
      <c r="G879" s="10" t="str">
        <f aca="false">IF(B879="","",IF(F879&gt;=3,"FLAG",""))</f>
        <v/>
      </c>
    </row>
    <row r="880" customFormat="false" ht="15" hidden="false" customHeight="false" outlineLevel="0" collapsed="false">
      <c r="A880" s="24"/>
      <c r="B880" s="28"/>
      <c r="C880" s="22"/>
      <c r="D880" s="22"/>
      <c r="E880" s="28"/>
      <c r="F880" s="10" t="str">
        <f aca="false">IF(B880="","",SUMIFS($D$5:D880,$B$5:B880,B880))</f>
        <v/>
      </c>
      <c r="G880" s="10" t="str">
        <f aca="false">IF(B880="","",IF(F880&gt;=3,"FLAG",""))</f>
        <v/>
      </c>
    </row>
    <row r="881" customFormat="false" ht="15" hidden="false" customHeight="false" outlineLevel="0" collapsed="false">
      <c r="A881" s="24"/>
      <c r="B881" s="28"/>
      <c r="C881" s="22"/>
      <c r="D881" s="22"/>
      <c r="E881" s="28"/>
      <c r="F881" s="10" t="str">
        <f aca="false">IF(B881="","",SUMIFS($D$5:D881,$B$5:B881,B881))</f>
        <v/>
      </c>
      <c r="G881" s="10" t="str">
        <f aca="false">IF(B881="","",IF(F881&gt;=3,"FLAG",""))</f>
        <v/>
      </c>
    </row>
    <row r="882" customFormat="false" ht="15" hidden="false" customHeight="false" outlineLevel="0" collapsed="false">
      <c r="A882" s="24"/>
      <c r="B882" s="28"/>
      <c r="C882" s="22"/>
      <c r="D882" s="22"/>
      <c r="E882" s="28"/>
      <c r="F882" s="10" t="str">
        <f aca="false">IF(B882="","",SUMIFS($D$5:D882,$B$5:B882,B882))</f>
        <v/>
      </c>
      <c r="G882" s="10" t="str">
        <f aca="false">IF(B882="","",IF(F882&gt;=3,"FLAG",""))</f>
        <v/>
      </c>
    </row>
    <row r="883" customFormat="false" ht="15" hidden="false" customHeight="false" outlineLevel="0" collapsed="false">
      <c r="A883" s="24"/>
      <c r="B883" s="28"/>
      <c r="C883" s="22"/>
      <c r="D883" s="22"/>
      <c r="E883" s="28"/>
      <c r="F883" s="10" t="str">
        <f aca="false">IF(B883="","",SUMIFS($D$5:D883,$B$5:B883,B883))</f>
        <v/>
      </c>
      <c r="G883" s="10" t="str">
        <f aca="false">IF(B883="","",IF(F883&gt;=3,"FLAG",""))</f>
        <v/>
      </c>
    </row>
    <row r="884" customFormat="false" ht="15" hidden="false" customHeight="false" outlineLevel="0" collapsed="false">
      <c r="A884" s="24"/>
      <c r="B884" s="28"/>
      <c r="C884" s="22"/>
      <c r="D884" s="22"/>
      <c r="E884" s="28"/>
      <c r="F884" s="10" t="str">
        <f aca="false">IF(B884="","",SUMIFS($D$5:D884,$B$5:B884,B884))</f>
        <v/>
      </c>
      <c r="G884" s="10" t="str">
        <f aca="false">IF(B884="","",IF(F884&gt;=3,"FLAG",""))</f>
        <v/>
      </c>
    </row>
    <row r="885" customFormat="false" ht="15" hidden="false" customHeight="false" outlineLevel="0" collapsed="false">
      <c r="A885" s="24"/>
      <c r="B885" s="28"/>
      <c r="C885" s="22"/>
      <c r="D885" s="22"/>
      <c r="E885" s="28"/>
      <c r="F885" s="10" t="str">
        <f aca="false">IF(B885="","",SUMIFS($D$5:D885,$B$5:B885,B885))</f>
        <v/>
      </c>
      <c r="G885" s="10" t="str">
        <f aca="false">IF(B885="","",IF(F885&gt;=3,"FLAG",""))</f>
        <v/>
      </c>
    </row>
    <row r="886" customFormat="false" ht="15" hidden="false" customHeight="false" outlineLevel="0" collapsed="false">
      <c r="A886" s="24"/>
      <c r="B886" s="28"/>
      <c r="C886" s="22"/>
      <c r="D886" s="22"/>
      <c r="E886" s="28"/>
      <c r="F886" s="10" t="str">
        <f aca="false">IF(B886="","",SUMIFS($D$5:D886,$B$5:B886,B886))</f>
        <v/>
      </c>
      <c r="G886" s="10" t="str">
        <f aca="false">IF(B886="","",IF(F886&gt;=3,"FLAG",""))</f>
        <v/>
      </c>
    </row>
    <row r="887" customFormat="false" ht="15" hidden="false" customHeight="false" outlineLevel="0" collapsed="false">
      <c r="A887" s="24"/>
      <c r="B887" s="28"/>
      <c r="C887" s="22"/>
      <c r="D887" s="22"/>
      <c r="E887" s="28"/>
      <c r="F887" s="10" t="str">
        <f aca="false">IF(B887="","",SUMIFS($D$5:D887,$B$5:B887,B887))</f>
        <v/>
      </c>
      <c r="G887" s="10" t="str">
        <f aca="false">IF(B887="","",IF(F887&gt;=3,"FLAG",""))</f>
        <v/>
      </c>
    </row>
    <row r="888" customFormat="false" ht="15" hidden="false" customHeight="false" outlineLevel="0" collapsed="false">
      <c r="A888" s="24"/>
      <c r="B888" s="28"/>
      <c r="C888" s="22"/>
      <c r="D888" s="22"/>
      <c r="E888" s="28"/>
      <c r="F888" s="10" t="str">
        <f aca="false">IF(B888="","",SUMIFS($D$5:D888,$B$5:B888,B888))</f>
        <v/>
      </c>
      <c r="G888" s="10" t="str">
        <f aca="false">IF(B888="","",IF(F888&gt;=3,"FLAG",""))</f>
        <v/>
      </c>
    </row>
    <row r="889" customFormat="false" ht="15" hidden="false" customHeight="false" outlineLevel="0" collapsed="false">
      <c r="A889" s="24"/>
      <c r="B889" s="28"/>
      <c r="C889" s="22"/>
      <c r="D889" s="22"/>
      <c r="E889" s="28"/>
      <c r="F889" s="10" t="str">
        <f aca="false">IF(B889="","",SUMIFS($D$5:D889,$B$5:B889,B889))</f>
        <v/>
      </c>
      <c r="G889" s="10" t="str">
        <f aca="false">IF(B889="","",IF(F889&gt;=3,"FLAG",""))</f>
        <v/>
      </c>
    </row>
    <row r="890" customFormat="false" ht="15" hidden="false" customHeight="false" outlineLevel="0" collapsed="false">
      <c r="A890" s="24"/>
      <c r="B890" s="28"/>
      <c r="C890" s="22"/>
      <c r="D890" s="22"/>
      <c r="E890" s="28"/>
      <c r="F890" s="10" t="str">
        <f aca="false">IF(B890="","",SUMIFS($D$5:D890,$B$5:B890,B890))</f>
        <v/>
      </c>
      <c r="G890" s="10" t="str">
        <f aca="false">IF(B890="","",IF(F890&gt;=3,"FLAG",""))</f>
        <v/>
      </c>
    </row>
    <row r="891" customFormat="false" ht="15" hidden="false" customHeight="false" outlineLevel="0" collapsed="false">
      <c r="A891" s="24"/>
      <c r="B891" s="28"/>
      <c r="C891" s="22"/>
      <c r="D891" s="22"/>
      <c r="E891" s="28"/>
      <c r="F891" s="10" t="str">
        <f aca="false">IF(B891="","",SUMIFS($D$5:D891,$B$5:B891,B891))</f>
        <v/>
      </c>
      <c r="G891" s="10" t="str">
        <f aca="false">IF(B891="","",IF(F891&gt;=3,"FLAG",""))</f>
        <v/>
      </c>
    </row>
    <row r="892" customFormat="false" ht="15" hidden="false" customHeight="false" outlineLevel="0" collapsed="false">
      <c r="A892" s="24"/>
      <c r="B892" s="28"/>
      <c r="C892" s="22"/>
      <c r="D892" s="22"/>
      <c r="E892" s="28"/>
      <c r="F892" s="10" t="str">
        <f aca="false">IF(B892="","",SUMIFS($D$5:D892,$B$5:B892,B892))</f>
        <v/>
      </c>
      <c r="G892" s="10" t="str">
        <f aca="false">IF(B892="","",IF(F892&gt;=3,"FLAG",""))</f>
        <v/>
      </c>
    </row>
    <row r="893" customFormat="false" ht="15" hidden="false" customHeight="false" outlineLevel="0" collapsed="false">
      <c r="A893" s="24"/>
      <c r="B893" s="28"/>
      <c r="C893" s="22"/>
      <c r="D893" s="22"/>
      <c r="E893" s="28"/>
      <c r="F893" s="10" t="str">
        <f aca="false">IF(B893="","",SUMIFS($D$5:D893,$B$5:B893,B893))</f>
        <v/>
      </c>
      <c r="G893" s="10" t="str">
        <f aca="false">IF(B893="","",IF(F893&gt;=3,"FLAG",""))</f>
        <v/>
      </c>
    </row>
    <row r="894" customFormat="false" ht="15" hidden="false" customHeight="false" outlineLevel="0" collapsed="false">
      <c r="A894" s="24"/>
      <c r="B894" s="28"/>
      <c r="C894" s="22"/>
      <c r="D894" s="22"/>
      <c r="E894" s="28"/>
      <c r="F894" s="10" t="str">
        <f aca="false">IF(B894="","",SUMIFS($D$5:D894,$B$5:B894,B894))</f>
        <v/>
      </c>
      <c r="G894" s="10" t="str">
        <f aca="false">IF(B894="","",IF(F894&gt;=3,"FLAG",""))</f>
        <v/>
      </c>
    </row>
    <row r="895" customFormat="false" ht="15" hidden="false" customHeight="false" outlineLevel="0" collapsed="false">
      <c r="A895" s="24"/>
      <c r="B895" s="28"/>
      <c r="C895" s="22"/>
      <c r="D895" s="22"/>
      <c r="E895" s="28"/>
      <c r="F895" s="10" t="str">
        <f aca="false">IF(B895="","",SUMIFS($D$5:D895,$B$5:B895,B895))</f>
        <v/>
      </c>
      <c r="G895" s="10" t="str">
        <f aca="false">IF(B895="","",IF(F895&gt;=3,"FLAG",""))</f>
        <v/>
      </c>
    </row>
    <row r="896" customFormat="false" ht="15" hidden="false" customHeight="false" outlineLevel="0" collapsed="false">
      <c r="A896" s="24"/>
      <c r="B896" s="28"/>
      <c r="C896" s="22"/>
      <c r="D896" s="22"/>
      <c r="E896" s="28"/>
      <c r="F896" s="10" t="str">
        <f aca="false">IF(B896="","",SUMIFS($D$5:D896,$B$5:B896,B896))</f>
        <v/>
      </c>
      <c r="G896" s="10" t="str">
        <f aca="false">IF(B896="","",IF(F896&gt;=3,"FLAG",""))</f>
        <v/>
      </c>
    </row>
    <row r="897" customFormat="false" ht="15" hidden="false" customHeight="false" outlineLevel="0" collapsed="false">
      <c r="A897" s="24"/>
      <c r="B897" s="28"/>
      <c r="C897" s="22"/>
      <c r="D897" s="22"/>
      <c r="E897" s="28"/>
      <c r="F897" s="10" t="str">
        <f aca="false">IF(B897="","",SUMIFS($D$5:D897,$B$5:B897,B897))</f>
        <v/>
      </c>
      <c r="G897" s="10" t="str">
        <f aca="false">IF(B897="","",IF(F897&gt;=3,"FLAG",""))</f>
        <v/>
      </c>
    </row>
    <row r="898" customFormat="false" ht="15" hidden="false" customHeight="false" outlineLevel="0" collapsed="false">
      <c r="A898" s="24"/>
      <c r="B898" s="28"/>
      <c r="C898" s="22"/>
      <c r="D898" s="22"/>
      <c r="E898" s="28"/>
      <c r="F898" s="10" t="str">
        <f aca="false">IF(B898="","",SUMIFS($D$5:D898,$B$5:B898,B898))</f>
        <v/>
      </c>
      <c r="G898" s="10" t="str">
        <f aca="false">IF(B898="","",IF(F898&gt;=3,"FLAG",""))</f>
        <v/>
      </c>
    </row>
    <row r="899" customFormat="false" ht="15" hidden="false" customHeight="false" outlineLevel="0" collapsed="false">
      <c r="A899" s="24"/>
      <c r="B899" s="28"/>
      <c r="C899" s="22"/>
      <c r="D899" s="22"/>
      <c r="E899" s="28"/>
      <c r="F899" s="10" t="str">
        <f aca="false">IF(B899="","",SUMIFS($D$5:D899,$B$5:B899,B899))</f>
        <v/>
      </c>
      <c r="G899" s="10" t="str">
        <f aca="false">IF(B899="","",IF(F899&gt;=3,"FLAG",""))</f>
        <v/>
      </c>
    </row>
    <row r="900" customFormat="false" ht="15" hidden="false" customHeight="false" outlineLevel="0" collapsed="false">
      <c r="A900" s="24"/>
      <c r="B900" s="28"/>
      <c r="C900" s="22"/>
      <c r="D900" s="22"/>
      <c r="E900" s="28"/>
      <c r="F900" s="10" t="str">
        <f aca="false">IF(B900="","",SUMIFS($D$5:D900,$B$5:B900,B900))</f>
        <v/>
      </c>
      <c r="G900" s="10" t="str">
        <f aca="false">IF(B900="","",IF(F900&gt;=3,"FLAG",""))</f>
        <v/>
      </c>
    </row>
    <row r="901" customFormat="false" ht="15" hidden="false" customHeight="false" outlineLevel="0" collapsed="false">
      <c r="A901" s="24"/>
      <c r="B901" s="28"/>
      <c r="C901" s="22"/>
      <c r="D901" s="22"/>
      <c r="E901" s="28"/>
      <c r="F901" s="10" t="str">
        <f aca="false">IF(B901="","",SUMIFS($D$5:D901,$B$5:B901,B901))</f>
        <v/>
      </c>
      <c r="G901" s="10" t="str">
        <f aca="false">IF(B901="","",IF(F901&gt;=3,"FLAG",""))</f>
        <v/>
      </c>
    </row>
    <row r="902" customFormat="false" ht="15" hidden="false" customHeight="false" outlineLevel="0" collapsed="false">
      <c r="A902" s="24"/>
      <c r="B902" s="28"/>
      <c r="C902" s="22"/>
      <c r="D902" s="22"/>
      <c r="E902" s="28"/>
      <c r="F902" s="10" t="str">
        <f aca="false">IF(B902="","",SUMIFS($D$5:D902,$B$5:B902,B902))</f>
        <v/>
      </c>
      <c r="G902" s="10" t="str">
        <f aca="false">IF(B902="","",IF(F902&gt;=3,"FLAG",""))</f>
        <v/>
      </c>
    </row>
    <row r="903" customFormat="false" ht="15" hidden="false" customHeight="false" outlineLevel="0" collapsed="false">
      <c r="A903" s="24"/>
      <c r="B903" s="28"/>
      <c r="C903" s="22"/>
      <c r="D903" s="22"/>
      <c r="E903" s="28"/>
      <c r="F903" s="10" t="str">
        <f aca="false">IF(B903="","",SUMIFS($D$5:D903,$B$5:B903,B903))</f>
        <v/>
      </c>
      <c r="G903" s="10" t="str">
        <f aca="false">IF(B903="","",IF(F903&gt;=3,"FLAG",""))</f>
        <v/>
      </c>
    </row>
    <row r="904" customFormat="false" ht="15" hidden="false" customHeight="false" outlineLevel="0" collapsed="false">
      <c r="A904" s="24"/>
      <c r="B904" s="28"/>
      <c r="C904" s="22"/>
      <c r="D904" s="22"/>
      <c r="E904" s="28"/>
      <c r="F904" s="10" t="str">
        <f aca="false">IF(B904="","",SUMIFS($D$5:D904,$B$5:B904,B904))</f>
        <v/>
      </c>
      <c r="G904" s="10" t="str">
        <f aca="false">IF(B904="","",IF(F904&gt;=3,"FLAG",""))</f>
        <v/>
      </c>
    </row>
    <row r="905" customFormat="false" ht="15" hidden="false" customHeight="false" outlineLevel="0" collapsed="false">
      <c r="A905" s="24"/>
      <c r="B905" s="28"/>
      <c r="C905" s="22"/>
      <c r="D905" s="22"/>
      <c r="E905" s="28"/>
      <c r="F905" s="10" t="str">
        <f aca="false">IF(B905="","",SUMIFS($D$5:D905,$B$5:B905,B905))</f>
        <v/>
      </c>
      <c r="G905" s="10" t="str">
        <f aca="false">IF(B905="","",IF(F905&gt;=3,"FLAG",""))</f>
        <v/>
      </c>
    </row>
    <row r="906" customFormat="false" ht="15" hidden="false" customHeight="false" outlineLevel="0" collapsed="false">
      <c r="A906" s="24"/>
      <c r="B906" s="28"/>
      <c r="C906" s="22"/>
      <c r="D906" s="22"/>
      <c r="E906" s="28"/>
      <c r="F906" s="10" t="str">
        <f aca="false">IF(B906="","",SUMIFS($D$5:D906,$B$5:B906,B906))</f>
        <v/>
      </c>
      <c r="G906" s="10" t="str">
        <f aca="false">IF(B906="","",IF(F906&gt;=3,"FLAG",""))</f>
        <v/>
      </c>
    </row>
    <row r="907" customFormat="false" ht="15" hidden="false" customHeight="false" outlineLevel="0" collapsed="false">
      <c r="A907" s="24"/>
      <c r="B907" s="28"/>
      <c r="C907" s="22"/>
      <c r="D907" s="22"/>
      <c r="E907" s="28"/>
      <c r="F907" s="10" t="str">
        <f aca="false">IF(B907="","",SUMIFS($D$5:D907,$B$5:B907,B907))</f>
        <v/>
      </c>
      <c r="G907" s="10" t="str">
        <f aca="false">IF(B907="","",IF(F907&gt;=3,"FLAG",""))</f>
        <v/>
      </c>
    </row>
    <row r="908" customFormat="false" ht="15" hidden="false" customHeight="false" outlineLevel="0" collapsed="false">
      <c r="A908" s="24"/>
      <c r="B908" s="28"/>
      <c r="C908" s="22"/>
      <c r="D908" s="22"/>
      <c r="E908" s="28"/>
      <c r="F908" s="10" t="str">
        <f aca="false">IF(B908="","",SUMIFS($D$5:D908,$B$5:B908,B908))</f>
        <v/>
      </c>
      <c r="G908" s="10" t="str">
        <f aca="false">IF(B908="","",IF(F908&gt;=3,"FLAG",""))</f>
        <v/>
      </c>
    </row>
    <row r="909" customFormat="false" ht="15" hidden="false" customHeight="false" outlineLevel="0" collapsed="false">
      <c r="A909" s="24"/>
      <c r="B909" s="28"/>
      <c r="C909" s="22"/>
      <c r="D909" s="22"/>
      <c r="E909" s="28"/>
      <c r="F909" s="10" t="str">
        <f aca="false">IF(B909="","",SUMIFS($D$5:D909,$B$5:B909,B909))</f>
        <v/>
      </c>
      <c r="G909" s="10" t="str">
        <f aca="false">IF(B909="","",IF(F909&gt;=3,"FLAG",""))</f>
        <v/>
      </c>
    </row>
    <row r="910" customFormat="false" ht="15" hidden="false" customHeight="false" outlineLevel="0" collapsed="false">
      <c r="A910" s="24"/>
      <c r="B910" s="28"/>
      <c r="C910" s="22"/>
      <c r="D910" s="22"/>
      <c r="E910" s="28"/>
      <c r="F910" s="10" t="str">
        <f aca="false">IF(B910="","",SUMIFS($D$5:D910,$B$5:B910,B910))</f>
        <v/>
      </c>
      <c r="G910" s="10" t="str">
        <f aca="false">IF(B910="","",IF(F910&gt;=3,"FLAG",""))</f>
        <v/>
      </c>
    </row>
    <row r="911" customFormat="false" ht="15" hidden="false" customHeight="false" outlineLevel="0" collapsed="false">
      <c r="A911" s="24"/>
      <c r="B911" s="28"/>
      <c r="C911" s="22"/>
      <c r="D911" s="22"/>
      <c r="E911" s="28"/>
      <c r="F911" s="10" t="str">
        <f aca="false">IF(B911="","",SUMIFS($D$5:D911,$B$5:B911,B911))</f>
        <v/>
      </c>
      <c r="G911" s="10" t="str">
        <f aca="false">IF(B911="","",IF(F911&gt;=3,"FLAG",""))</f>
        <v/>
      </c>
    </row>
    <row r="912" customFormat="false" ht="15" hidden="false" customHeight="false" outlineLevel="0" collapsed="false">
      <c r="A912" s="24"/>
      <c r="B912" s="28"/>
      <c r="C912" s="22"/>
      <c r="D912" s="22"/>
      <c r="E912" s="28"/>
      <c r="F912" s="10" t="str">
        <f aca="false">IF(B912="","",SUMIFS($D$5:D912,$B$5:B912,B912))</f>
        <v/>
      </c>
      <c r="G912" s="10" t="str">
        <f aca="false">IF(B912="","",IF(F912&gt;=3,"FLAG",""))</f>
        <v/>
      </c>
    </row>
    <row r="913" customFormat="false" ht="15" hidden="false" customHeight="false" outlineLevel="0" collapsed="false">
      <c r="A913" s="24"/>
      <c r="B913" s="28"/>
      <c r="C913" s="22"/>
      <c r="D913" s="22"/>
      <c r="E913" s="28"/>
      <c r="F913" s="10" t="str">
        <f aca="false">IF(B913="","",SUMIFS($D$5:D913,$B$5:B913,B913))</f>
        <v/>
      </c>
      <c r="G913" s="10" t="str">
        <f aca="false">IF(B913="","",IF(F913&gt;=3,"FLAG",""))</f>
        <v/>
      </c>
    </row>
    <row r="914" customFormat="false" ht="15" hidden="false" customHeight="false" outlineLevel="0" collapsed="false">
      <c r="A914" s="24"/>
      <c r="B914" s="28"/>
      <c r="C914" s="22"/>
      <c r="D914" s="22"/>
      <c r="E914" s="28"/>
      <c r="F914" s="10" t="str">
        <f aca="false">IF(B914="","",SUMIFS($D$5:D914,$B$5:B914,B914))</f>
        <v/>
      </c>
      <c r="G914" s="10" t="str">
        <f aca="false">IF(B914="","",IF(F914&gt;=3,"FLAG",""))</f>
        <v/>
      </c>
    </row>
    <row r="915" customFormat="false" ht="15" hidden="false" customHeight="false" outlineLevel="0" collapsed="false">
      <c r="A915" s="24"/>
      <c r="B915" s="28"/>
      <c r="C915" s="22"/>
      <c r="D915" s="22"/>
      <c r="E915" s="28"/>
      <c r="F915" s="10" t="str">
        <f aca="false">IF(B915="","",SUMIFS($D$5:D915,$B$5:B915,B915))</f>
        <v/>
      </c>
      <c r="G915" s="10" t="str">
        <f aca="false">IF(B915="","",IF(F915&gt;=3,"FLAG",""))</f>
        <v/>
      </c>
    </row>
    <row r="916" customFormat="false" ht="15" hidden="false" customHeight="false" outlineLevel="0" collapsed="false">
      <c r="A916" s="24"/>
      <c r="B916" s="28"/>
      <c r="C916" s="22"/>
      <c r="D916" s="22"/>
      <c r="E916" s="28"/>
      <c r="F916" s="10" t="str">
        <f aca="false">IF(B916="","",SUMIFS($D$5:D916,$B$5:B916,B916))</f>
        <v/>
      </c>
      <c r="G916" s="10" t="str">
        <f aca="false">IF(B916="","",IF(F916&gt;=3,"FLAG",""))</f>
        <v/>
      </c>
    </row>
    <row r="917" customFormat="false" ht="15" hidden="false" customHeight="false" outlineLevel="0" collapsed="false">
      <c r="A917" s="24"/>
      <c r="B917" s="28"/>
      <c r="C917" s="22"/>
      <c r="D917" s="22"/>
      <c r="E917" s="28"/>
      <c r="F917" s="10" t="str">
        <f aca="false">IF(B917="","",SUMIFS($D$5:D917,$B$5:B917,B917))</f>
        <v/>
      </c>
      <c r="G917" s="10" t="str">
        <f aca="false">IF(B917="","",IF(F917&gt;=3,"FLAG",""))</f>
        <v/>
      </c>
    </row>
    <row r="918" customFormat="false" ht="15" hidden="false" customHeight="false" outlineLevel="0" collapsed="false">
      <c r="A918" s="24"/>
      <c r="B918" s="28"/>
      <c r="C918" s="22"/>
      <c r="D918" s="22"/>
      <c r="E918" s="28"/>
      <c r="F918" s="10" t="str">
        <f aca="false">IF(B918="","",SUMIFS($D$5:D918,$B$5:B918,B918))</f>
        <v/>
      </c>
      <c r="G918" s="10" t="str">
        <f aca="false">IF(B918="","",IF(F918&gt;=3,"FLAG",""))</f>
        <v/>
      </c>
    </row>
    <row r="919" customFormat="false" ht="15" hidden="false" customHeight="false" outlineLevel="0" collapsed="false">
      <c r="A919" s="24"/>
      <c r="B919" s="28"/>
      <c r="C919" s="22"/>
      <c r="D919" s="22"/>
      <c r="E919" s="28"/>
      <c r="F919" s="10" t="str">
        <f aca="false">IF(B919="","",SUMIFS($D$5:D919,$B$5:B919,B919))</f>
        <v/>
      </c>
      <c r="G919" s="10" t="str">
        <f aca="false">IF(B919="","",IF(F919&gt;=3,"FLAG",""))</f>
        <v/>
      </c>
    </row>
    <row r="920" customFormat="false" ht="15" hidden="false" customHeight="false" outlineLevel="0" collapsed="false">
      <c r="A920" s="24"/>
      <c r="B920" s="28"/>
      <c r="C920" s="22"/>
      <c r="D920" s="22"/>
      <c r="E920" s="28"/>
      <c r="F920" s="10" t="str">
        <f aca="false">IF(B920="","",SUMIFS($D$5:D920,$B$5:B920,B920))</f>
        <v/>
      </c>
      <c r="G920" s="10" t="str">
        <f aca="false">IF(B920="","",IF(F920&gt;=3,"FLAG",""))</f>
        <v/>
      </c>
    </row>
    <row r="921" customFormat="false" ht="15" hidden="false" customHeight="false" outlineLevel="0" collapsed="false">
      <c r="A921" s="24"/>
      <c r="B921" s="28"/>
      <c r="C921" s="22"/>
      <c r="D921" s="22"/>
      <c r="E921" s="28"/>
      <c r="F921" s="10" t="str">
        <f aca="false">IF(B921="","",SUMIFS($D$5:D921,$B$5:B921,B921))</f>
        <v/>
      </c>
      <c r="G921" s="10" t="str">
        <f aca="false">IF(B921="","",IF(F921&gt;=3,"FLAG",""))</f>
        <v/>
      </c>
    </row>
    <row r="922" customFormat="false" ht="15" hidden="false" customHeight="false" outlineLevel="0" collapsed="false">
      <c r="A922" s="24"/>
      <c r="B922" s="28"/>
      <c r="C922" s="22"/>
      <c r="D922" s="22"/>
      <c r="E922" s="28"/>
      <c r="F922" s="10" t="str">
        <f aca="false">IF(B922="","",SUMIFS($D$5:D922,$B$5:B922,B922))</f>
        <v/>
      </c>
      <c r="G922" s="10" t="str">
        <f aca="false">IF(B922="","",IF(F922&gt;=3,"FLAG",""))</f>
        <v/>
      </c>
    </row>
    <row r="923" customFormat="false" ht="15" hidden="false" customHeight="false" outlineLevel="0" collapsed="false">
      <c r="A923" s="24"/>
      <c r="B923" s="28"/>
      <c r="C923" s="22"/>
      <c r="D923" s="22"/>
      <c r="E923" s="28"/>
      <c r="F923" s="10" t="str">
        <f aca="false">IF(B923="","",SUMIFS($D$5:D923,$B$5:B923,B923))</f>
        <v/>
      </c>
      <c r="G923" s="10" t="str">
        <f aca="false">IF(B923="","",IF(F923&gt;=3,"FLAG",""))</f>
        <v/>
      </c>
    </row>
    <row r="924" customFormat="false" ht="15" hidden="false" customHeight="false" outlineLevel="0" collapsed="false">
      <c r="A924" s="24"/>
      <c r="B924" s="28"/>
      <c r="C924" s="22"/>
      <c r="D924" s="22"/>
      <c r="E924" s="28"/>
      <c r="F924" s="10" t="str">
        <f aca="false">IF(B924="","",SUMIFS($D$5:D924,$B$5:B924,B924))</f>
        <v/>
      </c>
      <c r="G924" s="10" t="str">
        <f aca="false">IF(B924="","",IF(F924&gt;=3,"FLAG",""))</f>
        <v/>
      </c>
    </row>
    <row r="925" customFormat="false" ht="15" hidden="false" customHeight="false" outlineLevel="0" collapsed="false">
      <c r="A925" s="24"/>
      <c r="B925" s="28"/>
      <c r="C925" s="22"/>
      <c r="D925" s="22"/>
      <c r="E925" s="28"/>
      <c r="F925" s="10" t="str">
        <f aca="false">IF(B925="","",SUMIFS($D$5:D925,$B$5:B925,B925))</f>
        <v/>
      </c>
      <c r="G925" s="10" t="str">
        <f aca="false">IF(B925="","",IF(F925&gt;=3,"FLAG",""))</f>
        <v/>
      </c>
    </row>
    <row r="926" customFormat="false" ht="15" hidden="false" customHeight="false" outlineLevel="0" collapsed="false">
      <c r="A926" s="24"/>
      <c r="B926" s="28"/>
      <c r="C926" s="22"/>
      <c r="D926" s="22"/>
      <c r="E926" s="28"/>
      <c r="F926" s="10" t="str">
        <f aca="false">IF(B926="","",SUMIFS($D$5:D926,$B$5:B926,B926))</f>
        <v/>
      </c>
      <c r="G926" s="10" t="str">
        <f aca="false">IF(B926="","",IF(F926&gt;=3,"FLAG",""))</f>
        <v/>
      </c>
    </row>
    <row r="927" customFormat="false" ht="15" hidden="false" customHeight="false" outlineLevel="0" collapsed="false">
      <c r="A927" s="24"/>
      <c r="B927" s="28"/>
      <c r="C927" s="22"/>
      <c r="D927" s="22"/>
      <c r="E927" s="28"/>
      <c r="F927" s="10" t="str">
        <f aca="false">IF(B927="","",SUMIFS($D$5:D927,$B$5:B927,B927))</f>
        <v/>
      </c>
      <c r="G927" s="10" t="str">
        <f aca="false">IF(B927="","",IF(F927&gt;=3,"FLAG",""))</f>
        <v/>
      </c>
    </row>
    <row r="928" customFormat="false" ht="15" hidden="false" customHeight="false" outlineLevel="0" collapsed="false">
      <c r="A928" s="24"/>
      <c r="B928" s="28"/>
      <c r="C928" s="22"/>
      <c r="D928" s="22"/>
      <c r="E928" s="28"/>
      <c r="F928" s="10" t="str">
        <f aca="false">IF(B928="","",SUMIFS($D$5:D928,$B$5:B928,B928))</f>
        <v/>
      </c>
      <c r="G928" s="10" t="str">
        <f aca="false">IF(B928="","",IF(F928&gt;=3,"FLAG",""))</f>
        <v/>
      </c>
    </row>
    <row r="929" customFormat="false" ht="15" hidden="false" customHeight="false" outlineLevel="0" collapsed="false">
      <c r="A929" s="24"/>
      <c r="B929" s="28"/>
      <c r="C929" s="22"/>
      <c r="D929" s="22"/>
      <c r="E929" s="28"/>
      <c r="F929" s="10" t="str">
        <f aca="false">IF(B929="","",SUMIFS($D$5:D929,$B$5:B929,B929))</f>
        <v/>
      </c>
      <c r="G929" s="10" t="str">
        <f aca="false">IF(B929="","",IF(F929&gt;=3,"FLAG",""))</f>
        <v/>
      </c>
    </row>
    <row r="930" customFormat="false" ht="15" hidden="false" customHeight="false" outlineLevel="0" collapsed="false">
      <c r="A930" s="24"/>
      <c r="B930" s="28"/>
      <c r="C930" s="22"/>
      <c r="D930" s="22"/>
      <c r="E930" s="28"/>
      <c r="F930" s="10" t="str">
        <f aca="false">IF(B930="","",SUMIFS($D$5:D930,$B$5:B930,B930))</f>
        <v/>
      </c>
      <c r="G930" s="10" t="str">
        <f aca="false">IF(B930="","",IF(F930&gt;=3,"FLAG",""))</f>
        <v/>
      </c>
    </row>
    <row r="931" customFormat="false" ht="15" hidden="false" customHeight="false" outlineLevel="0" collapsed="false">
      <c r="A931" s="24"/>
      <c r="B931" s="28"/>
      <c r="C931" s="22"/>
      <c r="D931" s="22"/>
      <c r="E931" s="28"/>
      <c r="F931" s="10" t="str">
        <f aca="false">IF(B931="","",SUMIFS($D$5:D931,$B$5:B931,B931))</f>
        <v/>
      </c>
      <c r="G931" s="10" t="str">
        <f aca="false">IF(B931="","",IF(F931&gt;=3,"FLAG",""))</f>
        <v/>
      </c>
    </row>
    <row r="932" customFormat="false" ht="15" hidden="false" customHeight="false" outlineLevel="0" collapsed="false">
      <c r="A932" s="24"/>
      <c r="B932" s="28"/>
      <c r="C932" s="22"/>
      <c r="D932" s="22"/>
      <c r="E932" s="28"/>
      <c r="F932" s="10" t="str">
        <f aca="false">IF(B932="","",SUMIFS($D$5:D932,$B$5:B932,B932))</f>
        <v/>
      </c>
      <c r="G932" s="10" t="str">
        <f aca="false">IF(B932="","",IF(F932&gt;=3,"FLAG",""))</f>
        <v/>
      </c>
    </row>
    <row r="933" customFormat="false" ht="15" hidden="false" customHeight="false" outlineLevel="0" collapsed="false">
      <c r="A933" s="24"/>
      <c r="B933" s="28"/>
      <c r="C933" s="22"/>
      <c r="D933" s="22"/>
      <c r="E933" s="28"/>
      <c r="F933" s="10" t="str">
        <f aca="false">IF(B933="","",SUMIFS($D$5:D933,$B$5:B933,B933))</f>
        <v/>
      </c>
      <c r="G933" s="10" t="str">
        <f aca="false">IF(B933="","",IF(F933&gt;=3,"FLAG",""))</f>
        <v/>
      </c>
    </row>
    <row r="934" customFormat="false" ht="15" hidden="false" customHeight="false" outlineLevel="0" collapsed="false">
      <c r="A934" s="24"/>
      <c r="B934" s="28"/>
      <c r="C934" s="22"/>
      <c r="D934" s="22"/>
      <c r="E934" s="28"/>
      <c r="F934" s="10" t="str">
        <f aca="false">IF(B934="","",SUMIFS($D$5:D934,$B$5:B934,B934))</f>
        <v/>
      </c>
      <c r="G934" s="10" t="str">
        <f aca="false">IF(B934="","",IF(F934&gt;=3,"FLAG",""))</f>
        <v/>
      </c>
    </row>
    <row r="935" customFormat="false" ht="15" hidden="false" customHeight="false" outlineLevel="0" collapsed="false">
      <c r="A935" s="24"/>
      <c r="B935" s="28"/>
      <c r="C935" s="22"/>
      <c r="D935" s="22"/>
      <c r="E935" s="28"/>
      <c r="F935" s="10" t="str">
        <f aca="false">IF(B935="","",SUMIFS($D$5:D935,$B$5:B935,B935))</f>
        <v/>
      </c>
      <c r="G935" s="10" t="str">
        <f aca="false">IF(B935="","",IF(F935&gt;=3,"FLAG",""))</f>
        <v/>
      </c>
    </row>
    <row r="936" customFormat="false" ht="15" hidden="false" customHeight="false" outlineLevel="0" collapsed="false">
      <c r="A936" s="24"/>
      <c r="B936" s="28"/>
      <c r="C936" s="22"/>
      <c r="D936" s="22"/>
      <c r="E936" s="28"/>
      <c r="F936" s="10" t="str">
        <f aca="false">IF(B936="","",SUMIFS($D$5:D936,$B$5:B936,B936))</f>
        <v/>
      </c>
      <c r="G936" s="10" t="str">
        <f aca="false">IF(B936="","",IF(F936&gt;=3,"FLAG",""))</f>
        <v/>
      </c>
    </row>
    <row r="937" customFormat="false" ht="15" hidden="false" customHeight="false" outlineLevel="0" collapsed="false">
      <c r="A937" s="24"/>
      <c r="B937" s="28"/>
      <c r="C937" s="22"/>
      <c r="D937" s="22"/>
      <c r="E937" s="28"/>
      <c r="F937" s="10" t="str">
        <f aca="false">IF(B937="","",SUMIFS($D$5:D937,$B$5:B937,B937))</f>
        <v/>
      </c>
      <c r="G937" s="10" t="str">
        <f aca="false">IF(B937="","",IF(F937&gt;=3,"FLAG",""))</f>
        <v/>
      </c>
    </row>
    <row r="938" customFormat="false" ht="15" hidden="false" customHeight="false" outlineLevel="0" collapsed="false">
      <c r="A938" s="24"/>
      <c r="B938" s="28"/>
      <c r="C938" s="22"/>
      <c r="D938" s="22"/>
      <c r="E938" s="28"/>
      <c r="F938" s="10" t="str">
        <f aca="false">IF(B938="","",SUMIFS($D$5:D938,$B$5:B938,B938))</f>
        <v/>
      </c>
      <c r="G938" s="10" t="str">
        <f aca="false">IF(B938="","",IF(F938&gt;=3,"FLAG",""))</f>
        <v/>
      </c>
    </row>
    <row r="939" customFormat="false" ht="15" hidden="false" customHeight="false" outlineLevel="0" collapsed="false">
      <c r="A939" s="24"/>
      <c r="B939" s="28"/>
      <c r="C939" s="22"/>
      <c r="D939" s="22"/>
      <c r="E939" s="28"/>
      <c r="F939" s="10" t="str">
        <f aca="false">IF(B939="","",SUMIFS($D$5:D939,$B$5:B939,B939))</f>
        <v/>
      </c>
      <c r="G939" s="10" t="str">
        <f aca="false">IF(B939="","",IF(F939&gt;=3,"FLAG",""))</f>
        <v/>
      </c>
    </row>
    <row r="940" customFormat="false" ht="15" hidden="false" customHeight="false" outlineLevel="0" collapsed="false">
      <c r="A940" s="24"/>
      <c r="B940" s="28"/>
      <c r="C940" s="22"/>
      <c r="D940" s="22"/>
      <c r="E940" s="28"/>
      <c r="F940" s="10" t="str">
        <f aca="false">IF(B940="","",SUMIFS($D$5:D940,$B$5:B940,B940))</f>
        <v/>
      </c>
      <c r="G940" s="10" t="str">
        <f aca="false">IF(B940="","",IF(F940&gt;=3,"FLAG",""))</f>
        <v/>
      </c>
    </row>
    <row r="941" customFormat="false" ht="15" hidden="false" customHeight="false" outlineLevel="0" collapsed="false">
      <c r="A941" s="24"/>
      <c r="B941" s="28"/>
      <c r="C941" s="22"/>
      <c r="D941" s="22"/>
      <c r="E941" s="28"/>
      <c r="F941" s="10" t="str">
        <f aca="false">IF(B941="","",SUMIFS($D$5:D941,$B$5:B941,B941))</f>
        <v/>
      </c>
      <c r="G941" s="10" t="str">
        <f aca="false">IF(B941="","",IF(F941&gt;=3,"FLAG",""))</f>
        <v/>
      </c>
    </row>
    <row r="942" customFormat="false" ht="15" hidden="false" customHeight="false" outlineLevel="0" collapsed="false">
      <c r="A942" s="24"/>
      <c r="B942" s="28"/>
      <c r="C942" s="22"/>
      <c r="D942" s="22"/>
      <c r="E942" s="28"/>
      <c r="F942" s="10" t="str">
        <f aca="false">IF(B942="","",SUMIFS($D$5:D942,$B$5:B942,B942))</f>
        <v/>
      </c>
      <c r="G942" s="10" t="str">
        <f aca="false">IF(B942="","",IF(F942&gt;=3,"FLAG",""))</f>
        <v/>
      </c>
    </row>
    <row r="943" customFormat="false" ht="15" hidden="false" customHeight="false" outlineLevel="0" collapsed="false">
      <c r="A943" s="24"/>
      <c r="B943" s="28"/>
      <c r="C943" s="22"/>
      <c r="D943" s="22"/>
      <c r="E943" s="28"/>
      <c r="F943" s="10" t="str">
        <f aca="false">IF(B943="","",SUMIFS($D$5:D943,$B$5:B943,B943))</f>
        <v/>
      </c>
      <c r="G943" s="10" t="str">
        <f aca="false">IF(B943="","",IF(F943&gt;=3,"FLAG",""))</f>
        <v/>
      </c>
    </row>
    <row r="944" customFormat="false" ht="15" hidden="false" customHeight="false" outlineLevel="0" collapsed="false">
      <c r="A944" s="24"/>
      <c r="B944" s="28"/>
      <c r="C944" s="22"/>
      <c r="D944" s="22"/>
      <c r="E944" s="28"/>
      <c r="F944" s="10" t="str">
        <f aca="false">IF(B944="","",SUMIFS($D$5:D944,$B$5:B944,B944))</f>
        <v/>
      </c>
      <c r="G944" s="10" t="str">
        <f aca="false">IF(B944="","",IF(F944&gt;=3,"FLAG",""))</f>
        <v/>
      </c>
    </row>
    <row r="945" customFormat="false" ht="15" hidden="false" customHeight="false" outlineLevel="0" collapsed="false">
      <c r="A945" s="24"/>
      <c r="B945" s="28"/>
      <c r="C945" s="22"/>
      <c r="D945" s="22"/>
      <c r="E945" s="28"/>
      <c r="F945" s="10" t="str">
        <f aca="false">IF(B945="","",SUMIFS($D$5:D945,$B$5:B945,B945))</f>
        <v/>
      </c>
      <c r="G945" s="10" t="str">
        <f aca="false">IF(B945="","",IF(F945&gt;=3,"FLAG",""))</f>
        <v/>
      </c>
    </row>
    <row r="946" customFormat="false" ht="15" hidden="false" customHeight="false" outlineLevel="0" collapsed="false">
      <c r="A946" s="24"/>
      <c r="B946" s="28"/>
      <c r="C946" s="22"/>
      <c r="D946" s="22"/>
      <c r="E946" s="28"/>
      <c r="F946" s="10" t="str">
        <f aca="false">IF(B946="","",SUMIFS($D$5:D946,$B$5:B946,B946))</f>
        <v/>
      </c>
      <c r="G946" s="10" t="str">
        <f aca="false">IF(B946="","",IF(F946&gt;=3,"FLAG",""))</f>
        <v/>
      </c>
    </row>
    <row r="947" customFormat="false" ht="15" hidden="false" customHeight="false" outlineLevel="0" collapsed="false">
      <c r="A947" s="24"/>
      <c r="B947" s="28"/>
      <c r="C947" s="22"/>
      <c r="D947" s="22"/>
      <c r="E947" s="28"/>
      <c r="F947" s="10" t="str">
        <f aca="false">IF(B947="","",SUMIFS($D$5:D947,$B$5:B947,B947))</f>
        <v/>
      </c>
      <c r="G947" s="10" t="str">
        <f aca="false">IF(B947="","",IF(F947&gt;=3,"FLAG",""))</f>
        <v/>
      </c>
    </row>
    <row r="948" customFormat="false" ht="15" hidden="false" customHeight="false" outlineLevel="0" collapsed="false">
      <c r="A948" s="24"/>
      <c r="B948" s="28"/>
      <c r="C948" s="22"/>
      <c r="D948" s="22"/>
      <c r="E948" s="28"/>
      <c r="F948" s="10" t="str">
        <f aca="false">IF(B948="","",SUMIFS($D$5:D948,$B$5:B948,B948))</f>
        <v/>
      </c>
      <c r="G948" s="10" t="str">
        <f aca="false">IF(B948="","",IF(F948&gt;=3,"FLAG",""))</f>
        <v/>
      </c>
    </row>
    <row r="949" customFormat="false" ht="15" hidden="false" customHeight="false" outlineLevel="0" collapsed="false">
      <c r="A949" s="24"/>
      <c r="B949" s="28"/>
      <c r="C949" s="22"/>
      <c r="D949" s="22"/>
      <c r="E949" s="28"/>
      <c r="F949" s="10" t="str">
        <f aca="false">IF(B949="","",SUMIFS($D$5:D949,$B$5:B949,B949))</f>
        <v/>
      </c>
      <c r="G949" s="10" t="str">
        <f aca="false">IF(B949="","",IF(F949&gt;=3,"FLAG",""))</f>
        <v/>
      </c>
    </row>
    <row r="950" customFormat="false" ht="15" hidden="false" customHeight="false" outlineLevel="0" collapsed="false">
      <c r="A950" s="24"/>
      <c r="B950" s="28"/>
      <c r="C950" s="22"/>
      <c r="D950" s="22"/>
      <c r="E950" s="28"/>
      <c r="F950" s="10" t="str">
        <f aca="false">IF(B950="","",SUMIFS($D$5:D950,$B$5:B950,B950))</f>
        <v/>
      </c>
      <c r="G950" s="10" t="str">
        <f aca="false">IF(B950="","",IF(F950&gt;=3,"FLAG",""))</f>
        <v/>
      </c>
    </row>
    <row r="951" customFormat="false" ht="15" hidden="false" customHeight="false" outlineLevel="0" collapsed="false">
      <c r="A951" s="24"/>
      <c r="B951" s="28"/>
      <c r="C951" s="22"/>
      <c r="D951" s="22"/>
      <c r="E951" s="28"/>
      <c r="F951" s="10" t="str">
        <f aca="false">IF(B951="","",SUMIFS($D$5:D951,$B$5:B951,B951))</f>
        <v/>
      </c>
      <c r="G951" s="10" t="str">
        <f aca="false">IF(B951="","",IF(F951&gt;=3,"FLAG",""))</f>
        <v/>
      </c>
    </row>
    <row r="952" customFormat="false" ht="15" hidden="false" customHeight="false" outlineLevel="0" collapsed="false">
      <c r="A952" s="24"/>
      <c r="B952" s="28"/>
      <c r="C952" s="22"/>
      <c r="D952" s="22"/>
      <c r="E952" s="28"/>
      <c r="F952" s="10" t="str">
        <f aca="false">IF(B952="","",SUMIFS($D$5:D952,$B$5:B952,B952))</f>
        <v/>
      </c>
      <c r="G952" s="10" t="str">
        <f aca="false">IF(B952="","",IF(F952&gt;=3,"FLAG",""))</f>
        <v/>
      </c>
    </row>
    <row r="953" customFormat="false" ht="15" hidden="false" customHeight="false" outlineLevel="0" collapsed="false">
      <c r="A953" s="24"/>
      <c r="B953" s="28"/>
      <c r="C953" s="22"/>
      <c r="D953" s="22"/>
      <c r="E953" s="28"/>
      <c r="F953" s="10" t="str">
        <f aca="false">IF(B953="","",SUMIFS($D$5:D953,$B$5:B953,B953))</f>
        <v/>
      </c>
      <c r="G953" s="10" t="str">
        <f aca="false">IF(B953="","",IF(F953&gt;=3,"FLAG",""))</f>
        <v/>
      </c>
    </row>
    <row r="954" customFormat="false" ht="15" hidden="false" customHeight="false" outlineLevel="0" collapsed="false">
      <c r="A954" s="24"/>
      <c r="B954" s="28"/>
      <c r="C954" s="22"/>
      <c r="D954" s="22"/>
      <c r="E954" s="28"/>
      <c r="F954" s="10" t="str">
        <f aca="false">IF(B954="","",SUMIFS($D$5:D954,$B$5:B954,B954))</f>
        <v/>
      </c>
      <c r="G954" s="10" t="str">
        <f aca="false">IF(B954="","",IF(F954&gt;=3,"FLAG",""))</f>
        <v/>
      </c>
    </row>
    <row r="955" customFormat="false" ht="15" hidden="false" customHeight="false" outlineLevel="0" collapsed="false">
      <c r="A955" s="24"/>
      <c r="B955" s="28"/>
      <c r="C955" s="22"/>
      <c r="D955" s="22"/>
      <c r="E955" s="28"/>
      <c r="F955" s="10" t="str">
        <f aca="false">IF(B955="","",SUMIFS($D$5:D955,$B$5:B955,B955))</f>
        <v/>
      </c>
      <c r="G955" s="10" t="str">
        <f aca="false">IF(B955="","",IF(F955&gt;=3,"FLAG",""))</f>
        <v/>
      </c>
    </row>
    <row r="956" customFormat="false" ht="15" hidden="false" customHeight="false" outlineLevel="0" collapsed="false">
      <c r="A956" s="24"/>
      <c r="B956" s="28"/>
      <c r="C956" s="22"/>
      <c r="D956" s="22"/>
      <c r="E956" s="28"/>
      <c r="F956" s="10" t="str">
        <f aca="false">IF(B956="","",SUMIFS($D$5:D956,$B$5:B956,B956))</f>
        <v/>
      </c>
      <c r="G956" s="10" t="str">
        <f aca="false">IF(B956="","",IF(F956&gt;=3,"FLAG",""))</f>
        <v/>
      </c>
    </row>
    <row r="957" customFormat="false" ht="15" hidden="false" customHeight="false" outlineLevel="0" collapsed="false">
      <c r="A957" s="24"/>
      <c r="B957" s="28"/>
      <c r="C957" s="22"/>
      <c r="D957" s="22"/>
      <c r="E957" s="28"/>
      <c r="F957" s="10" t="str">
        <f aca="false">IF(B957="","",SUMIFS($D$5:D957,$B$5:B957,B957))</f>
        <v/>
      </c>
      <c r="G957" s="10" t="str">
        <f aca="false">IF(B957="","",IF(F957&gt;=3,"FLAG",""))</f>
        <v/>
      </c>
    </row>
    <row r="958" customFormat="false" ht="15" hidden="false" customHeight="false" outlineLevel="0" collapsed="false">
      <c r="A958" s="24"/>
      <c r="B958" s="28"/>
      <c r="C958" s="22"/>
      <c r="D958" s="22"/>
      <c r="E958" s="28"/>
      <c r="F958" s="10" t="str">
        <f aca="false">IF(B958="","",SUMIFS($D$5:D958,$B$5:B958,B958))</f>
        <v/>
      </c>
      <c r="G958" s="10" t="str">
        <f aca="false">IF(B958="","",IF(F958&gt;=3,"FLAG",""))</f>
        <v/>
      </c>
    </row>
    <row r="959" customFormat="false" ht="15" hidden="false" customHeight="false" outlineLevel="0" collapsed="false">
      <c r="A959" s="24"/>
      <c r="B959" s="28"/>
      <c r="C959" s="22"/>
      <c r="D959" s="22"/>
      <c r="E959" s="28"/>
      <c r="F959" s="10" t="str">
        <f aca="false">IF(B959="","",SUMIFS($D$5:D959,$B$5:B959,B959))</f>
        <v/>
      </c>
      <c r="G959" s="10" t="str">
        <f aca="false">IF(B959="","",IF(F959&gt;=3,"FLAG",""))</f>
        <v/>
      </c>
    </row>
    <row r="960" customFormat="false" ht="15" hidden="false" customHeight="false" outlineLevel="0" collapsed="false">
      <c r="A960" s="24"/>
      <c r="B960" s="28"/>
      <c r="C960" s="22"/>
      <c r="D960" s="22"/>
      <c r="E960" s="28"/>
      <c r="F960" s="10" t="str">
        <f aca="false">IF(B960="","",SUMIFS($D$5:D960,$B$5:B960,B960))</f>
        <v/>
      </c>
      <c r="G960" s="10" t="str">
        <f aca="false">IF(B960="","",IF(F960&gt;=3,"FLAG",""))</f>
        <v/>
      </c>
    </row>
    <row r="961" customFormat="false" ht="15" hidden="false" customHeight="false" outlineLevel="0" collapsed="false">
      <c r="A961" s="24"/>
      <c r="B961" s="28"/>
      <c r="C961" s="22"/>
      <c r="D961" s="22"/>
      <c r="E961" s="28"/>
      <c r="F961" s="10" t="str">
        <f aca="false">IF(B961="","",SUMIFS($D$5:D961,$B$5:B961,B961))</f>
        <v/>
      </c>
      <c r="G961" s="10" t="str">
        <f aca="false">IF(B961="","",IF(F961&gt;=3,"FLAG",""))</f>
        <v/>
      </c>
    </row>
    <row r="962" customFormat="false" ht="15" hidden="false" customHeight="false" outlineLevel="0" collapsed="false">
      <c r="A962" s="24"/>
      <c r="B962" s="28"/>
      <c r="C962" s="22"/>
      <c r="D962" s="22"/>
      <c r="E962" s="28"/>
      <c r="F962" s="10" t="str">
        <f aca="false">IF(B962="","",SUMIFS($D$5:D962,$B$5:B962,B962))</f>
        <v/>
      </c>
      <c r="G962" s="10" t="str">
        <f aca="false">IF(B962="","",IF(F962&gt;=3,"FLAG",""))</f>
        <v/>
      </c>
    </row>
    <row r="963" customFormat="false" ht="15" hidden="false" customHeight="false" outlineLevel="0" collapsed="false">
      <c r="A963" s="24"/>
      <c r="B963" s="28"/>
      <c r="C963" s="22"/>
      <c r="D963" s="22"/>
      <c r="E963" s="28"/>
      <c r="F963" s="10" t="str">
        <f aca="false">IF(B963="","",SUMIFS($D$5:D963,$B$5:B963,B963))</f>
        <v/>
      </c>
      <c r="G963" s="10" t="str">
        <f aca="false">IF(B963="","",IF(F963&gt;=3,"FLAG",""))</f>
        <v/>
      </c>
    </row>
    <row r="964" customFormat="false" ht="15" hidden="false" customHeight="false" outlineLevel="0" collapsed="false">
      <c r="A964" s="24"/>
      <c r="B964" s="28"/>
      <c r="C964" s="22"/>
      <c r="D964" s="22"/>
      <c r="E964" s="28"/>
      <c r="F964" s="10" t="str">
        <f aca="false">IF(B964="","",SUMIFS($D$5:D964,$B$5:B964,B964))</f>
        <v/>
      </c>
      <c r="G964" s="10" t="str">
        <f aca="false">IF(B964="","",IF(F964&gt;=3,"FLAG",""))</f>
        <v/>
      </c>
    </row>
    <row r="965" customFormat="false" ht="15" hidden="false" customHeight="false" outlineLevel="0" collapsed="false">
      <c r="A965" s="24"/>
      <c r="B965" s="28"/>
      <c r="C965" s="22"/>
      <c r="D965" s="22"/>
      <c r="E965" s="28"/>
      <c r="F965" s="10" t="str">
        <f aca="false">IF(B965="","",SUMIFS($D$5:D965,$B$5:B965,B965))</f>
        <v/>
      </c>
      <c r="G965" s="10" t="str">
        <f aca="false">IF(B965="","",IF(F965&gt;=3,"FLAG",""))</f>
        <v/>
      </c>
    </row>
    <row r="966" customFormat="false" ht="15" hidden="false" customHeight="false" outlineLevel="0" collapsed="false">
      <c r="A966" s="24"/>
      <c r="B966" s="28"/>
      <c r="C966" s="22"/>
      <c r="D966" s="22"/>
      <c r="E966" s="28"/>
      <c r="F966" s="10" t="str">
        <f aca="false">IF(B966="","",SUMIFS($D$5:D966,$B$5:B966,B966))</f>
        <v/>
      </c>
      <c r="G966" s="10" t="str">
        <f aca="false">IF(B966="","",IF(F966&gt;=3,"FLAG",""))</f>
        <v/>
      </c>
    </row>
    <row r="967" customFormat="false" ht="15" hidden="false" customHeight="false" outlineLevel="0" collapsed="false">
      <c r="A967" s="24"/>
      <c r="B967" s="28"/>
      <c r="C967" s="22"/>
      <c r="D967" s="22"/>
      <c r="E967" s="28"/>
      <c r="F967" s="10" t="str">
        <f aca="false">IF(B967="","",SUMIFS($D$5:D967,$B$5:B967,B967))</f>
        <v/>
      </c>
      <c r="G967" s="10" t="str">
        <f aca="false">IF(B967="","",IF(F967&gt;=3,"FLAG",""))</f>
        <v/>
      </c>
    </row>
    <row r="968" customFormat="false" ht="15" hidden="false" customHeight="false" outlineLevel="0" collapsed="false">
      <c r="A968" s="24"/>
      <c r="B968" s="28"/>
      <c r="C968" s="22"/>
      <c r="D968" s="22"/>
      <c r="E968" s="28"/>
      <c r="F968" s="10" t="str">
        <f aca="false">IF(B968="","",SUMIFS($D$5:D968,$B$5:B968,B968))</f>
        <v/>
      </c>
      <c r="G968" s="10" t="str">
        <f aca="false">IF(B968="","",IF(F968&gt;=3,"FLAG",""))</f>
        <v/>
      </c>
    </row>
    <row r="969" customFormat="false" ht="15" hidden="false" customHeight="false" outlineLevel="0" collapsed="false">
      <c r="A969" s="24"/>
      <c r="B969" s="28"/>
      <c r="C969" s="22"/>
      <c r="D969" s="22"/>
      <c r="E969" s="28"/>
      <c r="F969" s="10" t="str">
        <f aca="false">IF(B969="","",SUMIFS($D$5:D969,$B$5:B969,B969))</f>
        <v/>
      </c>
      <c r="G969" s="10" t="str">
        <f aca="false">IF(B969="","",IF(F969&gt;=3,"FLAG",""))</f>
        <v/>
      </c>
    </row>
    <row r="970" customFormat="false" ht="15" hidden="false" customHeight="false" outlineLevel="0" collapsed="false">
      <c r="A970" s="24"/>
      <c r="B970" s="28"/>
      <c r="C970" s="22"/>
      <c r="D970" s="22"/>
      <c r="E970" s="28"/>
      <c r="F970" s="10" t="str">
        <f aca="false">IF(B970="","",SUMIFS($D$5:D970,$B$5:B970,B970))</f>
        <v/>
      </c>
      <c r="G970" s="10" t="str">
        <f aca="false">IF(B970="","",IF(F970&gt;=3,"FLAG",""))</f>
        <v/>
      </c>
    </row>
    <row r="971" customFormat="false" ht="15" hidden="false" customHeight="false" outlineLevel="0" collapsed="false">
      <c r="A971" s="24"/>
      <c r="B971" s="28"/>
      <c r="C971" s="22"/>
      <c r="D971" s="22"/>
      <c r="E971" s="28"/>
      <c r="F971" s="10" t="str">
        <f aca="false">IF(B971="","",SUMIFS($D$5:D971,$B$5:B971,B971))</f>
        <v/>
      </c>
      <c r="G971" s="10" t="str">
        <f aca="false">IF(B971="","",IF(F971&gt;=3,"FLAG",""))</f>
        <v/>
      </c>
    </row>
    <row r="972" customFormat="false" ht="15" hidden="false" customHeight="false" outlineLevel="0" collapsed="false">
      <c r="A972" s="24"/>
      <c r="B972" s="28"/>
      <c r="C972" s="22"/>
      <c r="D972" s="22"/>
      <c r="E972" s="28"/>
      <c r="F972" s="10" t="str">
        <f aca="false">IF(B972="","",SUMIFS($D$5:D972,$B$5:B972,B972))</f>
        <v/>
      </c>
      <c r="G972" s="10" t="str">
        <f aca="false">IF(B972="","",IF(F972&gt;=3,"FLAG",""))</f>
        <v/>
      </c>
    </row>
    <row r="973" customFormat="false" ht="15" hidden="false" customHeight="false" outlineLevel="0" collapsed="false">
      <c r="A973" s="24"/>
      <c r="B973" s="28"/>
      <c r="C973" s="22"/>
      <c r="D973" s="22"/>
      <c r="E973" s="28"/>
      <c r="F973" s="10" t="str">
        <f aca="false">IF(B973="","",SUMIFS($D$5:D973,$B$5:B973,B973))</f>
        <v/>
      </c>
      <c r="G973" s="10" t="str">
        <f aca="false">IF(B973="","",IF(F973&gt;=3,"FLAG",""))</f>
        <v/>
      </c>
    </row>
    <row r="974" customFormat="false" ht="15" hidden="false" customHeight="false" outlineLevel="0" collapsed="false">
      <c r="A974" s="24"/>
      <c r="B974" s="28"/>
      <c r="C974" s="22"/>
      <c r="D974" s="22"/>
      <c r="E974" s="28"/>
      <c r="F974" s="10" t="str">
        <f aca="false">IF(B974="","",SUMIFS($D$5:D974,$B$5:B974,B974))</f>
        <v/>
      </c>
      <c r="G974" s="10" t="str">
        <f aca="false">IF(B974="","",IF(F974&gt;=3,"FLAG",""))</f>
        <v/>
      </c>
    </row>
    <row r="975" customFormat="false" ht="15" hidden="false" customHeight="false" outlineLevel="0" collapsed="false">
      <c r="A975" s="24"/>
      <c r="B975" s="28"/>
      <c r="C975" s="22"/>
      <c r="D975" s="22"/>
      <c r="E975" s="28"/>
      <c r="F975" s="10" t="str">
        <f aca="false">IF(B975="","",SUMIFS($D$5:D975,$B$5:B975,B975))</f>
        <v/>
      </c>
      <c r="G975" s="10" t="str">
        <f aca="false">IF(B975="","",IF(F975&gt;=3,"FLAG",""))</f>
        <v/>
      </c>
    </row>
    <row r="976" customFormat="false" ht="15" hidden="false" customHeight="false" outlineLevel="0" collapsed="false">
      <c r="A976" s="24"/>
      <c r="B976" s="28"/>
      <c r="C976" s="22"/>
      <c r="D976" s="22"/>
      <c r="E976" s="28"/>
      <c r="F976" s="10" t="str">
        <f aca="false">IF(B976="","",SUMIFS($D$5:D976,$B$5:B976,B976))</f>
        <v/>
      </c>
      <c r="G976" s="10" t="str">
        <f aca="false">IF(B976="","",IF(F976&gt;=3,"FLAG",""))</f>
        <v/>
      </c>
    </row>
    <row r="977" customFormat="false" ht="15" hidden="false" customHeight="false" outlineLevel="0" collapsed="false">
      <c r="A977" s="24"/>
      <c r="B977" s="28"/>
      <c r="C977" s="22"/>
      <c r="D977" s="22"/>
      <c r="E977" s="28"/>
      <c r="F977" s="10" t="str">
        <f aca="false">IF(B977="","",SUMIFS($D$5:D977,$B$5:B977,B977))</f>
        <v/>
      </c>
      <c r="G977" s="10" t="str">
        <f aca="false">IF(B977="","",IF(F977&gt;=3,"FLAG",""))</f>
        <v/>
      </c>
    </row>
    <row r="978" customFormat="false" ht="15" hidden="false" customHeight="false" outlineLevel="0" collapsed="false">
      <c r="A978" s="24"/>
      <c r="B978" s="28"/>
      <c r="C978" s="22"/>
      <c r="D978" s="22"/>
      <c r="E978" s="28"/>
      <c r="F978" s="10" t="str">
        <f aca="false">IF(B978="","",SUMIFS($D$5:D978,$B$5:B978,B978))</f>
        <v/>
      </c>
      <c r="G978" s="10" t="str">
        <f aca="false">IF(B978="","",IF(F978&gt;=3,"FLAG",""))</f>
        <v/>
      </c>
    </row>
    <row r="979" customFormat="false" ht="15" hidden="false" customHeight="false" outlineLevel="0" collapsed="false">
      <c r="A979" s="24"/>
      <c r="B979" s="28"/>
      <c r="C979" s="22"/>
      <c r="D979" s="22"/>
      <c r="E979" s="28"/>
      <c r="F979" s="10" t="str">
        <f aca="false">IF(B979="","",SUMIFS($D$5:D979,$B$5:B979,B979))</f>
        <v/>
      </c>
      <c r="G979" s="10" t="str">
        <f aca="false">IF(B979="","",IF(F979&gt;=3,"FLAG",""))</f>
        <v/>
      </c>
    </row>
    <row r="980" customFormat="false" ht="15" hidden="false" customHeight="false" outlineLevel="0" collapsed="false">
      <c r="A980" s="24"/>
      <c r="B980" s="28"/>
      <c r="C980" s="22"/>
      <c r="D980" s="22"/>
      <c r="E980" s="28"/>
      <c r="F980" s="10" t="str">
        <f aca="false">IF(B980="","",SUMIFS($D$5:D980,$B$5:B980,B980))</f>
        <v/>
      </c>
      <c r="G980" s="10" t="str">
        <f aca="false">IF(B980="","",IF(F980&gt;=3,"FLAG",""))</f>
        <v/>
      </c>
    </row>
    <row r="981" customFormat="false" ht="15" hidden="false" customHeight="false" outlineLevel="0" collapsed="false">
      <c r="A981" s="24"/>
      <c r="B981" s="28"/>
      <c r="C981" s="22"/>
      <c r="D981" s="22"/>
      <c r="E981" s="28"/>
      <c r="F981" s="10" t="str">
        <f aca="false">IF(B981="","",SUMIFS($D$5:D981,$B$5:B981,B981))</f>
        <v/>
      </c>
      <c r="G981" s="10" t="str">
        <f aca="false">IF(B981="","",IF(F981&gt;=3,"FLAG",""))</f>
        <v/>
      </c>
    </row>
    <row r="982" customFormat="false" ht="15" hidden="false" customHeight="false" outlineLevel="0" collapsed="false">
      <c r="A982" s="24"/>
      <c r="B982" s="28"/>
      <c r="C982" s="22"/>
      <c r="D982" s="22"/>
      <c r="E982" s="28"/>
      <c r="F982" s="10" t="str">
        <f aca="false">IF(B982="","",SUMIFS($D$5:D982,$B$5:B982,B982))</f>
        <v/>
      </c>
      <c r="G982" s="10" t="str">
        <f aca="false">IF(B982="","",IF(F982&gt;=3,"FLAG",""))</f>
        <v/>
      </c>
    </row>
    <row r="983" customFormat="false" ht="15" hidden="false" customHeight="false" outlineLevel="0" collapsed="false">
      <c r="A983" s="24"/>
      <c r="B983" s="28"/>
      <c r="C983" s="22"/>
      <c r="D983" s="22"/>
      <c r="E983" s="28"/>
      <c r="F983" s="10" t="str">
        <f aca="false">IF(B983="","",SUMIFS($D$5:D983,$B$5:B983,B983))</f>
        <v/>
      </c>
      <c r="G983" s="10" t="str">
        <f aca="false">IF(B983="","",IF(F983&gt;=3,"FLAG",""))</f>
        <v/>
      </c>
    </row>
    <row r="984" customFormat="false" ht="15" hidden="false" customHeight="false" outlineLevel="0" collapsed="false">
      <c r="A984" s="24"/>
      <c r="B984" s="28"/>
      <c r="C984" s="22"/>
      <c r="D984" s="22"/>
      <c r="E984" s="28"/>
      <c r="F984" s="10" t="str">
        <f aca="false">IF(B984="","",SUMIFS($D$5:D984,$B$5:B984,B984))</f>
        <v/>
      </c>
      <c r="G984" s="10" t="str">
        <f aca="false">IF(B984="","",IF(F984&gt;=3,"FLAG",""))</f>
        <v/>
      </c>
    </row>
    <row r="985" customFormat="false" ht="15" hidden="false" customHeight="false" outlineLevel="0" collapsed="false">
      <c r="A985" s="24"/>
      <c r="B985" s="28"/>
      <c r="C985" s="22"/>
      <c r="D985" s="22"/>
      <c r="E985" s="28"/>
      <c r="F985" s="10" t="str">
        <f aca="false">IF(B985="","",SUMIFS($D$5:D985,$B$5:B985,B985))</f>
        <v/>
      </c>
      <c r="G985" s="10" t="str">
        <f aca="false">IF(B985="","",IF(F985&gt;=3,"FLAG",""))</f>
        <v/>
      </c>
    </row>
    <row r="986" customFormat="false" ht="15" hidden="false" customHeight="false" outlineLevel="0" collapsed="false">
      <c r="A986" s="24"/>
      <c r="B986" s="28"/>
      <c r="C986" s="22"/>
      <c r="D986" s="22"/>
      <c r="E986" s="28"/>
      <c r="F986" s="10" t="str">
        <f aca="false">IF(B986="","",SUMIFS($D$5:D986,$B$5:B986,B986))</f>
        <v/>
      </c>
      <c r="G986" s="10" t="str">
        <f aca="false">IF(B986="","",IF(F986&gt;=3,"FLAG",""))</f>
        <v/>
      </c>
    </row>
    <row r="987" customFormat="false" ht="15" hidden="false" customHeight="false" outlineLevel="0" collapsed="false">
      <c r="A987" s="24"/>
      <c r="B987" s="28"/>
      <c r="C987" s="22"/>
      <c r="D987" s="22"/>
      <c r="E987" s="28"/>
      <c r="F987" s="10" t="str">
        <f aca="false">IF(B987="","",SUMIFS($D$5:D987,$B$5:B987,B987))</f>
        <v/>
      </c>
      <c r="G987" s="10" t="str">
        <f aca="false">IF(B987="","",IF(F987&gt;=3,"FLAG",""))</f>
        <v/>
      </c>
    </row>
    <row r="988" customFormat="false" ht="15" hidden="false" customHeight="false" outlineLevel="0" collapsed="false">
      <c r="A988" s="24"/>
      <c r="B988" s="28"/>
      <c r="C988" s="22"/>
      <c r="D988" s="22"/>
      <c r="E988" s="28"/>
      <c r="F988" s="10" t="str">
        <f aca="false">IF(B988="","",SUMIFS($D$5:D988,$B$5:B988,B988))</f>
        <v/>
      </c>
      <c r="G988" s="10" t="str">
        <f aca="false">IF(B988="","",IF(F988&gt;=3,"FLAG",""))</f>
        <v/>
      </c>
    </row>
    <row r="989" customFormat="false" ht="15" hidden="false" customHeight="false" outlineLevel="0" collapsed="false">
      <c r="A989" s="24"/>
      <c r="B989" s="28"/>
      <c r="C989" s="22"/>
      <c r="D989" s="22"/>
      <c r="E989" s="28"/>
      <c r="F989" s="10" t="str">
        <f aca="false">IF(B989="","",SUMIFS($D$5:D989,$B$5:B989,B989))</f>
        <v/>
      </c>
      <c r="G989" s="10" t="str">
        <f aca="false">IF(B989="","",IF(F989&gt;=3,"FLAG",""))</f>
        <v/>
      </c>
    </row>
    <row r="990" customFormat="false" ht="15" hidden="false" customHeight="false" outlineLevel="0" collapsed="false">
      <c r="A990" s="24"/>
      <c r="B990" s="28"/>
      <c r="C990" s="22"/>
      <c r="D990" s="22"/>
      <c r="E990" s="28"/>
      <c r="F990" s="10" t="str">
        <f aca="false">IF(B990="","",SUMIFS($D$5:D990,$B$5:B990,B990))</f>
        <v/>
      </c>
      <c r="G990" s="10" t="str">
        <f aca="false">IF(B990="","",IF(F990&gt;=3,"FLAG",""))</f>
        <v/>
      </c>
    </row>
    <row r="991" customFormat="false" ht="15" hidden="false" customHeight="false" outlineLevel="0" collapsed="false">
      <c r="A991" s="24"/>
      <c r="B991" s="28"/>
      <c r="C991" s="22"/>
      <c r="D991" s="22"/>
      <c r="E991" s="28"/>
      <c r="F991" s="10" t="str">
        <f aca="false">IF(B991="","",SUMIFS($D$5:D991,$B$5:B991,B991))</f>
        <v/>
      </c>
      <c r="G991" s="10" t="str">
        <f aca="false">IF(B991="","",IF(F991&gt;=3,"FLAG",""))</f>
        <v/>
      </c>
    </row>
    <row r="992" customFormat="false" ht="15" hidden="false" customHeight="false" outlineLevel="0" collapsed="false">
      <c r="A992" s="24"/>
      <c r="B992" s="28"/>
      <c r="C992" s="22"/>
      <c r="D992" s="22"/>
      <c r="E992" s="28"/>
      <c r="F992" s="10" t="str">
        <f aca="false">IF(B992="","",SUMIFS($D$5:D992,$B$5:B992,B992))</f>
        <v/>
      </c>
      <c r="G992" s="10" t="str">
        <f aca="false">IF(B992="","",IF(F992&gt;=3,"FLAG",""))</f>
        <v/>
      </c>
    </row>
    <row r="993" customFormat="false" ht="15" hidden="false" customHeight="false" outlineLevel="0" collapsed="false">
      <c r="A993" s="24"/>
      <c r="B993" s="28"/>
      <c r="C993" s="22"/>
      <c r="D993" s="22"/>
      <c r="E993" s="28"/>
      <c r="F993" s="10" t="str">
        <f aca="false">IF(B993="","",SUMIFS($D$5:D993,$B$5:B993,B993))</f>
        <v/>
      </c>
      <c r="G993" s="10" t="str">
        <f aca="false">IF(B993="","",IF(F993&gt;=3,"FLAG",""))</f>
        <v/>
      </c>
    </row>
    <row r="994" customFormat="false" ht="15" hidden="false" customHeight="false" outlineLevel="0" collapsed="false">
      <c r="A994" s="24"/>
      <c r="B994" s="28"/>
      <c r="C994" s="22"/>
      <c r="D994" s="22"/>
      <c r="E994" s="28"/>
      <c r="F994" s="10" t="str">
        <f aca="false">IF(B994="","",SUMIFS($D$5:D994,$B$5:B994,B994))</f>
        <v/>
      </c>
      <c r="G994" s="10" t="str">
        <f aca="false">IF(B994="","",IF(F994&gt;=3,"FLAG",""))</f>
        <v/>
      </c>
    </row>
    <row r="995" customFormat="false" ht="15" hidden="false" customHeight="false" outlineLevel="0" collapsed="false">
      <c r="A995" s="24"/>
      <c r="B995" s="28"/>
      <c r="C995" s="22"/>
      <c r="D995" s="22"/>
      <c r="E995" s="28"/>
      <c r="F995" s="10" t="str">
        <f aca="false">IF(B995="","",SUMIFS($D$5:D995,$B$5:B995,B995))</f>
        <v/>
      </c>
      <c r="G995" s="10" t="str">
        <f aca="false">IF(B995="","",IF(F995&gt;=3,"FLAG",""))</f>
        <v/>
      </c>
    </row>
    <row r="996" customFormat="false" ht="15" hidden="false" customHeight="false" outlineLevel="0" collapsed="false">
      <c r="A996" s="24"/>
      <c r="B996" s="28"/>
      <c r="C996" s="22"/>
      <c r="D996" s="22"/>
      <c r="E996" s="28"/>
      <c r="F996" s="10" t="str">
        <f aca="false">IF(B996="","",SUMIFS($D$5:D996,$B$5:B996,B996))</f>
        <v/>
      </c>
      <c r="G996" s="10" t="str">
        <f aca="false">IF(B996="","",IF(F996&gt;=3,"FLAG",""))</f>
        <v/>
      </c>
    </row>
    <row r="997" customFormat="false" ht="15" hidden="false" customHeight="false" outlineLevel="0" collapsed="false">
      <c r="A997" s="24"/>
      <c r="B997" s="28"/>
      <c r="C997" s="22"/>
      <c r="D997" s="22"/>
      <c r="E997" s="28"/>
      <c r="F997" s="10" t="str">
        <f aca="false">IF(B997="","",SUMIFS($D$5:D997,$B$5:B997,B997))</f>
        <v/>
      </c>
      <c r="G997" s="10" t="str">
        <f aca="false">IF(B997="","",IF(F997&gt;=3,"FLAG",""))</f>
        <v/>
      </c>
    </row>
    <row r="998" customFormat="false" ht="15" hidden="false" customHeight="false" outlineLevel="0" collapsed="false">
      <c r="A998" s="24"/>
      <c r="B998" s="28"/>
      <c r="C998" s="22"/>
      <c r="D998" s="22"/>
      <c r="E998" s="28"/>
      <c r="F998" s="10" t="str">
        <f aca="false">IF(B998="","",SUMIFS($D$5:D998,$B$5:B998,B998))</f>
        <v/>
      </c>
      <c r="G998" s="10" t="str">
        <f aca="false">IF(B998="","",IF(F998&gt;=3,"FLAG",""))</f>
        <v/>
      </c>
    </row>
    <row r="999" customFormat="false" ht="15" hidden="false" customHeight="false" outlineLevel="0" collapsed="false">
      <c r="A999" s="24"/>
      <c r="B999" s="28"/>
      <c r="C999" s="22"/>
      <c r="D999" s="22"/>
      <c r="E999" s="28"/>
      <c r="F999" s="10" t="str">
        <f aca="false">IF(B999="","",SUMIFS($D$5:D999,$B$5:B999,B999))</f>
        <v/>
      </c>
      <c r="G999" s="10" t="str">
        <f aca="false">IF(B999="","",IF(F999&gt;=3,"FLAG",""))</f>
        <v/>
      </c>
    </row>
    <row r="1000" customFormat="false" ht="15" hidden="false" customHeight="false" outlineLevel="0" collapsed="false">
      <c r="A1000" s="24"/>
      <c r="B1000" s="28"/>
      <c r="C1000" s="22"/>
      <c r="D1000" s="22"/>
      <c r="E1000" s="28"/>
      <c r="F1000" s="10" t="str">
        <f aca="false">IF(B1000="","",SUMIFS($D$5:D1000,$B$5:B1000,B1000))</f>
        <v/>
      </c>
      <c r="G1000" s="10" t="str">
        <f aca="false">IF(B1000="","",IF(F1000&gt;=3,"FLAG",""))</f>
        <v/>
      </c>
    </row>
    <row r="1001" customFormat="false" ht="15" hidden="false" customHeight="false" outlineLevel="0" collapsed="false">
      <c r="A1001" s="24"/>
      <c r="B1001" s="28"/>
      <c r="C1001" s="22"/>
      <c r="D1001" s="22"/>
      <c r="E1001" s="28"/>
      <c r="F1001" s="10" t="str">
        <f aca="false">IF(B1001="","",SUMIFS($D$5:D1001,$B$5:B1001,B1001))</f>
        <v/>
      </c>
      <c r="G1001" s="10" t="str">
        <f aca="false">IF(B1001="","",IF(F1001&gt;=3,"FLAG",""))</f>
        <v/>
      </c>
    </row>
    <row r="1002" customFormat="false" ht="15" hidden="false" customHeight="false" outlineLevel="0" collapsed="false">
      <c r="A1002" s="24"/>
      <c r="B1002" s="28"/>
      <c r="C1002" s="22"/>
      <c r="D1002" s="22"/>
      <c r="E1002" s="28"/>
      <c r="F1002" s="10" t="str">
        <f aca="false">IF(B1002="","",SUMIFS($D$5:D1002,$B$5:B1002,B1002))</f>
        <v/>
      </c>
      <c r="G1002" s="10" t="str">
        <f aca="false">IF(B1002="","",IF(F1002&gt;=3,"FLAG",""))</f>
        <v/>
      </c>
    </row>
    <row r="1003" customFormat="false" ht="15" hidden="false" customHeight="false" outlineLevel="0" collapsed="false">
      <c r="A1003" s="24"/>
      <c r="B1003" s="28"/>
      <c r="C1003" s="22"/>
      <c r="D1003" s="22"/>
      <c r="E1003" s="28"/>
      <c r="F1003" s="10" t="str">
        <f aca="false">IF(B1003="","",SUMIFS($D$5:D1003,$B$5:B1003,B1003))</f>
        <v/>
      </c>
      <c r="G1003" s="10" t="str">
        <f aca="false">IF(B1003="","",IF(F1003&gt;=3,"FLAG",""))</f>
        <v/>
      </c>
    </row>
    <row r="1004" customFormat="false" ht="15" hidden="false" customHeight="false" outlineLevel="0" collapsed="false">
      <c r="A1004" s="24"/>
      <c r="B1004" s="28"/>
      <c r="C1004" s="22"/>
      <c r="D1004" s="22"/>
      <c r="E1004" s="28"/>
      <c r="F1004" s="10" t="str">
        <f aca="false">IF(B1004="","",SUMIFS($D$5:D1004,$B$5:B1004,B1004))</f>
        <v/>
      </c>
      <c r="G1004" s="10" t="str">
        <f aca="false">IF(B1004="","",IF(F1004&gt;=3,"FLAG",""))</f>
        <v/>
      </c>
    </row>
  </sheetData>
  <mergeCells count="2">
    <mergeCell ref="A1:G1"/>
    <mergeCell ref="A2:G2"/>
  </mergeCells>
  <conditionalFormatting sqref="A5:G1004">
    <cfRule type="expression" priority="2" aboveAverage="0" equalAverage="0" bottom="0" percent="0" rank="0" text="" dxfId="2">
      <formula>$G5="FLAG"</formula>
    </cfRule>
  </conditionalFormatting>
  <conditionalFormatting sqref="G5:G1004">
    <cfRule type="cellIs" priority="3" operator="equal" aboveAverage="0" equalAverage="0" bottom="0" percent="0" rank="0" text="" dxfId="3">
      <formula>"FLAG"</formula>
    </cfRule>
  </conditionalFormatting>
  <dataValidations count="4">
    <dataValidation allowBlank="true" errorStyle="stop" operator="between" showDropDown="false" showErrorMessage="false" showInputMessage="false" sqref="C5:C1004" type="list">
      <formula1>"Small,Medium,Large"</formula1>
      <formula2>0</formula2>
    </dataValidation>
    <dataValidation allowBlank="true" error="Add this person on the Colleagues sheet first." errorStyle="stop" errorTitle="Unknown name" operator="between" showDropDown="false" showErrorMessage="true" showInputMessage="false" sqref="B5:B1004" type="list">
      <formula1>Colleagues!$B$5:$B$204</formula1>
      <formula2>0</formula2>
    </dataValidation>
    <dataValidation allowBlank="true" error="Enter a whole number of pairs (1 or more)." errorStyle="stop" operator="greaterThanOrEqual" showDropDown="false" showErrorMessage="true" showInputMessage="false" sqref="D5:D1004" type="whole">
      <formula1>1</formula1>
      <formula2>0</formula2>
    </dataValidation>
    <dataValidation allowBlank="true" error="Enter a valid date." errorStyle="stop" operator="greaterThan" showDropDown="false" showErrorMessage="true" showInputMessage="false" sqref="A5:A100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" t="s">
        <v>47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48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</row>
    <row r="5" customFormat="false" ht="15" hidden="false" customHeight="false" outlineLevel="0" collapsed="false">
      <c r="A5" s="30" t="s">
        <v>49</v>
      </c>
      <c r="B5" s="9" t="n">
        <f aca="false">SUMIFS($C$13:$C$312,$B$13:$B$312,A5)</f>
        <v>0</v>
      </c>
      <c r="C5" s="9" t="n">
        <f aca="false">SUMIFS('Issue Log'!$D$5:$D$1004,'Issue Log'!$C$5:$C$1004,A5)</f>
        <v>0</v>
      </c>
      <c r="D5" s="9" t="n">
        <f aca="false">B5-C5</f>
        <v>0</v>
      </c>
      <c r="E5" s="10" t="str">
        <f aca="false">IF(D5&lt;=0,"OUT OF STOCK",IF(D5&lt;$B$10,"LOW","OK"))</f>
        <v>OUT OF STOCK</v>
      </c>
    </row>
    <row r="6" customFormat="false" ht="15" hidden="false" customHeight="false" outlineLevel="0" collapsed="false">
      <c r="A6" s="30" t="s">
        <v>50</v>
      </c>
      <c r="B6" s="9" t="n">
        <f aca="false">SUMIFS($C$13:$C$312,$B$13:$B$312,A6)</f>
        <v>0</v>
      </c>
      <c r="C6" s="9" t="n">
        <f aca="false">SUMIFS('Issue Log'!$D$5:$D$1004,'Issue Log'!$C$5:$C$1004,A6)</f>
        <v>0</v>
      </c>
      <c r="D6" s="9" t="n">
        <f aca="false">B6-C6</f>
        <v>0</v>
      </c>
      <c r="E6" s="10" t="str">
        <f aca="false">IF(D6&lt;=0,"OUT OF STOCK",IF(D6&lt;$B$10,"LOW","OK"))</f>
        <v>OUT OF STOCK</v>
      </c>
    </row>
    <row r="7" customFormat="false" ht="15" hidden="false" customHeight="false" outlineLevel="0" collapsed="false">
      <c r="A7" s="30" t="s">
        <v>51</v>
      </c>
      <c r="B7" s="9" t="n">
        <f aca="false">SUMIFS($C$13:$C$312,$B$13:$B$312,A7)</f>
        <v>0</v>
      </c>
      <c r="C7" s="9" t="n">
        <f aca="false">SUMIFS('Issue Log'!$D$5:$D$1004,'Issue Log'!$C$5:$C$1004,A7)</f>
        <v>0</v>
      </c>
      <c r="D7" s="9" t="n">
        <f aca="false">B7-C7</f>
        <v>0</v>
      </c>
      <c r="E7" s="10" t="str">
        <f aca="false">IF(D7&lt;=0,"OUT OF STOCK",IF(D7&lt;$B$10,"LOW","OK"))</f>
        <v>OUT OF STOCK</v>
      </c>
    </row>
    <row r="8" customFormat="false" ht="15" hidden="false" customHeight="false" outlineLevel="0" collapsed="false">
      <c r="A8" s="11" t="s">
        <v>17</v>
      </c>
      <c r="B8" s="12" t="n">
        <f aca="false">SUM(B5:B7)</f>
        <v>0</v>
      </c>
      <c r="C8" s="12" t="n">
        <f aca="false">SUM(C5:C7)</f>
        <v>0</v>
      </c>
      <c r="D8" s="12" t="n">
        <f aca="false">SUM(D5:D7)</f>
        <v>0</v>
      </c>
      <c r="E8" s="12"/>
    </row>
    <row r="10" customFormat="false" ht="15" hidden="false" customHeight="false" outlineLevel="0" collapsed="false">
      <c r="A10" s="31" t="s">
        <v>52</v>
      </c>
      <c r="B10" s="22" t="n">
        <v>10</v>
      </c>
      <c r="C10" s="26" t="s">
        <v>53</v>
      </c>
    </row>
    <row r="12" customFormat="false" ht="30" hidden="false" customHeight="true" outlineLevel="0" collapsed="false">
      <c r="A12" s="7" t="s">
        <v>54</v>
      </c>
      <c r="B12" s="7" t="s">
        <v>12</v>
      </c>
      <c r="C12" s="7" t="s">
        <v>55</v>
      </c>
      <c r="D12" s="7" t="s">
        <v>56</v>
      </c>
    </row>
    <row r="13" customFormat="false" ht="15" hidden="false" customHeight="false" outlineLevel="0" collapsed="false">
      <c r="A13" s="24"/>
      <c r="B13" s="22"/>
      <c r="C13" s="22"/>
      <c r="D13" s="28"/>
    </row>
    <row r="14" customFormat="false" ht="15" hidden="false" customHeight="false" outlineLevel="0" collapsed="false">
      <c r="A14" s="24"/>
      <c r="B14" s="22"/>
      <c r="C14" s="22"/>
      <c r="D14" s="28"/>
    </row>
    <row r="15" customFormat="false" ht="15" hidden="false" customHeight="false" outlineLevel="0" collapsed="false">
      <c r="A15" s="24"/>
      <c r="B15" s="22"/>
      <c r="C15" s="22"/>
      <c r="D15" s="28"/>
    </row>
    <row r="16" customFormat="false" ht="15" hidden="false" customHeight="false" outlineLevel="0" collapsed="false">
      <c r="A16" s="24"/>
      <c r="B16" s="22"/>
      <c r="C16" s="22"/>
      <c r="D16" s="28"/>
    </row>
    <row r="17" customFormat="false" ht="15" hidden="false" customHeight="false" outlineLevel="0" collapsed="false">
      <c r="A17" s="24"/>
      <c r="B17" s="22"/>
      <c r="C17" s="22"/>
      <c r="D17" s="28"/>
    </row>
    <row r="18" customFormat="false" ht="15" hidden="false" customHeight="false" outlineLevel="0" collapsed="false">
      <c r="A18" s="24"/>
      <c r="B18" s="22"/>
      <c r="C18" s="22"/>
      <c r="D18" s="28"/>
    </row>
    <row r="19" customFormat="false" ht="15" hidden="false" customHeight="false" outlineLevel="0" collapsed="false">
      <c r="A19" s="24"/>
      <c r="B19" s="22"/>
      <c r="C19" s="22"/>
      <c r="D19" s="28"/>
    </row>
    <row r="20" customFormat="false" ht="15" hidden="false" customHeight="false" outlineLevel="0" collapsed="false">
      <c r="A20" s="24"/>
      <c r="B20" s="22"/>
      <c r="C20" s="22"/>
      <c r="D20" s="28"/>
    </row>
    <row r="21" customFormat="false" ht="15" hidden="false" customHeight="false" outlineLevel="0" collapsed="false">
      <c r="A21" s="24"/>
      <c r="B21" s="22"/>
      <c r="C21" s="22"/>
      <c r="D21" s="28"/>
    </row>
    <row r="22" customFormat="false" ht="15" hidden="false" customHeight="false" outlineLevel="0" collapsed="false">
      <c r="A22" s="24"/>
      <c r="B22" s="22"/>
      <c r="C22" s="22"/>
      <c r="D22" s="28"/>
    </row>
    <row r="23" customFormat="false" ht="15" hidden="false" customHeight="false" outlineLevel="0" collapsed="false">
      <c r="A23" s="24"/>
      <c r="B23" s="22"/>
      <c r="C23" s="22"/>
      <c r="D23" s="28"/>
    </row>
    <row r="24" customFormat="false" ht="15" hidden="false" customHeight="false" outlineLevel="0" collapsed="false">
      <c r="A24" s="24"/>
      <c r="B24" s="22"/>
      <c r="C24" s="22"/>
      <c r="D24" s="28"/>
    </row>
    <row r="25" customFormat="false" ht="15" hidden="false" customHeight="false" outlineLevel="0" collapsed="false">
      <c r="A25" s="24"/>
      <c r="B25" s="22"/>
      <c r="C25" s="22"/>
      <c r="D25" s="28"/>
    </row>
    <row r="26" customFormat="false" ht="15" hidden="false" customHeight="false" outlineLevel="0" collapsed="false">
      <c r="A26" s="24"/>
      <c r="B26" s="22"/>
      <c r="C26" s="22"/>
      <c r="D26" s="28"/>
    </row>
    <row r="27" customFormat="false" ht="15" hidden="false" customHeight="false" outlineLevel="0" collapsed="false">
      <c r="A27" s="24"/>
      <c r="B27" s="22"/>
      <c r="C27" s="22"/>
      <c r="D27" s="28"/>
    </row>
    <row r="28" customFormat="false" ht="15" hidden="false" customHeight="false" outlineLevel="0" collapsed="false">
      <c r="A28" s="24"/>
      <c r="B28" s="22"/>
      <c r="C28" s="22"/>
      <c r="D28" s="28"/>
    </row>
    <row r="29" customFormat="false" ht="15" hidden="false" customHeight="false" outlineLevel="0" collapsed="false">
      <c r="A29" s="24"/>
      <c r="B29" s="22"/>
      <c r="C29" s="22"/>
      <c r="D29" s="28"/>
    </row>
    <row r="30" customFormat="false" ht="15" hidden="false" customHeight="false" outlineLevel="0" collapsed="false">
      <c r="A30" s="24"/>
      <c r="B30" s="22"/>
      <c r="C30" s="22"/>
      <c r="D30" s="28"/>
    </row>
    <row r="31" customFormat="false" ht="15" hidden="false" customHeight="false" outlineLevel="0" collapsed="false">
      <c r="A31" s="24"/>
      <c r="B31" s="22"/>
      <c r="C31" s="22"/>
      <c r="D31" s="28"/>
    </row>
    <row r="32" customFormat="false" ht="15" hidden="false" customHeight="false" outlineLevel="0" collapsed="false">
      <c r="A32" s="24"/>
      <c r="B32" s="22"/>
      <c r="C32" s="22"/>
      <c r="D32" s="28"/>
    </row>
    <row r="33" customFormat="false" ht="15" hidden="false" customHeight="false" outlineLevel="0" collapsed="false">
      <c r="A33" s="24"/>
      <c r="B33" s="22"/>
      <c r="C33" s="22"/>
      <c r="D33" s="28"/>
    </row>
    <row r="34" customFormat="false" ht="15" hidden="false" customHeight="false" outlineLevel="0" collapsed="false">
      <c r="A34" s="24"/>
      <c r="B34" s="22"/>
      <c r="C34" s="22"/>
      <c r="D34" s="28"/>
    </row>
    <row r="35" customFormat="false" ht="15" hidden="false" customHeight="false" outlineLevel="0" collapsed="false">
      <c r="A35" s="24"/>
      <c r="B35" s="22"/>
      <c r="C35" s="22"/>
      <c r="D35" s="28"/>
    </row>
    <row r="36" customFormat="false" ht="15" hidden="false" customHeight="false" outlineLevel="0" collapsed="false">
      <c r="A36" s="24"/>
      <c r="B36" s="22"/>
      <c r="C36" s="22"/>
      <c r="D36" s="28"/>
    </row>
    <row r="37" customFormat="false" ht="15" hidden="false" customHeight="false" outlineLevel="0" collapsed="false">
      <c r="A37" s="24"/>
      <c r="B37" s="22"/>
      <c r="C37" s="22"/>
      <c r="D37" s="28"/>
    </row>
    <row r="38" customFormat="false" ht="15" hidden="false" customHeight="false" outlineLevel="0" collapsed="false">
      <c r="A38" s="24"/>
      <c r="B38" s="22"/>
      <c r="C38" s="22"/>
      <c r="D38" s="28"/>
    </row>
    <row r="39" customFormat="false" ht="15" hidden="false" customHeight="false" outlineLevel="0" collapsed="false">
      <c r="A39" s="24"/>
      <c r="B39" s="22"/>
      <c r="C39" s="22"/>
      <c r="D39" s="28"/>
    </row>
    <row r="40" customFormat="false" ht="15" hidden="false" customHeight="false" outlineLevel="0" collapsed="false">
      <c r="A40" s="24"/>
      <c r="B40" s="22"/>
      <c r="C40" s="22"/>
      <c r="D40" s="28"/>
    </row>
    <row r="41" customFormat="false" ht="15" hidden="false" customHeight="false" outlineLevel="0" collapsed="false">
      <c r="A41" s="24"/>
      <c r="B41" s="22"/>
      <c r="C41" s="22"/>
      <c r="D41" s="28"/>
    </row>
    <row r="42" customFormat="false" ht="15" hidden="false" customHeight="false" outlineLevel="0" collapsed="false">
      <c r="A42" s="24"/>
      <c r="B42" s="22"/>
      <c r="C42" s="22"/>
      <c r="D42" s="28"/>
    </row>
    <row r="43" customFormat="false" ht="15" hidden="false" customHeight="false" outlineLevel="0" collapsed="false">
      <c r="A43" s="24"/>
      <c r="B43" s="22"/>
      <c r="C43" s="22"/>
      <c r="D43" s="28"/>
    </row>
    <row r="44" customFormat="false" ht="15" hidden="false" customHeight="false" outlineLevel="0" collapsed="false">
      <c r="A44" s="24"/>
      <c r="B44" s="22"/>
      <c r="C44" s="22"/>
      <c r="D44" s="28"/>
    </row>
    <row r="45" customFormat="false" ht="15" hidden="false" customHeight="false" outlineLevel="0" collapsed="false">
      <c r="A45" s="24"/>
      <c r="B45" s="22"/>
      <c r="C45" s="22"/>
      <c r="D45" s="28"/>
    </row>
    <row r="46" customFormat="false" ht="15" hidden="false" customHeight="false" outlineLevel="0" collapsed="false">
      <c r="A46" s="24"/>
      <c r="B46" s="22"/>
      <c r="C46" s="22"/>
      <c r="D46" s="28"/>
    </row>
    <row r="47" customFormat="false" ht="15" hidden="false" customHeight="false" outlineLevel="0" collapsed="false">
      <c r="A47" s="24"/>
      <c r="B47" s="22"/>
      <c r="C47" s="22"/>
      <c r="D47" s="28"/>
    </row>
    <row r="48" customFormat="false" ht="15" hidden="false" customHeight="false" outlineLevel="0" collapsed="false">
      <c r="A48" s="24"/>
      <c r="B48" s="22"/>
      <c r="C48" s="22"/>
      <c r="D48" s="28"/>
    </row>
    <row r="49" customFormat="false" ht="15" hidden="false" customHeight="false" outlineLevel="0" collapsed="false">
      <c r="A49" s="24"/>
      <c r="B49" s="22"/>
      <c r="C49" s="22"/>
      <c r="D49" s="28"/>
    </row>
    <row r="50" customFormat="false" ht="15" hidden="false" customHeight="false" outlineLevel="0" collapsed="false">
      <c r="A50" s="24"/>
      <c r="B50" s="22"/>
      <c r="C50" s="22"/>
      <c r="D50" s="28"/>
    </row>
    <row r="51" customFormat="false" ht="15" hidden="false" customHeight="false" outlineLevel="0" collapsed="false">
      <c r="A51" s="24"/>
      <c r="B51" s="22"/>
      <c r="C51" s="22"/>
      <c r="D51" s="28"/>
    </row>
    <row r="52" customFormat="false" ht="15" hidden="false" customHeight="false" outlineLevel="0" collapsed="false">
      <c r="A52" s="24"/>
      <c r="B52" s="22"/>
      <c r="C52" s="22"/>
      <c r="D52" s="28"/>
    </row>
    <row r="53" customFormat="false" ht="15" hidden="false" customHeight="false" outlineLevel="0" collapsed="false">
      <c r="A53" s="24"/>
      <c r="B53" s="22"/>
      <c r="C53" s="22"/>
      <c r="D53" s="28"/>
    </row>
    <row r="54" customFormat="false" ht="15" hidden="false" customHeight="false" outlineLevel="0" collapsed="false">
      <c r="A54" s="24"/>
      <c r="B54" s="22"/>
      <c r="C54" s="22"/>
      <c r="D54" s="28"/>
    </row>
    <row r="55" customFormat="false" ht="15" hidden="false" customHeight="false" outlineLevel="0" collapsed="false">
      <c r="A55" s="24"/>
      <c r="B55" s="22"/>
      <c r="C55" s="22"/>
      <c r="D55" s="28"/>
    </row>
    <row r="56" customFormat="false" ht="15" hidden="false" customHeight="false" outlineLevel="0" collapsed="false">
      <c r="A56" s="24"/>
      <c r="B56" s="22"/>
      <c r="C56" s="22"/>
      <c r="D56" s="28"/>
    </row>
    <row r="57" customFormat="false" ht="15" hidden="false" customHeight="false" outlineLevel="0" collapsed="false">
      <c r="A57" s="24"/>
      <c r="B57" s="22"/>
      <c r="C57" s="22"/>
      <c r="D57" s="28"/>
    </row>
    <row r="58" customFormat="false" ht="15" hidden="false" customHeight="false" outlineLevel="0" collapsed="false">
      <c r="A58" s="24"/>
      <c r="B58" s="22"/>
      <c r="C58" s="22"/>
      <c r="D58" s="28"/>
    </row>
    <row r="59" customFormat="false" ht="15" hidden="false" customHeight="false" outlineLevel="0" collapsed="false">
      <c r="A59" s="24"/>
      <c r="B59" s="22"/>
      <c r="C59" s="22"/>
      <c r="D59" s="28"/>
    </row>
    <row r="60" customFormat="false" ht="15" hidden="false" customHeight="false" outlineLevel="0" collapsed="false">
      <c r="A60" s="24"/>
      <c r="B60" s="22"/>
      <c r="C60" s="22"/>
      <c r="D60" s="28"/>
    </row>
    <row r="61" customFormat="false" ht="15" hidden="false" customHeight="false" outlineLevel="0" collapsed="false">
      <c r="A61" s="24"/>
      <c r="B61" s="22"/>
      <c r="C61" s="22"/>
      <c r="D61" s="28"/>
    </row>
    <row r="62" customFormat="false" ht="15" hidden="false" customHeight="false" outlineLevel="0" collapsed="false">
      <c r="A62" s="24"/>
      <c r="B62" s="22"/>
      <c r="C62" s="22"/>
      <c r="D62" s="28"/>
    </row>
    <row r="63" customFormat="false" ht="15" hidden="false" customHeight="false" outlineLevel="0" collapsed="false">
      <c r="A63" s="24"/>
      <c r="B63" s="22"/>
      <c r="C63" s="22"/>
      <c r="D63" s="28"/>
    </row>
    <row r="64" customFormat="false" ht="15" hidden="false" customHeight="false" outlineLevel="0" collapsed="false">
      <c r="A64" s="24"/>
      <c r="B64" s="22"/>
      <c r="C64" s="22"/>
      <c r="D64" s="28"/>
    </row>
    <row r="65" customFormat="false" ht="15" hidden="false" customHeight="false" outlineLevel="0" collapsed="false">
      <c r="A65" s="24"/>
      <c r="B65" s="22"/>
      <c r="C65" s="22"/>
      <c r="D65" s="28"/>
    </row>
    <row r="66" customFormat="false" ht="15" hidden="false" customHeight="false" outlineLevel="0" collapsed="false">
      <c r="A66" s="24"/>
      <c r="B66" s="22"/>
      <c r="C66" s="22"/>
      <c r="D66" s="28"/>
    </row>
    <row r="67" customFormat="false" ht="15" hidden="false" customHeight="false" outlineLevel="0" collapsed="false">
      <c r="A67" s="24"/>
      <c r="B67" s="22"/>
      <c r="C67" s="22"/>
      <c r="D67" s="28"/>
    </row>
    <row r="68" customFormat="false" ht="15" hidden="false" customHeight="false" outlineLevel="0" collapsed="false">
      <c r="A68" s="24"/>
      <c r="B68" s="22"/>
      <c r="C68" s="22"/>
      <c r="D68" s="28"/>
    </row>
    <row r="69" customFormat="false" ht="15" hidden="false" customHeight="false" outlineLevel="0" collapsed="false">
      <c r="A69" s="24"/>
      <c r="B69" s="22"/>
      <c r="C69" s="22"/>
      <c r="D69" s="28"/>
    </row>
    <row r="70" customFormat="false" ht="15" hidden="false" customHeight="false" outlineLevel="0" collapsed="false">
      <c r="A70" s="24"/>
      <c r="B70" s="22"/>
      <c r="C70" s="22"/>
      <c r="D70" s="28"/>
    </row>
    <row r="71" customFormat="false" ht="15" hidden="false" customHeight="false" outlineLevel="0" collapsed="false">
      <c r="A71" s="24"/>
      <c r="B71" s="22"/>
      <c r="C71" s="22"/>
      <c r="D71" s="28"/>
    </row>
    <row r="72" customFormat="false" ht="15" hidden="false" customHeight="false" outlineLevel="0" collapsed="false">
      <c r="A72" s="24"/>
      <c r="B72" s="22"/>
      <c r="C72" s="22"/>
      <c r="D72" s="28"/>
    </row>
    <row r="73" customFormat="false" ht="15" hidden="false" customHeight="false" outlineLevel="0" collapsed="false">
      <c r="A73" s="24"/>
      <c r="B73" s="22"/>
      <c r="C73" s="22"/>
      <c r="D73" s="28"/>
    </row>
    <row r="74" customFormat="false" ht="15" hidden="false" customHeight="false" outlineLevel="0" collapsed="false">
      <c r="A74" s="24"/>
      <c r="B74" s="22"/>
      <c r="C74" s="22"/>
      <c r="D74" s="28"/>
    </row>
    <row r="75" customFormat="false" ht="15" hidden="false" customHeight="false" outlineLevel="0" collapsed="false">
      <c r="A75" s="24"/>
      <c r="B75" s="22"/>
      <c r="C75" s="22"/>
      <c r="D75" s="28"/>
    </row>
    <row r="76" customFormat="false" ht="15" hidden="false" customHeight="false" outlineLevel="0" collapsed="false">
      <c r="A76" s="24"/>
      <c r="B76" s="22"/>
      <c r="C76" s="22"/>
      <c r="D76" s="28"/>
    </row>
    <row r="77" customFormat="false" ht="15" hidden="false" customHeight="false" outlineLevel="0" collapsed="false">
      <c r="A77" s="24"/>
      <c r="B77" s="22"/>
      <c r="C77" s="22"/>
      <c r="D77" s="28"/>
    </row>
    <row r="78" customFormat="false" ht="15" hidden="false" customHeight="false" outlineLevel="0" collapsed="false">
      <c r="A78" s="24"/>
      <c r="B78" s="22"/>
      <c r="C78" s="22"/>
      <c r="D78" s="28"/>
    </row>
    <row r="79" customFormat="false" ht="15" hidden="false" customHeight="false" outlineLevel="0" collapsed="false">
      <c r="A79" s="24"/>
      <c r="B79" s="22"/>
      <c r="C79" s="22"/>
      <c r="D79" s="28"/>
    </row>
    <row r="80" customFormat="false" ht="15" hidden="false" customHeight="false" outlineLevel="0" collapsed="false">
      <c r="A80" s="24"/>
      <c r="B80" s="22"/>
      <c r="C80" s="22"/>
      <c r="D80" s="28"/>
    </row>
    <row r="81" customFormat="false" ht="15" hidden="false" customHeight="false" outlineLevel="0" collapsed="false">
      <c r="A81" s="24"/>
      <c r="B81" s="22"/>
      <c r="C81" s="22"/>
      <c r="D81" s="28"/>
    </row>
    <row r="82" customFormat="false" ht="15" hidden="false" customHeight="false" outlineLevel="0" collapsed="false">
      <c r="A82" s="24"/>
      <c r="B82" s="22"/>
      <c r="C82" s="22"/>
      <c r="D82" s="28"/>
    </row>
    <row r="83" customFormat="false" ht="15" hidden="false" customHeight="false" outlineLevel="0" collapsed="false">
      <c r="A83" s="24"/>
      <c r="B83" s="22"/>
      <c r="C83" s="22"/>
      <c r="D83" s="28"/>
    </row>
    <row r="84" customFormat="false" ht="15" hidden="false" customHeight="false" outlineLevel="0" collapsed="false">
      <c r="A84" s="24"/>
      <c r="B84" s="22"/>
      <c r="C84" s="22"/>
      <c r="D84" s="28"/>
    </row>
    <row r="85" customFormat="false" ht="15" hidden="false" customHeight="false" outlineLevel="0" collapsed="false">
      <c r="A85" s="24"/>
      <c r="B85" s="22"/>
      <c r="C85" s="22"/>
      <c r="D85" s="28"/>
    </row>
    <row r="86" customFormat="false" ht="15" hidden="false" customHeight="false" outlineLevel="0" collapsed="false">
      <c r="A86" s="24"/>
      <c r="B86" s="22"/>
      <c r="C86" s="22"/>
      <c r="D86" s="28"/>
    </row>
    <row r="87" customFormat="false" ht="15" hidden="false" customHeight="false" outlineLevel="0" collapsed="false">
      <c r="A87" s="24"/>
      <c r="B87" s="22"/>
      <c r="C87" s="22"/>
      <c r="D87" s="28"/>
    </row>
    <row r="88" customFormat="false" ht="15" hidden="false" customHeight="false" outlineLevel="0" collapsed="false">
      <c r="A88" s="24"/>
      <c r="B88" s="22"/>
      <c r="C88" s="22"/>
      <c r="D88" s="28"/>
    </row>
    <row r="89" customFormat="false" ht="15" hidden="false" customHeight="false" outlineLevel="0" collapsed="false">
      <c r="A89" s="24"/>
      <c r="B89" s="22"/>
      <c r="C89" s="22"/>
      <c r="D89" s="28"/>
    </row>
    <row r="90" customFormat="false" ht="15" hidden="false" customHeight="false" outlineLevel="0" collapsed="false">
      <c r="A90" s="24"/>
      <c r="B90" s="22"/>
      <c r="C90" s="22"/>
      <c r="D90" s="28"/>
    </row>
    <row r="91" customFormat="false" ht="15" hidden="false" customHeight="false" outlineLevel="0" collapsed="false">
      <c r="A91" s="24"/>
      <c r="B91" s="22"/>
      <c r="C91" s="22"/>
      <c r="D91" s="28"/>
    </row>
    <row r="92" customFormat="false" ht="15" hidden="false" customHeight="false" outlineLevel="0" collapsed="false">
      <c r="A92" s="24"/>
      <c r="B92" s="22"/>
      <c r="C92" s="22"/>
      <c r="D92" s="28"/>
    </row>
    <row r="93" customFormat="false" ht="15" hidden="false" customHeight="false" outlineLevel="0" collapsed="false">
      <c r="A93" s="24"/>
      <c r="B93" s="22"/>
      <c r="C93" s="22"/>
      <c r="D93" s="28"/>
    </row>
    <row r="94" customFormat="false" ht="15" hidden="false" customHeight="false" outlineLevel="0" collapsed="false">
      <c r="A94" s="24"/>
      <c r="B94" s="22"/>
      <c r="C94" s="22"/>
      <c r="D94" s="28"/>
    </row>
    <row r="95" customFormat="false" ht="15" hidden="false" customHeight="false" outlineLevel="0" collapsed="false">
      <c r="A95" s="24"/>
      <c r="B95" s="22"/>
      <c r="C95" s="22"/>
      <c r="D95" s="28"/>
    </row>
    <row r="96" customFormat="false" ht="15" hidden="false" customHeight="false" outlineLevel="0" collapsed="false">
      <c r="A96" s="24"/>
      <c r="B96" s="22"/>
      <c r="C96" s="22"/>
      <c r="D96" s="28"/>
    </row>
    <row r="97" customFormat="false" ht="15" hidden="false" customHeight="false" outlineLevel="0" collapsed="false">
      <c r="A97" s="24"/>
      <c r="B97" s="22"/>
      <c r="C97" s="22"/>
      <c r="D97" s="28"/>
    </row>
    <row r="98" customFormat="false" ht="15" hidden="false" customHeight="false" outlineLevel="0" collapsed="false">
      <c r="A98" s="24"/>
      <c r="B98" s="22"/>
      <c r="C98" s="22"/>
      <c r="D98" s="28"/>
    </row>
    <row r="99" customFormat="false" ht="15" hidden="false" customHeight="false" outlineLevel="0" collapsed="false">
      <c r="A99" s="24"/>
      <c r="B99" s="22"/>
      <c r="C99" s="22"/>
      <c r="D99" s="28"/>
    </row>
    <row r="100" customFormat="false" ht="15" hidden="false" customHeight="false" outlineLevel="0" collapsed="false">
      <c r="A100" s="24"/>
      <c r="B100" s="22"/>
      <c r="C100" s="22"/>
      <c r="D100" s="28"/>
    </row>
    <row r="101" customFormat="false" ht="15" hidden="false" customHeight="false" outlineLevel="0" collapsed="false">
      <c r="A101" s="24"/>
      <c r="B101" s="22"/>
      <c r="C101" s="22"/>
      <c r="D101" s="28"/>
    </row>
    <row r="102" customFormat="false" ht="15" hidden="false" customHeight="false" outlineLevel="0" collapsed="false">
      <c r="A102" s="24"/>
      <c r="B102" s="22"/>
      <c r="C102" s="22"/>
      <c r="D102" s="28"/>
    </row>
    <row r="103" customFormat="false" ht="15" hidden="false" customHeight="false" outlineLevel="0" collapsed="false">
      <c r="A103" s="24"/>
      <c r="B103" s="22"/>
      <c r="C103" s="22"/>
      <c r="D103" s="28"/>
    </row>
    <row r="104" customFormat="false" ht="15" hidden="false" customHeight="false" outlineLevel="0" collapsed="false">
      <c r="A104" s="24"/>
      <c r="B104" s="22"/>
      <c r="C104" s="22"/>
      <c r="D104" s="28"/>
    </row>
    <row r="105" customFormat="false" ht="15" hidden="false" customHeight="false" outlineLevel="0" collapsed="false">
      <c r="A105" s="24"/>
      <c r="B105" s="22"/>
      <c r="C105" s="22"/>
      <c r="D105" s="28"/>
    </row>
    <row r="106" customFormat="false" ht="15" hidden="false" customHeight="false" outlineLevel="0" collapsed="false">
      <c r="A106" s="24"/>
      <c r="B106" s="22"/>
      <c r="C106" s="22"/>
      <c r="D106" s="28"/>
    </row>
    <row r="107" customFormat="false" ht="15" hidden="false" customHeight="false" outlineLevel="0" collapsed="false">
      <c r="A107" s="24"/>
      <c r="B107" s="22"/>
      <c r="C107" s="22"/>
      <c r="D107" s="28"/>
    </row>
    <row r="108" customFormat="false" ht="15" hidden="false" customHeight="false" outlineLevel="0" collapsed="false">
      <c r="A108" s="24"/>
      <c r="B108" s="22"/>
      <c r="C108" s="22"/>
      <c r="D108" s="28"/>
    </row>
    <row r="109" customFormat="false" ht="15" hidden="false" customHeight="false" outlineLevel="0" collapsed="false">
      <c r="A109" s="24"/>
      <c r="B109" s="22"/>
      <c r="C109" s="22"/>
      <c r="D109" s="28"/>
    </row>
    <row r="110" customFormat="false" ht="15" hidden="false" customHeight="false" outlineLevel="0" collapsed="false">
      <c r="A110" s="24"/>
      <c r="B110" s="22"/>
      <c r="C110" s="22"/>
      <c r="D110" s="28"/>
    </row>
    <row r="111" customFormat="false" ht="15" hidden="false" customHeight="false" outlineLevel="0" collapsed="false">
      <c r="A111" s="24"/>
      <c r="B111" s="22"/>
      <c r="C111" s="22"/>
      <c r="D111" s="28"/>
    </row>
    <row r="112" customFormat="false" ht="15" hidden="false" customHeight="false" outlineLevel="0" collapsed="false">
      <c r="A112" s="24"/>
      <c r="B112" s="22"/>
      <c r="C112" s="22"/>
      <c r="D112" s="28"/>
    </row>
    <row r="113" customFormat="false" ht="15" hidden="false" customHeight="false" outlineLevel="0" collapsed="false">
      <c r="A113" s="24"/>
      <c r="B113" s="22"/>
      <c r="C113" s="22"/>
      <c r="D113" s="28"/>
    </row>
    <row r="114" customFormat="false" ht="15" hidden="false" customHeight="false" outlineLevel="0" collapsed="false">
      <c r="A114" s="24"/>
      <c r="B114" s="22"/>
      <c r="C114" s="22"/>
      <c r="D114" s="28"/>
    </row>
    <row r="115" customFormat="false" ht="15" hidden="false" customHeight="false" outlineLevel="0" collapsed="false">
      <c r="A115" s="24"/>
      <c r="B115" s="22"/>
      <c r="C115" s="22"/>
      <c r="D115" s="28"/>
    </row>
    <row r="116" customFormat="false" ht="15" hidden="false" customHeight="false" outlineLevel="0" collapsed="false">
      <c r="A116" s="24"/>
      <c r="B116" s="22"/>
      <c r="C116" s="22"/>
      <c r="D116" s="28"/>
    </row>
    <row r="117" customFormat="false" ht="15" hidden="false" customHeight="false" outlineLevel="0" collapsed="false">
      <c r="A117" s="24"/>
      <c r="B117" s="22"/>
      <c r="C117" s="22"/>
      <c r="D117" s="28"/>
    </row>
    <row r="118" customFormat="false" ht="15" hidden="false" customHeight="false" outlineLevel="0" collapsed="false">
      <c r="A118" s="24"/>
      <c r="B118" s="22"/>
      <c r="C118" s="22"/>
      <c r="D118" s="28"/>
    </row>
    <row r="119" customFormat="false" ht="15" hidden="false" customHeight="false" outlineLevel="0" collapsed="false">
      <c r="A119" s="24"/>
      <c r="B119" s="22"/>
      <c r="C119" s="22"/>
      <c r="D119" s="28"/>
    </row>
    <row r="120" customFormat="false" ht="15" hidden="false" customHeight="false" outlineLevel="0" collapsed="false">
      <c r="A120" s="24"/>
      <c r="B120" s="22"/>
      <c r="C120" s="22"/>
      <c r="D120" s="28"/>
    </row>
    <row r="121" customFormat="false" ht="15" hidden="false" customHeight="false" outlineLevel="0" collapsed="false">
      <c r="A121" s="24"/>
      <c r="B121" s="22"/>
      <c r="C121" s="22"/>
      <c r="D121" s="28"/>
    </row>
    <row r="122" customFormat="false" ht="15" hidden="false" customHeight="false" outlineLevel="0" collapsed="false">
      <c r="A122" s="24"/>
      <c r="B122" s="22"/>
      <c r="C122" s="22"/>
      <c r="D122" s="28"/>
    </row>
    <row r="123" customFormat="false" ht="15" hidden="false" customHeight="false" outlineLevel="0" collapsed="false">
      <c r="A123" s="24"/>
      <c r="B123" s="22"/>
      <c r="C123" s="22"/>
      <c r="D123" s="28"/>
    </row>
    <row r="124" customFormat="false" ht="15" hidden="false" customHeight="false" outlineLevel="0" collapsed="false">
      <c r="A124" s="24"/>
      <c r="B124" s="22"/>
      <c r="C124" s="22"/>
      <c r="D124" s="28"/>
    </row>
    <row r="125" customFormat="false" ht="15" hidden="false" customHeight="false" outlineLevel="0" collapsed="false">
      <c r="A125" s="24"/>
      <c r="B125" s="22"/>
      <c r="C125" s="22"/>
      <c r="D125" s="28"/>
    </row>
    <row r="126" customFormat="false" ht="15" hidden="false" customHeight="false" outlineLevel="0" collapsed="false">
      <c r="A126" s="24"/>
      <c r="B126" s="22"/>
      <c r="C126" s="22"/>
      <c r="D126" s="28"/>
    </row>
    <row r="127" customFormat="false" ht="15" hidden="false" customHeight="false" outlineLevel="0" collapsed="false">
      <c r="A127" s="24"/>
      <c r="B127" s="22"/>
      <c r="C127" s="22"/>
      <c r="D127" s="28"/>
    </row>
    <row r="128" customFormat="false" ht="15" hidden="false" customHeight="false" outlineLevel="0" collapsed="false">
      <c r="A128" s="24"/>
      <c r="B128" s="22"/>
      <c r="C128" s="22"/>
      <c r="D128" s="28"/>
    </row>
    <row r="129" customFormat="false" ht="15" hidden="false" customHeight="false" outlineLevel="0" collapsed="false">
      <c r="A129" s="24"/>
      <c r="B129" s="22"/>
      <c r="C129" s="22"/>
      <c r="D129" s="28"/>
    </row>
    <row r="130" customFormat="false" ht="15" hidden="false" customHeight="false" outlineLevel="0" collapsed="false">
      <c r="A130" s="24"/>
      <c r="B130" s="22"/>
      <c r="C130" s="22"/>
      <c r="D130" s="28"/>
    </row>
    <row r="131" customFormat="false" ht="15" hidden="false" customHeight="false" outlineLevel="0" collapsed="false">
      <c r="A131" s="24"/>
      <c r="B131" s="22"/>
      <c r="C131" s="22"/>
      <c r="D131" s="28"/>
    </row>
    <row r="132" customFormat="false" ht="15" hidden="false" customHeight="false" outlineLevel="0" collapsed="false">
      <c r="A132" s="24"/>
      <c r="B132" s="22"/>
      <c r="C132" s="22"/>
      <c r="D132" s="28"/>
    </row>
    <row r="133" customFormat="false" ht="15" hidden="false" customHeight="false" outlineLevel="0" collapsed="false">
      <c r="A133" s="24"/>
      <c r="B133" s="22"/>
      <c r="C133" s="22"/>
      <c r="D133" s="28"/>
    </row>
    <row r="134" customFormat="false" ht="15" hidden="false" customHeight="false" outlineLevel="0" collapsed="false">
      <c r="A134" s="24"/>
      <c r="B134" s="22"/>
      <c r="C134" s="22"/>
      <c r="D134" s="28"/>
    </row>
    <row r="135" customFormat="false" ht="15" hidden="false" customHeight="false" outlineLevel="0" collapsed="false">
      <c r="A135" s="24"/>
      <c r="B135" s="22"/>
      <c r="C135" s="22"/>
      <c r="D135" s="28"/>
    </row>
    <row r="136" customFormat="false" ht="15" hidden="false" customHeight="false" outlineLevel="0" collapsed="false">
      <c r="A136" s="24"/>
      <c r="B136" s="22"/>
      <c r="C136" s="22"/>
      <c r="D136" s="28"/>
    </row>
    <row r="137" customFormat="false" ht="15" hidden="false" customHeight="false" outlineLevel="0" collapsed="false">
      <c r="A137" s="24"/>
      <c r="B137" s="22"/>
      <c r="C137" s="22"/>
      <c r="D137" s="28"/>
    </row>
    <row r="138" customFormat="false" ht="15" hidden="false" customHeight="false" outlineLevel="0" collapsed="false">
      <c r="A138" s="24"/>
      <c r="B138" s="22"/>
      <c r="C138" s="22"/>
      <c r="D138" s="28"/>
    </row>
    <row r="139" customFormat="false" ht="15" hidden="false" customHeight="false" outlineLevel="0" collapsed="false">
      <c r="A139" s="24"/>
      <c r="B139" s="22"/>
      <c r="C139" s="22"/>
      <c r="D139" s="28"/>
    </row>
    <row r="140" customFormat="false" ht="15" hidden="false" customHeight="false" outlineLevel="0" collapsed="false">
      <c r="A140" s="24"/>
      <c r="B140" s="22"/>
      <c r="C140" s="22"/>
      <c r="D140" s="28"/>
    </row>
    <row r="141" customFormat="false" ht="15" hidden="false" customHeight="false" outlineLevel="0" collapsed="false">
      <c r="A141" s="24"/>
      <c r="B141" s="22"/>
      <c r="C141" s="22"/>
      <c r="D141" s="28"/>
    </row>
    <row r="142" customFormat="false" ht="15" hidden="false" customHeight="false" outlineLevel="0" collapsed="false">
      <c r="A142" s="24"/>
      <c r="B142" s="22"/>
      <c r="C142" s="22"/>
      <c r="D142" s="28"/>
    </row>
    <row r="143" customFormat="false" ht="15" hidden="false" customHeight="false" outlineLevel="0" collapsed="false">
      <c r="A143" s="24"/>
      <c r="B143" s="22"/>
      <c r="C143" s="22"/>
      <c r="D143" s="28"/>
    </row>
    <row r="144" customFormat="false" ht="15" hidden="false" customHeight="false" outlineLevel="0" collapsed="false">
      <c r="A144" s="24"/>
      <c r="B144" s="22"/>
      <c r="C144" s="22"/>
      <c r="D144" s="28"/>
    </row>
    <row r="145" customFormat="false" ht="15" hidden="false" customHeight="false" outlineLevel="0" collapsed="false">
      <c r="A145" s="24"/>
      <c r="B145" s="22"/>
      <c r="C145" s="22"/>
      <c r="D145" s="28"/>
    </row>
    <row r="146" customFormat="false" ht="15" hidden="false" customHeight="false" outlineLevel="0" collapsed="false">
      <c r="A146" s="24"/>
      <c r="B146" s="22"/>
      <c r="C146" s="22"/>
      <c r="D146" s="28"/>
    </row>
    <row r="147" customFormat="false" ht="15" hidden="false" customHeight="false" outlineLevel="0" collapsed="false">
      <c r="A147" s="24"/>
      <c r="B147" s="22"/>
      <c r="C147" s="22"/>
      <c r="D147" s="28"/>
    </row>
    <row r="148" customFormat="false" ht="15" hidden="false" customHeight="false" outlineLevel="0" collapsed="false">
      <c r="A148" s="24"/>
      <c r="B148" s="22"/>
      <c r="C148" s="22"/>
      <c r="D148" s="28"/>
    </row>
    <row r="149" customFormat="false" ht="15" hidden="false" customHeight="false" outlineLevel="0" collapsed="false">
      <c r="A149" s="24"/>
      <c r="B149" s="22"/>
      <c r="C149" s="22"/>
      <c r="D149" s="28"/>
    </row>
    <row r="150" customFormat="false" ht="15" hidden="false" customHeight="false" outlineLevel="0" collapsed="false">
      <c r="A150" s="24"/>
      <c r="B150" s="22"/>
      <c r="C150" s="22"/>
      <c r="D150" s="28"/>
    </row>
    <row r="151" customFormat="false" ht="15" hidden="false" customHeight="false" outlineLevel="0" collapsed="false">
      <c r="A151" s="24"/>
      <c r="B151" s="22"/>
      <c r="C151" s="22"/>
      <c r="D151" s="28"/>
    </row>
    <row r="152" customFormat="false" ht="15" hidden="false" customHeight="false" outlineLevel="0" collapsed="false">
      <c r="A152" s="24"/>
      <c r="B152" s="22"/>
      <c r="C152" s="22"/>
      <c r="D152" s="28"/>
    </row>
    <row r="153" customFormat="false" ht="15" hidden="false" customHeight="false" outlineLevel="0" collapsed="false">
      <c r="A153" s="24"/>
      <c r="B153" s="22"/>
      <c r="C153" s="22"/>
      <c r="D153" s="28"/>
    </row>
    <row r="154" customFormat="false" ht="15" hidden="false" customHeight="false" outlineLevel="0" collapsed="false">
      <c r="A154" s="24"/>
      <c r="B154" s="22"/>
      <c r="C154" s="22"/>
      <c r="D154" s="28"/>
    </row>
    <row r="155" customFormat="false" ht="15" hidden="false" customHeight="false" outlineLevel="0" collapsed="false">
      <c r="A155" s="24"/>
      <c r="B155" s="22"/>
      <c r="C155" s="22"/>
      <c r="D155" s="28"/>
    </row>
    <row r="156" customFormat="false" ht="15" hidden="false" customHeight="false" outlineLevel="0" collapsed="false">
      <c r="A156" s="24"/>
      <c r="B156" s="22"/>
      <c r="C156" s="22"/>
      <c r="D156" s="28"/>
    </row>
    <row r="157" customFormat="false" ht="15" hidden="false" customHeight="false" outlineLevel="0" collapsed="false">
      <c r="A157" s="24"/>
      <c r="B157" s="22"/>
      <c r="C157" s="22"/>
      <c r="D157" s="28"/>
    </row>
    <row r="158" customFormat="false" ht="15" hidden="false" customHeight="false" outlineLevel="0" collapsed="false">
      <c r="A158" s="24"/>
      <c r="B158" s="22"/>
      <c r="C158" s="22"/>
      <c r="D158" s="28"/>
    </row>
    <row r="159" customFormat="false" ht="15" hidden="false" customHeight="false" outlineLevel="0" collapsed="false">
      <c r="A159" s="24"/>
      <c r="B159" s="22"/>
      <c r="C159" s="22"/>
      <c r="D159" s="28"/>
    </row>
    <row r="160" customFormat="false" ht="15" hidden="false" customHeight="false" outlineLevel="0" collapsed="false">
      <c r="A160" s="24"/>
      <c r="B160" s="22"/>
      <c r="C160" s="22"/>
      <c r="D160" s="28"/>
    </row>
    <row r="161" customFormat="false" ht="15" hidden="false" customHeight="false" outlineLevel="0" collapsed="false">
      <c r="A161" s="24"/>
      <c r="B161" s="22"/>
      <c r="C161" s="22"/>
      <c r="D161" s="28"/>
    </row>
    <row r="162" customFormat="false" ht="15" hidden="false" customHeight="false" outlineLevel="0" collapsed="false">
      <c r="A162" s="24"/>
      <c r="B162" s="22"/>
      <c r="C162" s="22"/>
      <c r="D162" s="28"/>
    </row>
    <row r="163" customFormat="false" ht="15" hidden="false" customHeight="false" outlineLevel="0" collapsed="false">
      <c r="A163" s="24"/>
      <c r="B163" s="22"/>
      <c r="C163" s="22"/>
      <c r="D163" s="28"/>
    </row>
    <row r="164" customFormat="false" ht="15" hidden="false" customHeight="false" outlineLevel="0" collapsed="false">
      <c r="A164" s="24"/>
      <c r="B164" s="22"/>
      <c r="C164" s="22"/>
      <c r="D164" s="28"/>
    </row>
    <row r="165" customFormat="false" ht="15" hidden="false" customHeight="false" outlineLevel="0" collapsed="false">
      <c r="A165" s="24"/>
      <c r="B165" s="22"/>
      <c r="C165" s="22"/>
      <c r="D165" s="28"/>
    </row>
    <row r="166" customFormat="false" ht="15" hidden="false" customHeight="false" outlineLevel="0" collapsed="false">
      <c r="A166" s="24"/>
      <c r="B166" s="22"/>
      <c r="C166" s="22"/>
      <c r="D166" s="28"/>
    </row>
    <row r="167" customFormat="false" ht="15" hidden="false" customHeight="false" outlineLevel="0" collapsed="false">
      <c r="A167" s="24"/>
      <c r="B167" s="22"/>
      <c r="C167" s="22"/>
      <c r="D167" s="28"/>
    </row>
    <row r="168" customFormat="false" ht="15" hidden="false" customHeight="false" outlineLevel="0" collapsed="false">
      <c r="A168" s="24"/>
      <c r="B168" s="22"/>
      <c r="C168" s="22"/>
      <c r="D168" s="28"/>
    </row>
    <row r="169" customFormat="false" ht="15" hidden="false" customHeight="false" outlineLevel="0" collapsed="false">
      <c r="A169" s="24"/>
      <c r="B169" s="22"/>
      <c r="C169" s="22"/>
      <c r="D169" s="28"/>
    </row>
    <row r="170" customFormat="false" ht="15" hidden="false" customHeight="false" outlineLevel="0" collapsed="false">
      <c r="A170" s="24"/>
      <c r="B170" s="22"/>
      <c r="C170" s="22"/>
      <c r="D170" s="28"/>
    </row>
    <row r="171" customFormat="false" ht="15" hidden="false" customHeight="false" outlineLevel="0" collapsed="false">
      <c r="A171" s="24"/>
      <c r="B171" s="22"/>
      <c r="C171" s="22"/>
      <c r="D171" s="28"/>
    </row>
    <row r="172" customFormat="false" ht="15" hidden="false" customHeight="false" outlineLevel="0" collapsed="false">
      <c r="A172" s="24"/>
      <c r="B172" s="22"/>
      <c r="C172" s="22"/>
      <c r="D172" s="28"/>
    </row>
    <row r="173" customFormat="false" ht="15" hidden="false" customHeight="false" outlineLevel="0" collapsed="false">
      <c r="A173" s="24"/>
      <c r="B173" s="22"/>
      <c r="C173" s="22"/>
      <c r="D173" s="28"/>
    </row>
    <row r="174" customFormat="false" ht="15" hidden="false" customHeight="false" outlineLevel="0" collapsed="false">
      <c r="A174" s="24"/>
      <c r="B174" s="22"/>
      <c r="C174" s="22"/>
      <c r="D174" s="28"/>
    </row>
    <row r="175" customFormat="false" ht="15" hidden="false" customHeight="false" outlineLevel="0" collapsed="false">
      <c r="A175" s="24"/>
      <c r="B175" s="22"/>
      <c r="C175" s="22"/>
      <c r="D175" s="28"/>
    </row>
    <row r="176" customFormat="false" ht="15" hidden="false" customHeight="false" outlineLevel="0" collapsed="false">
      <c r="A176" s="24"/>
      <c r="B176" s="22"/>
      <c r="C176" s="22"/>
      <c r="D176" s="28"/>
    </row>
    <row r="177" customFormat="false" ht="15" hidden="false" customHeight="false" outlineLevel="0" collapsed="false">
      <c r="A177" s="24"/>
      <c r="B177" s="22"/>
      <c r="C177" s="22"/>
      <c r="D177" s="28"/>
    </row>
    <row r="178" customFormat="false" ht="15" hidden="false" customHeight="false" outlineLevel="0" collapsed="false">
      <c r="A178" s="24"/>
      <c r="B178" s="22"/>
      <c r="C178" s="22"/>
      <c r="D178" s="28"/>
    </row>
    <row r="179" customFormat="false" ht="15" hidden="false" customHeight="false" outlineLevel="0" collapsed="false">
      <c r="A179" s="24"/>
      <c r="B179" s="22"/>
      <c r="C179" s="22"/>
      <c r="D179" s="28"/>
    </row>
    <row r="180" customFormat="false" ht="15" hidden="false" customHeight="false" outlineLevel="0" collapsed="false">
      <c r="A180" s="24"/>
      <c r="B180" s="22"/>
      <c r="C180" s="22"/>
      <c r="D180" s="28"/>
    </row>
    <row r="181" customFormat="false" ht="15" hidden="false" customHeight="false" outlineLevel="0" collapsed="false">
      <c r="A181" s="24"/>
      <c r="B181" s="22"/>
      <c r="C181" s="22"/>
      <c r="D181" s="28"/>
    </row>
    <row r="182" customFormat="false" ht="15" hidden="false" customHeight="false" outlineLevel="0" collapsed="false">
      <c r="A182" s="24"/>
      <c r="B182" s="22"/>
      <c r="C182" s="22"/>
      <c r="D182" s="28"/>
    </row>
    <row r="183" customFormat="false" ht="15" hidden="false" customHeight="false" outlineLevel="0" collapsed="false">
      <c r="A183" s="24"/>
      <c r="B183" s="22"/>
      <c r="C183" s="22"/>
      <c r="D183" s="28"/>
    </row>
    <row r="184" customFormat="false" ht="15" hidden="false" customHeight="false" outlineLevel="0" collapsed="false">
      <c r="A184" s="24"/>
      <c r="B184" s="22"/>
      <c r="C184" s="22"/>
      <c r="D184" s="28"/>
    </row>
    <row r="185" customFormat="false" ht="15" hidden="false" customHeight="false" outlineLevel="0" collapsed="false">
      <c r="A185" s="24"/>
      <c r="B185" s="22"/>
      <c r="C185" s="22"/>
      <c r="D185" s="28"/>
    </row>
    <row r="186" customFormat="false" ht="15" hidden="false" customHeight="false" outlineLevel="0" collapsed="false">
      <c r="A186" s="24"/>
      <c r="B186" s="22"/>
      <c r="C186" s="22"/>
      <c r="D186" s="28"/>
    </row>
    <row r="187" customFormat="false" ht="15" hidden="false" customHeight="false" outlineLevel="0" collapsed="false">
      <c r="A187" s="24"/>
      <c r="B187" s="22"/>
      <c r="C187" s="22"/>
      <c r="D187" s="28"/>
    </row>
    <row r="188" customFormat="false" ht="15" hidden="false" customHeight="false" outlineLevel="0" collapsed="false">
      <c r="A188" s="24"/>
      <c r="B188" s="22"/>
      <c r="C188" s="22"/>
      <c r="D188" s="28"/>
    </row>
    <row r="189" customFormat="false" ht="15" hidden="false" customHeight="false" outlineLevel="0" collapsed="false">
      <c r="A189" s="24"/>
      <c r="B189" s="22"/>
      <c r="C189" s="22"/>
      <c r="D189" s="28"/>
    </row>
    <row r="190" customFormat="false" ht="15" hidden="false" customHeight="false" outlineLevel="0" collapsed="false">
      <c r="A190" s="24"/>
      <c r="B190" s="22"/>
      <c r="C190" s="22"/>
      <c r="D190" s="28"/>
    </row>
    <row r="191" customFormat="false" ht="15" hidden="false" customHeight="false" outlineLevel="0" collapsed="false">
      <c r="A191" s="24"/>
      <c r="B191" s="22"/>
      <c r="C191" s="22"/>
      <c r="D191" s="28"/>
    </row>
    <row r="192" customFormat="false" ht="15" hidden="false" customHeight="false" outlineLevel="0" collapsed="false">
      <c r="A192" s="24"/>
      <c r="B192" s="22"/>
      <c r="C192" s="22"/>
      <c r="D192" s="28"/>
    </row>
    <row r="193" customFormat="false" ht="15" hidden="false" customHeight="false" outlineLevel="0" collapsed="false">
      <c r="A193" s="24"/>
      <c r="B193" s="22"/>
      <c r="C193" s="22"/>
      <c r="D193" s="28"/>
    </row>
    <row r="194" customFormat="false" ht="15" hidden="false" customHeight="false" outlineLevel="0" collapsed="false">
      <c r="A194" s="24"/>
      <c r="B194" s="22"/>
      <c r="C194" s="22"/>
      <c r="D194" s="28"/>
    </row>
    <row r="195" customFormat="false" ht="15" hidden="false" customHeight="false" outlineLevel="0" collapsed="false">
      <c r="A195" s="24"/>
      <c r="B195" s="22"/>
      <c r="C195" s="22"/>
      <c r="D195" s="28"/>
    </row>
    <row r="196" customFormat="false" ht="15" hidden="false" customHeight="false" outlineLevel="0" collapsed="false">
      <c r="A196" s="24"/>
      <c r="B196" s="22"/>
      <c r="C196" s="22"/>
      <c r="D196" s="28"/>
    </row>
    <row r="197" customFormat="false" ht="15" hidden="false" customHeight="false" outlineLevel="0" collapsed="false">
      <c r="A197" s="24"/>
      <c r="B197" s="22"/>
      <c r="C197" s="22"/>
      <c r="D197" s="28"/>
    </row>
    <row r="198" customFormat="false" ht="15" hidden="false" customHeight="false" outlineLevel="0" collapsed="false">
      <c r="A198" s="24"/>
      <c r="B198" s="22"/>
      <c r="C198" s="22"/>
      <c r="D198" s="28"/>
    </row>
    <row r="199" customFormat="false" ht="15" hidden="false" customHeight="false" outlineLevel="0" collapsed="false">
      <c r="A199" s="24"/>
      <c r="B199" s="22"/>
      <c r="C199" s="22"/>
      <c r="D199" s="28"/>
    </row>
    <row r="200" customFormat="false" ht="15" hidden="false" customHeight="false" outlineLevel="0" collapsed="false">
      <c r="A200" s="24"/>
      <c r="B200" s="22"/>
      <c r="C200" s="22"/>
      <c r="D200" s="28"/>
    </row>
    <row r="201" customFormat="false" ht="15" hidden="false" customHeight="false" outlineLevel="0" collapsed="false">
      <c r="A201" s="24"/>
      <c r="B201" s="22"/>
      <c r="C201" s="22"/>
      <c r="D201" s="28"/>
    </row>
    <row r="202" customFormat="false" ht="15" hidden="false" customHeight="false" outlineLevel="0" collapsed="false">
      <c r="A202" s="24"/>
      <c r="B202" s="22"/>
      <c r="C202" s="22"/>
      <c r="D202" s="28"/>
    </row>
    <row r="203" customFormat="false" ht="15" hidden="false" customHeight="false" outlineLevel="0" collapsed="false">
      <c r="A203" s="24"/>
      <c r="B203" s="22"/>
      <c r="C203" s="22"/>
      <c r="D203" s="28"/>
    </row>
    <row r="204" customFormat="false" ht="15" hidden="false" customHeight="false" outlineLevel="0" collapsed="false">
      <c r="A204" s="24"/>
      <c r="B204" s="22"/>
      <c r="C204" s="22"/>
      <c r="D204" s="28"/>
    </row>
    <row r="205" customFormat="false" ht="15" hidden="false" customHeight="false" outlineLevel="0" collapsed="false">
      <c r="A205" s="24"/>
      <c r="B205" s="22"/>
      <c r="C205" s="22"/>
      <c r="D205" s="28"/>
    </row>
    <row r="206" customFormat="false" ht="15" hidden="false" customHeight="false" outlineLevel="0" collapsed="false">
      <c r="A206" s="24"/>
      <c r="B206" s="22"/>
      <c r="C206" s="22"/>
      <c r="D206" s="28"/>
    </row>
    <row r="207" customFormat="false" ht="15" hidden="false" customHeight="false" outlineLevel="0" collapsed="false">
      <c r="A207" s="24"/>
      <c r="B207" s="22"/>
      <c r="C207" s="22"/>
      <c r="D207" s="28"/>
    </row>
    <row r="208" customFormat="false" ht="15" hidden="false" customHeight="false" outlineLevel="0" collapsed="false">
      <c r="A208" s="24"/>
      <c r="B208" s="22"/>
      <c r="C208" s="22"/>
      <c r="D208" s="28"/>
    </row>
    <row r="209" customFormat="false" ht="15" hidden="false" customHeight="false" outlineLevel="0" collapsed="false">
      <c r="A209" s="24"/>
      <c r="B209" s="22"/>
      <c r="C209" s="22"/>
      <c r="D209" s="28"/>
    </row>
    <row r="210" customFormat="false" ht="15" hidden="false" customHeight="false" outlineLevel="0" collapsed="false">
      <c r="A210" s="24"/>
      <c r="B210" s="22"/>
      <c r="C210" s="22"/>
      <c r="D210" s="28"/>
    </row>
    <row r="211" customFormat="false" ht="15" hidden="false" customHeight="false" outlineLevel="0" collapsed="false">
      <c r="A211" s="24"/>
      <c r="B211" s="22"/>
      <c r="C211" s="22"/>
      <c r="D211" s="28"/>
    </row>
    <row r="212" customFormat="false" ht="15" hidden="false" customHeight="false" outlineLevel="0" collapsed="false">
      <c r="A212" s="24"/>
      <c r="B212" s="22"/>
      <c r="C212" s="22"/>
      <c r="D212" s="28"/>
    </row>
    <row r="213" customFormat="false" ht="15" hidden="false" customHeight="false" outlineLevel="0" collapsed="false">
      <c r="A213" s="24"/>
      <c r="B213" s="22"/>
      <c r="C213" s="22"/>
      <c r="D213" s="28"/>
    </row>
    <row r="214" customFormat="false" ht="15" hidden="false" customHeight="false" outlineLevel="0" collapsed="false">
      <c r="A214" s="24"/>
      <c r="B214" s="22"/>
      <c r="C214" s="22"/>
      <c r="D214" s="28"/>
    </row>
    <row r="215" customFormat="false" ht="15" hidden="false" customHeight="false" outlineLevel="0" collapsed="false">
      <c r="A215" s="24"/>
      <c r="B215" s="22"/>
      <c r="C215" s="22"/>
      <c r="D215" s="28"/>
    </row>
    <row r="216" customFormat="false" ht="15" hidden="false" customHeight="false" outlineLevel="0" collapsed="false">
      <c r="A216" s="24"/>
      <c r="B216" s="22"/>
      <c r="C216" s="22"/>
      <c r="D216" s="28"/>
    </row>
    <row r="217" customFormat="false" ht="15" hidden="false" customHeight="false" outlineLevel="0" collapsed="false">
      <c r="A217" s="24"/>
      <c r="B217" s="22"/>
      <c r="C217" s="22"/>
      <c r="D217" s="28"/>
    </row>
    <row r="218" customFormat="false" ht="15" hidden="false" customHeight="false" outlineLevel="0" collapsed="false">
      <c r="A218" s="24"/>
      <c r="B218" s="22"/>
      <c r="C218" s="22"/>
      <c r="D218" s="28"/>
    </row>
    <row r="219" customFormat="false" ht="15" hidden="false" customHeight="false" outlineLevel="0" collapsed="false">
      <c r="A219" s="24"/>
      <c r="B219" s="22"/>
      <c r="C219" s="22"/>
      <c r="D219" s="28"/>
    </row>
    <row r="220" customFormat="false" ht="15" hidden="false" customHeight="false" outlineLevel="0" collapsed="false">
      <c r="A220" s="24"/>
      <c r="B220" s="22"/>
      <c r="C220" s="22"/>
      <c r="D220" s="28"/>
    </row>
    <row r="221" customFormat="false" ht="15" hidden="false" customHeight="false" outlineLevel="0" collapsed="false">
      <c r="A221" s="24"/>
      <c r="B221" s="22"/>
      <c r="C221" s="22"/>
      <c r="D221" s="28"/>
    </row>
    <row r="222" customFormat="false" ht="15" hidden="false" customHeight="false" outlineLevel="0" collapsed="false">
      <c r="A222" s="24"/>
      <c r="B222" s="22"/>
      <c r="C222" s="22"/>
      <c r="D222" s="28"/>
    </row>
    <row r="223" customFormat="false" ht="15" hidden="false" customHeight="false" outlineLevel="0" collapsed="false">
      <c r="A223" s="24"/>
      <c r="B223" s="22"/>
      <c r="C223" s="22"/>
      <c r="D223" s="28"/>
    </row>
    <row r="224" customFormat="false" ht="15" hidden="false" customHeight="false" outlineLevel="0" collapsed="false">
      <c r="A224" s="24"/>
      <c r="B224" s="22"/>
      <c r="C224" s="22"/>
      <c r="D224" s="28"/>
    </row>
    <row r="225" customFormat="false" ht="15" hidden="false" customHeight="false" outlineLevel="0" collapsed="false">
      <c r="A225" s="24"/>
      <c r="B225" s="22"/>
      <c r="C225" s="22"/>
      <c r="D225" s="28"/>
    </row>
    <row r="226" customFormat="false" ht="15" hidden="false" customHeight="false" outlineLevel="0" collapsed="false">
      <c r="A226" s="24"/>
      <c r="B226" s="22"/>
      <c r="C226" s="22"/>
      <c r="D226" s="28"/>
    </row>
    <row r="227" customFormat="false" ht="15" hidden="false" customHeight="false" outlineLevel="0" collapsed="false">
      <c r="A227" s="24"/>
      <c r="B227" s="22"/>
      <c r="C227" s="22"/>
      <c r="D227" s="28"/>
    </row>
    <row r="228" customFormat="false" ht="15" hidden="false" customHeight="false" outlineLevel="0" collapsed="false">
      <c r="A228" s="24"/>
      <c r="B228" s="22"/>
      <c r="C228" s="22"/>
      <c r="D228" s="28"/>
    </row>
    <row r="229" customFormat="false" ht="15" hidden="false" customHeight="false" outlineLevel="0" collapsed="false">
      <c r="A229" s="24"/>
      <c r="B229" s="22"/>
      <c r="C229" s="22"/>
      <c r="D229" s="28"/>
    </row>
    <row r="230" customFormat="false" ht="15" hidden="false" customHeight="false" outlineLevel="0" collapsed="false">
      <c r="A230" s="24"/>
      <c r="B230" s="22"/>
      <c r="C230" s="22"/>
      <c r="D230" s="28"/>
    </row>
    <row r="231" customFormat="false" ht="15" hidden="false" customHeight="false" outlineLevel="0" collapsed="false">
      <c r="A231" s="24"/>
      <c r="B231" s="22"/>
      <c r="C231" s="22"/>
      <c r="D231" s="28"/>
    </row>
    <row r="232" customFormat="false" ht="15" hidden="false" customHeight="false" outlineLevel="0" collapsed="false">
      <c r="A232" s="24"/>
      <c r="B232" s="22"/>
      <c r="C232" s="22"/>
      <c r="D232" s="28"/>
    </row>
    <row r="233" customFormat="false" ht="15" hidden="false" customHeight="false" outlineLevel="0" collapsed="false">
      <c r="A233" s="24"/>
      <c r="B233" s="22"/>
      <c r="C233" s="22"/>
      <c r="D233" s="28"/>
    </row>
    <row r="234" customFormat="false" ht="15" hidden="false" customHeight="false" outlineLevel="0" collapsed="false">
      <c r="A234" s="24"/>
      <c r="B234" s="22"/>
      <c r="C234" s="22"/>
      <c r="D234" s="28"/>
    </row>
    <row r="235" customFormat="false" ht="15" hidden="false" customHeight="false" outlineLevel="0" collapsed="false">
      <c r="A235" s="24"/>
      <c r="B235" s="22"/>
      <c r="C235" s="22"/>
      <c r="D235" s="28"/>
    </row>
    <row r="236" customFormat="false" ht="15" hidden="false" customHeight="false" outlineLevel="0" collapsed="false">
      <c r="A236" s="24"/>
      <c r="B236" s="22"/>
      <c r="C236" s="22"/>
      <c r="D236" s="28"/>
    </row>
    <row r="237" customFormat="false" ht="15" hidden="false" customHeight="false" outlineLevel="0" collapsed="false">
      <c r="A237" s="24"/>
      <c r="B237" s="22"/>
      <c r="C237" s="22"/>
      <c r="D237" s="28"/>
    </row>
    <row r="238" customFormat="false" ht="15" hidden="false" customHeight="false" outlineLevel="0" collapsed="false">
      <c r="A238" s="24"/>
      <c r="B238" s="22"/>
      <c r="C238" s="22"/>
      <c r="D238" s="28"/>
    </row>
    <row r="239" customFormat="false" ht="15" hidden="false" customHeight="false" outlineLevel="0" collapsed="false">
      <c r="A239" s="24"/>
      <c r="B239" s="22"/>
      <c r="C239" s="22"/>
      <c r="D239" s="28"/>
    </row>
    <row r="240" customFormat="false" ht="15" hidden="false" customHeight="false" outlineLevel="0" collapsed="false">
      <c r="A240" s="24"/>
      <c r="B240" s="22"/>
      <c r="C240" s="22"/>
      <c r="D240" s="28"/>
    </row>
    <row r="241" customFormat="false" ht="15" hidden="false" customHeight="false" outlineLevel="0" collapsed="false">
      <c r="A241" s="24"/>
      <c r="B241" s="22"/>
      <c r="C241" s="22"/>
      <c r="D241" s="28"/>
    </row>
    <row r="242" customFormat="false" ht="15" hidden="false" customHeight="false" outlineLevel="0" collapsed="false">
      <c r="A242" s="24"/>
      <c r="B242" s="22"/>
      <c r="C242" s="22"/>
      <c r="D242" s="28"/>
    </row>
    <row r="243" customFormat="false" ht="15" hidden="false" customHeight="false" outlineLevel="0" collapsed="false">
      <c r="A243" s="24"/>
      <c r="B243" s="22"/>
      <c r="C243" s="22"/>
      <c r="D243" s="28"/>
    </row>
    <row r="244" customFormat="false" ht="15" hidden="false" customHeight="false" outlineLevel="0" collapsed="false">
      <c r="A244" s="24"/>
      <c r="B244" s="22"/>
      <c r="C244" s="22"/>
      <c r="D244" s="28"/>
    </row>
    <row r="245" customFormat="false" ht="15" hidden="false" customHeight="false" outlineLevel="0" collapsed="false">
      <c r="A245" s="24"/>
      <c r="B245" s="22"/>
      <c r="C245" s="22"/>
      <c r="D245" s="28"/>
    </row>
    <row r="246" customFormat="false" ht="15" hidden="false" customHeight="false" outlineLevel="0" collapsed="false">
      <c r="A246" s="24"/>
      <c r="B246" s="22"/>
      <c r="C246" s="22"/>
      <c r="D246" s="28"/>
    </row>
    <row r="247" customFormat="false" ht="15" hidden="false" customHeight="false" outlineLevel="0" collapsed="false">
      <c r="A247" s="24"/>
      <c r="B247" s="22"/>
      <c r="C247" s="22"/>
      <c r="D247" s="28"/>
    </row>
    <row r="248" customFormat="false" ht="15" hidden="false" customHeight="false" outlineLevel="0" collapsed="false">
      <c r="A248" s="24"/>
      <c r="B248" s="22"/>
      <c r="C248" s="22"/>
      <c r="D248" s="28"/>
    </row>
    <row r="249" customFormat="false" ht="15" hidden="false" customHeight="false" outlineLevel="0" collapsed="false">
      <c r="A249" s="24"/>
      <c r="B249" s="22"/>
      <c r="C249" s="22"/>
      <c r="D249" s="28"/>
    </row>
    <row r="250" customFormat="false" ht="15" hidden="false" customHeight="false" outlineLevel="0" collapsed="false">
      <c r="A250" s="24"/>
      <c r="B250" s="22"/>
      <c r="C250" s="22"/>
      <c r="D250" s="28"/>
    </row>
    <row r="251" customFormat="false" ht="15" hidden="false" customHeight="false" outlineLevel="0" collapsed="false">
      <c r="A251" s="24"/>
      <c r="B251" s="22"/>
      <c r="C251" s="22"/>
      <c r="D251" s="28"/>
    </row>
    <row r="252" customFormat="false" ht="15" hidden="false" customHeight="false" outlineLevel="0" collapsed="false">
      <c r="A252" s="24"/>
      <c r="B252" s="22"/>
      <c r="C252" s="22"/>
      <c r="D252" s="28"/>
    </row>
    <row r="253" customFormat="false" ht="15" hidden="false" customHeight="false" outlineLevel="0" collapsed="false">
      <c r="A253" s="24"/>
      <c r="B253" s="22"/>
      <c r="C253" s="22"/>
      <c r="D253" s="28"/>
    </row>
    <row r="254" customFormat="false" ht="15" hidden="false" customHeight="false" outlineLevel="0" collapsed="false">
      <c r="A254" s="24"/>
      <c r="B254" s="22"/>
      <c r="C254" s="22"/>
      <c r="D254" s="28"/>
    </row>
    <row r="255" customFormat="false" ht="15" hidden="false" customHeight="false" outlineLevel="0" collapsed="false">
      <c r="A255" s="24"/>
      <c r="B255" s="22"/>
      <c r="C255" s="22"/>
      <c r="D255" s="28"/>
    </row>
    <row r="256" customFormat="false" ht="15" hidden="false" customHeight="false" outlineLevel="0" collapsed="false">
      <c r="A256" s="24"/>
      <c r="B256" s="22"/>
      <c r="C256" s="22"/>
      <c r="D256" s="28"/>
    </row>
    <row r="257" customFormat="false" ht="15" hidden="false" customHeight="false" outlineLevel="0" collapsed="false">
      <c r="A257" s="24"/>
      <c r="B257" s="22"/>
      <c r="C257" s="22"/>
      <c r="D257" s="28"/>
    </row>
    <row r="258" customFormat="false" ht="15" hidden="false" customHeight="false" outlineLevel="0" collapsed="false">
      <c r="A258" s="24"/>
      <c r="B258" s="22"/>
      <c r="C258" s="22"/>
      <c r="D258" s="28"/>
    </row>
    <row r="259" customFormat="false" ht="15" hidden="false" customHeight="false" outlineLevel="0" collapsed="false">
      <c r="A259" s="24"/>
      <c r="B259" s="22"/>
      <c r="C259" s="22"/>
      <c r="D259" s="28"/>
    </row>
    <row r="260" customFormat="false" ht="15" hidden="false" customHeight="false" outlineLevel="0" collapsed="false">
      <c r="A260" s="24"/>
      <c r="B260" s="22"/>
      <c r="C260" s="22"/>
      <c r="D260" s="28"/>
    </row>
    <row r="261" customFormat="false" ht="15" hidden="false" customHeight="false" outlineLevel="0" collapsed="false">
      <c r="A261" s="24"/>
      <c r="B261" s="22"/>
      <c r="C261" s="22"/>
      <c r="D261" s="28"/>
    </row>
    <row r="262" customFormat="false" ht="15" hidden="false" customHeight="false" outlineLevel="0" collapsed="false">
      <c r="A262" s="24"/>
      <c r="B262" s="22"/>
      <c r="C262" s="22"/>
      <c r="D262" s="28"/>
    </row>
    <row r="263" customFormat="false" ht="15" hidden="false" customHeight="false" outlineLevel="0" collapsed="false">
      <c r="A263" s="24"/>
      <c r="B263" s="22"/>
      <c r="C263" s="22"/>
      <c r="D263" s="28"/>
    </row>
    <row r="264" customFormat="false" ht="15" hidden="false" customHeight="false" outlineLevel="0" collapsed="false">
      <c r="A264" s="24"/>
      <c r="B264" s="22"/>
      <c r="C264" s="22"/>
      <c r="D264" s="28"/>
    </row>
    <row r="265" customFormat="false" ht="15" hidden="false" customHeight="false" outlineLevel="0" collapsed="false">
      <c r="A265" s="24"/>
      <c r="B265" s="22"/>
      <c r="C265" s="22"/>
      <c r="D265" s="28"/>
    </row>
    <row r="266" customFormat="false" ht="15" hidden="false" customHeight="false" outlineLevel="0" collapsed="false">
      <c r="A266" s="24"/>
      <c r="B266" s="22"/>
      <c r="C266" s="22"/>
      <c r="D266" s="28"/>
    </row>
    <row r="267" customFormat="false" ht="15" hidden="false" customHeight="false" outlineLevel="0" collapsed="false">
      <c r="A267" s="24"/>
      <c r="B267" s="22"/>
      <c r="C267" s="22"/>
      <c r="D267" s="28"/>
    </row>
    <row r="268" customFormat="false" ht="15" hidden="false" customHeight="false" outlineLevel="0" collapsed="false">
      <c r="A268" s="24"/>
      <c r="B268" s="22"/>
      <c r="C268" s="22"/>
      <c r="D268" s="28"/>
    </row>
    <row r="269" customFormat="false" ht="15" hidden="false" customHeight="false" outlineLevel="0" collapsed="false">
      <c r="A269" s="24"/>
      <c r="B269" s="22"/>
      <c r="C269" s="22"/>
      <c r="D269" s="28"/>
    </row>
    <row r="270" customFormat="false" ht="15" hidden="false" customHeight="false" outlineLevel="0" collapsed="false">
      <c r="A270" s="24"/>
      <c r="B270" s="22"/>
      <c r="C270" s="22"/>
      <c r="D270" s="28"/>
    </row>
    <row r="271" customFormat="false" ht="15" hidden="false" customHeight="false" outlineLevel="0" collapsed="false">
      <c r="A271" s="24"/>
      <c r="B271" s="22"/>
      <c r="C271" s="22"/>
      <c r="D271" s="28"/>
    </row>
    <row r="272" customFormat="false" ht="15" hidden="false" customHeight="false" outlineLevel="0" collapsed="false">
      <c r="A272" s="24"/>
      <c r="B272" s="22"/>
      <c r="C272" s="22"/>
      <c r="D272" s="28"/>
    </row>
    <row r="273" customFormat="false" ht="15" hidden="false" customHeight="false" outlineLevel="0" collapsed="false">
      <c r="A273" s="24"/>
      <c r="B273" s="22"/>
      <c r="C273" s="22"/>
      <c r="D273" s="28"/>
    </row>
    <row r="274" customFormat="false" ht="15" hidden="false" customHeight="false" outlineLevel="0" collapsed="false">
      <c r="A274" s="24"/>
      <c r="B274" s="22"/>
      <c r="C274" s="22"/>
      <c r="D274" s="28"/>
    </row>
    <row r="275" customFormat="false" ht="15" hidden="false" customHeight="false" outlineLevel="0" collapsed="false">
      <c r="A275" s="24"/>
      <c r="B275" s="22"/>
      <c r="C275" s="22"/>
      <c r="D275" s="28"/>
    </row>
    <row r="276" customFormat="false" ht="15" hidden="false" customHeight="false" outlineLevel="0" collapsed="false">
      <c r="A276" s="24"/>
      <c r="B276" s="22"/>
      <c r="C276" s="22"/>
      <c r="D276" s="28"/>
    </row>
    <row r="277" customFormat="false" ht="15" hidden="false" customHeight="false" outlineLevel="0" collapsed="false">
      <c r="A277" s="24"/>
      <c r="B277" s="22"/>
      <c r="C277" s="22"/>
      <c r="D277" s="28"/>
    </row>
    <row r="278" customFormat="false" ht="15" hidden="false" customHeight="false" outlineLevel="0" collapsed="false">
      <c r="A278" s="24"/>
      <c r="B278" s="22"/>
      <c r="C278" s="22"/>
      <c r="D278" s="28"/>
    </row>
    <row r="279" customFormat="false" ht="15" hidden="false" customHeight="false" outlineLevel="0" collapsed="false">
      <c r="A279" s="24"/>
      <c r="B279" s="22"/>
      <c r="C279" s="22"/>
      <c r="D279" s="28"/>
    </row>
    <row r="280" customFormat="false" ht="15" hidden="false" customHeight="false" outlineLevel="0" collapsed="false">
      <c r="A280" s="24"/>
      <c r="B280" s="22"/>
      <c r="C280" s="22"/>
      <c r="D280" s="28"/>
    </row>
    <row r="281" customFormat="false" ht="15" hidden="false" customHeight="false" outlineLevel="0" collapsed="false">
      <c r="A281" s="24"/>
      <c r="B281" s="22"/>
      <c r="C281" s="22"/>
      <c r="D281" s="28"/>
    </row>
    <row r="282" customFormat="false" ht="15" hidden="false" customHeight="false" outlineLevel="0" collapsed="false">
      <c r="A282" s="24"/>
      <c r="B282" s="22"/>
      <c r="C282" s="22"/>
      <c r="D282" s="28"/>
    </row>
    <row r="283" customFormat="false" ht="15" hidden="false" customHeight="false" outlineLevel="0" collapsed="false">
      <c r="A283" s="24"/>
      <c r="B283" s="22"/>
      <c r="C283" s="22"/>
      <c r="D283" s="28"/>
    </row>
    <row r="284" customFormat="false" ht="15" hidden="false" customHeight="false" outlineLevel="0" collapsed="false">
      <c r="A284" s="24"/>
      <c r="B284" s="22"/>
      <c r="C284" s="22"/>
      <c r="D284" s="28"/>
    </row>
    <row r="285" customFormat="false" ht="15" hidden="false" customHeight="false" outlineLevel="0" collapsed="false">
      <c r="A285" s="24"/>
      <c r="B285" s="22"/>
      <c r="C285" s="22"/>
      <c r="D285" s="28"/>
    </row>
    <row r="286" customFormat="false" ht="15" hidden="false" customHeight="false" outlineLevel="0" collapsed="false">
      <c r="A286" s="24"/>
      <c r="B286" s="22"/>
      <c r="C286" s="22"/>
      <c r="D286" s="28"/>
    </row>
    <row r="287" customFormat="false" ht="15" hidden="false" customHeight="false" outlineLevel="0" collapsed="false">
      <c r="A287" s="24"/>
      <c r="B287" s="22"/>
      <c r="C287" s="22"/>
      <c r="D287" s="28"/>
    </row>
    <row r="288" customFormat="false" ht="15" hidden="false" customHeight="false" outlineLevel="0" collapsed="false">
      <c r="A288" s="24"/>
      <c r="B288" s="22"/>
      <c r="C288" s="22"/>
      <c r="D288" s="28"/>
    </row>
    <row r="289" customFormat="false" ht="15" hidden="false" customHeight="false" outlineLevel="0" collapsed="false">
      <c r="A289" s="24"/>
      <c r="B289" s="22"/>
      <c r="C289" s="22"/>
      <c r="D289" s="28"/>
    </row>
    <row r="290" customFormat="false" ht="15" hidden="false" customHeight="false" outlineLevel="0" collapsed="false">
      <c r="A290" s="24"/>
      <c r="B290" s="22"/>
      <c r="C290" s="22"/>
      <c r="D290" s="28"/>
    </row>
    <row r="291" customFormat="false" ht="15" hidden="false" customHeight="false" outlineLevel="0" collapsed="false">
      <c r="A291" s="24"/>
      <c r="B291" s="22"/>
      <c r="C291" s="22"/>
      <c r="D291" s="28"/>
    </row>
    <row r="292" customFormat="false" ht="15" hidden="false" customHeight="false" outlineLevel="0" collapsed="false">
      <c r="A292" s="24"/>
      <c r="B292" s="22"/>
      <c r="C292" s="22"/>
      <c r="D292" s="28"/>
    </row>
    <row r="293" customFormat="false" ht="15" hidden="false" customHeight="false" outlineLevel="0" collapsed="false">
      <c r="A293" s="24"/>
      <c r="B293" s="22"/>
      <c r="C293" s="22"/>
      <c r="D293" s="28"/>
    </row>
    <row r="294" customFormat="false" ht="15" hidden="false" customHeight="false" outlineLevel="0" collapsed="false">
      <c r="A294" s="24"/>
      <c r="B294" s="22"/>
      <c r="C294" s="22"/>
      <c r="D294" s="28"/>
    </row>
    <row r="295" customFormat="false" ht="15" hidden="false" customHeight="false" outlineLevel="0" collapsed="false">
      <c r="A295" s="24"/>
      <c r="B295" s="22"/>
      <c r="C295" s="22"/>
      <c r="D295" s="28"/>
    </row>
    <row r="296" customFormat="false" ht="15" hidden="false" customHeight="false" outlineLevel="0" collapsed="false">
      <c r="A296" s="24"/>
      <c r="B296" s="22"/>
      <c r="C296" s="22"/>
      <c r="D296" s="28"/>
    </row>
    <row r="297" customFormat="false" ht="15" hidden="false" customHeight="false" outlineLevel="0" collapsed="false">
      <c r="A297" s="24"/>
      <c r="B297" s="22"/>
      <c r="C297" s="22"/>
      <c r="D297" s="28"/>
    </row>
    <row r="298" customFormat="false" ht="15" hidden="false" customHeight="false" outlineLevel="0" collapsed="false">
      <c r="A298" s="24"/>
      <c r="B298" s="22"/>
      <c r="C298" s="22"/>
      <c r="D298" s="28"/>
    </row>
    <row r="299" customFormat="false" ht="15" hidden="false" customHeight="false" outlineLevel="0" collapsed="false">
      <c r="A299" s="24"/>
      <c r="B299" s="22"/>
      <c r="C299" s="22"/>
      <c r="D299" s="28"/>
    </row>
    <row r="300" customFormat="false" ht="15" hidden="false" customHeight="false" outlineLevel="0" collapsed="false">
      <c r="A300" s="24"/>
      <c r="B300" s="22"/>
      <c r="C300" s="22"/>
      <c r="D300" s="28"/>
    </row>
    <row r="301" customFormat="false" ht="15" hidden="false" customHeight="false" outlineLevel="0" collapsed="false">
      <c r="A301" s="24"/>
      <c r="B301" s="22"/>
      <c r="C301" s="22"/>
      <c r="D301" s="28"/>
    </row>
    <row r="302" customFormat="false" ht="15" hidden="false" customHeight="false" outlineLevel="0" collapsed="false">
      <c r="A302" s="24"/>
      <c r="B302" s="22"/>
      <c r="C302" s="22"/>
      <c r="D302" s="28"/>
    </row>
    <row r="303" customFormat="false" ht="15" hidden="false" customHeight="false" outlineLevel="0" collapsed="false">
      <c r="A303" s="24"/>
      <c r="B303" s="22"/>
      <c r="C303" s="22"/>
      <c r="D303" s="28"/>
    </row>
    <row r="304" customFormat="false" ht="15" hidden="false" customHeight="false" outlineLevel="0" collapsed="false">
      <c r="A304" s="24"/>
      <c r="B304" s="22"/>
      <c r="C304" s="22"/>
      <c r="D304" s="28"/>
    </row>
    <row r="305" customFormat="false" ht="15" hidden="false" customHeight="false" outlineLevel="0" collapsed="false">
      <c r="A305" s="24"/>
      <c r="B305" s="22"/>
      <c r="C305" s="22"/>
      <c r="D305" s="28"/>
    </row>
    <row r="306" customFormat="false" ht="15" hidden="false" customHeight="false" outlineLevel="0" collapsed="false">
      <c r="A306" s="24"/>
      <c r="B306" s="22"/>
      <c r="C306" s="22"/>
      <c r="D306" s="28"/>
    </row>
    <row r="307" customFormat="false" ht="15" hidden="false" customHeight="false" outlineLevel="0" collapsed="false">
      <c r="A307" s="24"/>
      <c r="B307" s="22"/>
      <c r="C307" s="22"/>
      <c r="D307" s="28"/>
    </row>
    <row r="308" customFormat="false" ht="15" hidden="false" customHeight="false" outlineLevel="0" collapsed="false">
      <c r="A308" s="24"/>
      <c r="B308" s="22"/>
      <c r="C308" s="22"/>
      <c r="D308" s="28"/>
    </row>
    <row r="309" customFormat="false" ht="15" hidden="false" customHeight="false" outlineLevel="0" collapsed="false">
      <c r="A309" s="24"/>
      <c r="B309" s="22"/>
      <c r="C309" s="22"/>
      <c r="D309" s="28"/>
    </row>
    <row r="310" customFormat="false" ht="15" hidden="false" customHeight="false" outlineLevel="0" collapsed="false">
      <c r="A310" s="24"/>
      <c r="B310" s="22"/>
      <c r="C310" s="22"/>
      <c r="D310" s="28"/>
    </row>
    <row r="311" customFormat="false" ht="15" hidden="false" customHeight="false" outlineLevel="0" collapsed="false">
      <c r="A311" s="24"/>
      <c r="B311" s="22"/>
      <c r="C311" s="22"/>
      <c r="D311" s="28"/>
    </row>
    <row r="312" customFormat="false" ht="15" hidden="false" customHeight="false" outlineLevel="0" collapsed="false">
      <c r="A312" s="24"/>
      <c r="B312" s="22"/>
      <c r="C312" s="22"/>
      <c r="D312" s="28"/>
    </row>
  </sheetData>
  <mergeCells count="2">
    <mergeCell ref="A1:F1"/>
    <mergeCell ref="A2:F2"/>
  </mergeCells>
  <conditionalFormatting sqref="E5:E7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"LOW"</formula>
    </cfRule>
  </conditionalFormatting>
  <dataValidations count="2">
    <dataValidation allowBlank="true" errorStyle="stop" operator="between" showDropDown="false" showErrorMessage="false" showInputMessage="false" sqref="B13:B312" type="list">
      <formula1>"Small,Medium,Large"</formula1>
      <formula2>0</formula2>
    </dataValidation>
    <dataValidation allowBlank="true" errorStyle="stop" operator="greaterThanOrEqual" showDropDown="false" showErrorMessage="false" showInputMessage="false" sqref="C13:C312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2026-09-27T15:37:12Z</dcterms:created>
  <dc:creator>openpyxl</dc:creator>
  <dc:description/>
  <dc:language>en-US</dc:language>
  <cp:lastModifiedBy/>
  <dcterms:modified xsi:type="dcterms:W3CDTF">2026-09-27T15:37:15Z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