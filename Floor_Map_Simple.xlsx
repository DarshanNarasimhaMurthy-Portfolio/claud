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ists" sheetId="3" state="hidden" r:id="rId3"/>
  </sheets>
  <definedNames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E6007E"/>
      <sz val="12"/>
    </font>
    <font>
      <name val="Arial"/>
      <b val="1"/>
      <color rgb="00FFFFFF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FF0000"/>
        <bgColor rgb="00FF0000"/>
      </patternFill>
    </fill>
  </fills>
  <borders count="3">
    <border>
      <left/>
      <right/>
      <top/>
      <bottom/>
      <diagonal/>
    </border>
    <border>
      <bottom style="thick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39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7" fillId="0" borderId="0" applyAlignment="1" pivotButton="0" quotePrefix="0" xfId="0">
      <alignment vertical="center" indent="1"/>
    </xf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9" fillId="0" borderId="0" applyAlignment="1" pivotButton="0" quotePrefix="0" xfId="0">
      <alignment horizontal="center" vertical="center" textRotation="90"/>
    </xf>
    <xf numFmtId="0" fontId="10" fillId="0" borderId="0" applyAlignment="1" pivotButton="0" quotePrefix="0" xfId="0">
      <alignment horizontal="left" vertical="bottom"/>
    </xf>
    <xf numFmtId="0" fontId="4" fillId="2" borderId="0" applyAlignment="1" pivotButton="0" quotePrefix="0" xfId="0">
      <alignment vertical="center" indent="1"/>
    </xf>
    <xf numFmtId="0" fontId="12" fillId="6" borderId="2" applyAlignment="1" pivotButton="0" quotePrefix="0" xfId="0">
      <alignment horizontal="center" vertical="center" shrinkToFit="1"/>
    </xf>
    <xf numFmtId="0" fontId="0" fillId="10" borderId="0" pivotButton="0" quotePrefix="0" xfId="0"/>
    <xf numFmtId="0" fontId="13" fillId="0" borderId="0" applyAlignment="1" pivotButton="0" quotePrefix="0" xfId="0">
      <alignment vertical="center"/>
    </xf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6" borderId="0" pivotButton="0" quotePrefix="0" xfId="0"/>
    <xf numFmtId="0" fontId="12" fillId="9" borderId="2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5" borderId="0" pivotButton="0" quotePrefix="0" xfId="0"/>
    <xf numFmtId="0" fontId="7" fillId="0" borderId="0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shrinkToFit="1"/>
    </xf>
    <xf numFmtId="0" fontId="12" fillId="7" borderId="2" applyAlignment="1" pivotButton="0" quotePrefix="0" xfId="0">
      <alignment horizontal="center" vertical="center" shrinkToFit="1"/>
    </xf>
    <xf numFmtId="0" fontId="14" fillId="0" borderId="0" applyAlignment="1" pivotButton="0" quotePrefix="0" xfId="0">
      <alignment horizontal="right" vertical="center"/>
    </xf>
    <xf numFmtId="0" fontId="11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10" borderId="0" pivotButton="0" quotePrefix="0" xfId="0"/>
    <xf numFmtId="0" fontId="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8" fillId="11" borderId="0" pivotButton="0" quotePrefix="0" xfId="0"/>
    <xf numFmtId="0" fontId="8" fillId="12" borderId="0" pivotButton="0" quotePrefix="0" xfId="0"/>
    <xf numFmtId="0" fontId="5" fillId="13" borderId="0" pivotButton="0" quotePrefix="0" xfId="0"/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Stock" displayName="tblStock" ref="A4:H6" headerRowCount="1">
  <tableColumns count="8">
    <tableColumn id="1" name="Item code"/>
    <tableColumn id="2" name="Description"/>
    <tableColumn id="3" name="Zone"/>
    <tableColumn id="4" name="Units per pallet"/>
    <tableColumn id="5" name="Low when pallets at or below"/>
    <tableColumn id="6" name="Pallets on map">
      <calculatedColumnFormula>IF(tblStock[[#This Row],[Item code]]="","",COUNTIF(Map!$A$6:$AJ$28,tblStock[[#This Row],[Item code]]))</calculatedColumnFormula>
    </tableColumn>
    <tableColumn id="7" name="Units on map">
      <calculatedColumnFormula>IF(OR(tblStock[[#This Row],[Item code]]="",N(tblStock[[#This Row],[Units per pallet]])=0),"",tblStock[[#This Row],[Pallets on map]]*tblStock[[#This Row],[Units per pallet]])</calculatedColumnFormula>
    </tableColumn>
    <tableColumn id="8" name="Status">
      <calculatedColumnFormula>IF(tblStock[[#This Row],[Item code]]="","",IF(tblStock[[#This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30"/>
  <sheetViews>
    <sheetView showGridLines="0" showRowColHeaders="0" zoomScale="96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Click a square  ▶  click the little arrow  ▶  pick the item.      To empty a square: click it and press Delete.</t>
        </is>
      </c>
    </row>
    <row r="3" ht="6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R6" s="6" t="inlineStr">
        <is>
          <t>WALKWAY</t>
        </is>
      </c>
      <c r="U6" s="7" t="inlineStr">
        <is>
          <t>R4   Boxes</t>
        </is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7" t="inlineStr">
        <is>
          <t>L3   Boxes</t>
        </is>
      </c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 t="inlineStr">
        <is>
          <t>Boxes</t>
        </is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 t="inlineStr">
        <is>
          <t>Bags</t>
        </is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 t="inlineStr">
        <is>
          <t>Films and Wrap</t>
        </is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 t="inlineStr">
        <is>
          <t>Labels and Packing</t>
        </is>
      </c>
    </row>
    <row r="11" ht="21" customHeight="1"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U11" s="7" t="inlineStr">
        <is>
          <t>R3   Bags</t>
        </is>
      </c>
      <c r="AL11" s="15" t="n"/>
      <c r="AN11" s="11" t="inlineStr">
        <is>
          <t>Stripes = free space</t>
        </is>
      </c>
    </row>
    <row r="12" ht="21" customHeight="1">
      <c r="B12" s="7" t="inlineStr">
        <is>
          <t>L2   Boxes</t>
        </is>
      </c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U16" s="7" t="inlineStr">
        <is>
          <t>R2   Films and Wrap</t>
        </is>
      </c>
      <c r="AL16" s="19">
        <f>256-(COUNTA(B18:Q21)+COUNTA(B13:Q16)+COUNTA(B8:Q11)+COUNTA(U7:AJ10))</f>
        <v/>
      </c>
      <c r="AN16" s="11" t="inlineStr">
        <is>
          <t>Boxes</t>
        </is>
      </c>
    </row>
    <row r="17" ht="21" customHeight="1">
      <c r="B17" s="7" t="inlineStr">
        <is>
          <t>L1   Boxes</t>
        </is>
      </c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 t="inlineStr">
        <is>
          <t>Bags</t>
        </is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 t="inlineStr">
        <is>
          <t>Films and Wrap</t>
        </is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32-(COUNTA(U22:AJ23))</f>
        <v/>
      </c>
      <c r="AN19" s="11" t="inlineStr">
        <is>
          <t>Labels and Packing</t>
        </is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U21" s="7" t="inlineStr">
        <is>
          <t>R1   Labels and Packing</t>
        </is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7" t="inlineStr">
        <is>
          <t>XL   NOT OURS</t>
        </is>
      </c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L22" s="22">
        <f>COUNTIF(tblStock[Status],"LOW")</f>
        <v/>
      </c>
      <c r="AN22" s="11" t="inlineStr">
        <is>
          <t>items LOW - see Stock sheet</t>
        </is>
      </c>
    </row>
    <row r="23" ht="21" customHeight="1">
      <c r="B23" s="23" t="inlineStr">
        <is>
          <t>NOT OURS - someone else's space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7" t="inlineStr">
        <is>
          <t>XR   NOT OURS</t>
        </is>
      </c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23" t="inlineStr">
        <is>
          <t>NOT OURS - someone else's space</t>
        </is>
      </c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</row>
    <row r="29" ht="21" customHeight="1"/>
    <row r="30" ht="21" customHeight="1">
      <c r="B30" s="24" t="inlineStr">
        <is>
          <t>FIRE EXIT</t>
        </is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</row>
  </sheetData>
  <mergeCells count="36">
    <mergeCell ref="R6:T28"/>
    <mergeCell ref="AN13:AU13"/>
    <mergeCell ref="U24:AJ24"/>
    <mergeCell ref="AN9:AU9"/>
    <mergeCell ref="B4:AJ4"/>
    <mergeCell ref="AL16:AM16"/>
    <mergeCell ref="AL22:AM22"/>
    <mergeCell ref="AN16:AU16"/>
    <mergeCell ref="A1:AU1"/>
    <mergeCell ref="AL6:AU6"/>
    <mergeCell ref="B7:Q7"/>
    <mergeCell ref="AL15:AU15"/>
    <mergeCell ref="U6:AJ6"/>
    <mergeCell ref="U25:AJ28"/>
    <mergeCell ref="AL18:AM18"/>
    <mergeCell ref="B22:Q22"/>
    <mergeCell ref="AN22:AU22"/>
    <mergeCell ref="B23:Q28"/>
    <mergeCell ref="AN12:AU12"/>
    <mergeCell ref="B12:Q12"/>
    <mergeCell ref="AN11:AU11"/>
    <mergeCell ref="AN18:AU18"/>
    <mergeCell ref="AL17:AM17"/>
    <mergeCell ref="U11:AJ11"/>
    <mergeCell ref="A2:AU2"/>
    <mergeCell ref="U16:AJ16"/>
    <mergeCell ref="AN8:AU8"/>
    <mergeCell ref="AN17:AU17"/>
    <mergeCell ref="B17:Q17"/>
    <mergeCell ref="AN7:AU7"/>
    <mergeCell ref="AL19:AM19"/>
    <mergeCell ref="AL21:AU21"/>
    <mergeCell ref="AN10:AU10"/>
    <mergeCell ref="B30:AJ30"/>
    <mergeCell ref="AN19:AU19"/>
    <mergeCell ref="U21:AJ21"/>
  </mergeCells>
  <conditionalFormatting sqref="B18:Q21">
    <cfRule type="expression" priority="1" dxfId="0" stopIfTrue="1">
      <formula>AND(LEN(B18)&gt;0,IFERROR(INDEX(ItemZones,MATCH(B18,ItemCodes,0)),"BOX")&lt;&gt;"BOX")</formula>
    </cfRule>
    <cfRule type="expression" priority="2" dxfId="1">
      <formula>LEN(B18)&gt;0</formula>
    </cfRule>
  </conditionalFormatting>
  <conditionalFormatting sqref="B13:Q16">
    <cfRule type="expression" priority="3" dxfId="0" stopIfTrue="1">
      <formula>AND(LEN(B13)&gt;0,IFERROR(INDEX(ItemZones,MATCH(B13,ItemCodes,0)),"BOX")&lt;&gt;"BOX")</formula>
    </cfRule>
    <cfRule type="expression" priority="4" dxfId="1">
      <formula>LEN(B13)&gt;0</formula>
    </cfRule>
  </conditionalFormatting>
  <conditionalFormatting sqref="B8:Q11">
    <cfRule type="expression" priority="5" dxfId="0" stopIfTrue="1">
      <formula>AND(LEN(B8)&gt;0,IFERROR(INDEX(ItemZones,MATCH(B8,ItemCodes,0)),"BOX")&lt;&gt;"BOX")</formula>
    </cfRule>
    <cfRule type="expression" priority="6" dxfId="1">
      <formula>LEN(B8)&gt;0</formula>
    </cfRule>
  </conditionalFormatting>
  <conditionalFormatting sqref="U22:AJ23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8:Q21" showDropDown="0" showInputMessage="1" showErrorMessage="1" allowBlank="1" errorTitle="Not for this zone" error="That item isn't listed for this zone (or isn't on the Stock sheet). Put it here anyway?" promptTitle="L1  Boxes" prompt="Click the arrow and pick an item. Press Delete to empty." type="list" errorStyle="warning">
      <formula1>dd_BOX</formula1>
    </dataValidation>
    <dataValidation sqref="B13:Q16" showDropDown="0" showInputMessage="1" showErrorMessage="1" allowBlank="1" errorTitle="Not for this zone" error="That item isn't listed for this zone (or isn't on the Stock sheet). Put it here anyway?" promptTitle="L2  Boxes" prompt="Click the arrow and pick an item. Press Delete to empty." type="list" errorStyle="warning">
      <formula1>dd_BOX</formula1>
    </dataValidation>
    <dataValidation sqref="B8:Q11" showDropDown="0" showInputMessage="1" showErrorMessage="1" allowBlank="1" errorTitle="Not for this zone" error="That item isn't listed for this zone (or isn't on the Stock sheet). Put it here anyway?" promptTitle="L3  Boxes" prompt="Click the arrow and pick an item. Press Delete to empty." type="list" errorStyle="warning">
      <formula1>dd_BOX</formula1>
    </dataValidation>
    <dataValidation sqref="U22:AJ23" showDropDown="0" showInputMessage="1" showErrorMessage="1" allowBlank="1" errorTitle="Not for this zone" error="That item isn't listed for this zone (or isn't on the Stock sheet). Put it here anyway?" promptTitle="R1  Labels and Packing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R2  Films and Wrap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R3  Bags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R4  Boxes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M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9" customWidth="1" min="3" max="3"/>
    <col width="11" customWidth="1" min="4" max="4"/>
    <col width="14" customWidth="1" min="5" max="5"/>
    <col width="11" customWidth="1" min="6" max="6"/>
    <col width="11" customWidth="1" min="7" max="7"/>
    <col width="10" customWidth="1" min="8" max="8"/>
    <col width="22" customWidth="1" min="10" max="10"/>
    <col width="10" customWidth="1" min="11" max="11"/>
    <col width="10" customWidth="1" min="12" max="12"/>
    <col width="10" customWidth="1" min="13" max="13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26" t="inlineStr">
        <is>
          <t>Type your items in the white columns.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Units per pallet</t>
        </is>
      </c>
      <c r="E4" s="27" t="inlineStr">
        <is>
          <t>Low when pallets at or below</t>
        </is>
      </c>
      <c r="F4" s="28" t="inlineStr">
        <is>
          <t>Pallets on map</t>
        </is>
      </c>
      <c r="G4" s="28" t="inlineStr">
        <is>
          <t>Units on map</t>
        </is>
      </c>
      <c r="H4" s="28" t="inlineStr">
        <is>
          <t>Status</t>
        </is>
      </c>
      <c r="J4" s="29" t="inlineStr">
        <is>
          <t>Zone</t>
        </is>
      </c>
      <c r="K4" s="29" t="inlineStr">
        <is>
          <t>Spaces</t>
        </is>
      </c>
      <c r="L4" s="29" t="inlineStr">
        <is>
          <t>Used</t>
        </is>
      </c>
      <c r="M4" s="29" t="inlineStr">
        <is>
          <t>Free</t>
        </is>
      </c>
    </row>
    <row r="5" ht="22" customHeight="1">
      <c r="A5" s="30" t="inlineStr">
        <is>
          <t>EX-BOX</t>
        </is>
      </c>
      <c r="B5" s="31" t="inlineStr">
        <is>
          <t>EXAMPLE - type over me</t>
        </is>
      </c>
      <c r="C5" s="32" t="inlineStr">
        <is>
          <t>BOX</t>
        </is>
      </c>
      <c r="D5" s="32" t="n">
        <v>400</v>
      </c>
      <c r="E5" s="32" t="n"/>
      <c r="F5" s="32">
        <f>IF(tblStock[[#This Row],[Item code]]="","",COUNTIF(Map!$A$6:$AJ$28,tblStock[[#This Row],[Item code]]))</f>
        <v/>
      </c>
      <c r="G5" s="32">
        <f>IF(OR(tblStock[[#This Row],[Item code]]="",N(tblStock[[#This Row],[Units per pallet]])=0),"",tblStock[[#This Row],[Pallets on map]]*tblStock[[#This Row],[Units per pallet]])</f>
        <v/>
      </c>
      <c r="H5" s="30">
        <f>IF(tblStock[[#This Row],[Item code]]="","",IF(tblStock[[#This Row],[Pallets on map]]&lt;=IF(tblStock[[#This Row],[Low when pallets at or below]]="",2,tblStock[[#This Row],[Low when pallets at or below]]),"LOW","OK"))</f>
        <v/>
      </c>
      <c r="J5" s="33" t="inlineStr">
        <is>
          <t>Boxes</t>
        </is>
      </c>
      <c r="K5" s="34" t="n">
        <v>256</v>
      </c>
      <c r="L5" s="34">
        <f>COUNTA(Map!B18:Q21)+COUNTA(Map!B13:Q16)+COUNTA(Map!B8:Q11)+COUNTA(Map!U7:AJ10)</f>
        <v/>
      </c>
      <c r="M5" s="35">
        <f>K5-L5</f>
        <v/>
      </c>
    </row>
    <row r="6" ht="22" customHeight="1">
      <c r="A6" s="30" t="inlineStr">
        <is>
          <t>EX-WRAP</t>
        </is>
      </c>
      <c r="B6" s="31" t="inlineStr">
        <is>
          <t>EXAMPLE - type over me</t>
        </is>
      </c>
      <c r="C6" s="32" t="inlineStr">
        <is>
          <t>FLM</t>
        </is>
      </c>
      <c r="D6" s="32" t="n">
        <v>200</v>
      </c>
      <c r="E6" s="32" t="n"/>
      <c r="F6" s="32">
        <f>IF(tblStock[[#This Row],[Item code]]="","",COUNTIF(Map!$A$6:$AJ$28,tblStock[[#This Row],[Item code]]))</f>
        <v/>
      </c>
      <c r="G6" s="32">
        <f>IF(OR(tblStock[[#This Row],[Item code]]="",N(tblStock[[#This Row],[Units per pallet]])=0),"",tblStock[[#This Row],[Pallets on map]]*tblStock[[#This Row],[Units per pallet]])</f>
        <v/>
      </c>
      <c r="H6" s="30">
        <f>IF(tblStock[[#This Row],[Item code]]="","",IF(tblStock[[#This Row],[Pallets on map]]&lt;=IF(tblStock[[#This Row],[Low when pallets at or below]]="",2,tblStock[[#This Row],[Low when pallets at or below]]),"LOW","OK"))</f>
        <v/>
      </c>
      <c r="J6" s="36" t="inlineStr">
        <is>
          <t>Bags</t>
        </is>
      </c>
      <c r="K6" s="34" t="n">
        <v>64</v>
      </c>
      <c r="L6" s="34">
        <f>COUNTA(Map!U12:AJ15)</f>
        <v/>
      </c>
      <c r="M6" s="35">
        <f>K6-L6</f>
        <v/>
      </c>
    </row>
    <row r="7" ht="22" customHeight="1">
      <c r="J7" s="37" t="inlineStr">
        <is>
          <t>Films and Wrap</t>
        </is>
      </c>
      <c r="K7" s="34" t="n">
        <v>64</v>
      </c>
      <c r="L7" s="34">
        <f>COUNTA(Map!U17:AJ20)</f>
        <v/>
      </c>
      <c r="M7" s="35">
        <f>K7-L7</f>
        <v/>
      </c>
    </row>
    <row r="8" ht="22" customHeight="1">
      <c r="J8" s="38" t="inlineStr">
        <is>
          <t>Labels and Packing</t>
        </is>
      </c>
      <c r="K8" s="34" t="n">
        <v>32</v>
      </c>
      <c r="L8" s="34">
        <f>COUNTA(Map!U22:AJ23)</f>
        <v/>
      </c>
      <c r="M8" s="35">
        <f>K8-L8</f>
        <v/>
      </c>
    </row>
  </sheetData>
  <mergeCells count="2">
    <mergeCell ref="A2:H2"/>
    <mergeCell ref="A1:H1"/>
  </mergeCells>
  <conditionalFormatting sqref="H5:H304">
    <cfRule type="expression" priority="1" dxfId="5">
      <formula>H5="LOW"</formula>
    </cfRule>
    <cfRule type="expression" priority="2" dxfId="6">
      <formula>H5="OK"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2026-09-30T14:54:39Z</dcterms:created>
  <dcterms:modified xsi:type="dcterms:W3CDTF">2026-09-30T14:54:39Z</dcterms:modified>
</cp:coreProperties>
</file>