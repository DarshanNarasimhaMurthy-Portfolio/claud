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" sheetId="1" state="visible" r:id="rId1"/>
    <sheet name="Stock" sheetId="2" state="visible" r:id="rId2"/>
    <sheet name="Lists" sheetId="3" state="hidden" r:id="rId3"/>
  </sheets>
  <definedNames>
    <definedName name="zn_BOX">Stock!$I$5</definedName>
    <definedName name="zn_BAG">Stock!$I$6</definedName>
    <definedName name="zn_FLM">Stock!$I$7</definedName>
    <definedName name="zn_LBL">Stock!$I$8</definedName>
    <definedName name="dd_ALL">OFFSET(Lists!$A$3,0,0,MAX(1,Lists!$A$2),1)</definedName>
    <definedName name="dd_BOX">OFFSET(Lists!$B$3,0,0,MAX(1,Lists!$B$2),1)</definedName>
    <definedName name="dd_BAG">OFFSET(Lists!$C$3,0,0,MAX(1,Lists!$C$2),1)</definedName>
    <definedName name="dd_FLM">OFFSET(Lists!$D$3,0,0,MAX(1,Lists!$D$2),1)</definedName>
    <definedName name="dd_LBL">OFFSET(Lists!$E$3,0,0,MAX(1,Lists!$E$2),1)</definedName>
    <definedName name="ItemCodes">tblStock[Item code]</definedName>
    <definedName name="ItemZones">tblStock[Zone]</definedName>
    <definedName name="_xlnm.Print_Area" localSheetId="0">'Map'!$A$1:$AU$30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8"/>
    </font>
    <font>
      <name val="Arial"/>
      <color rgb="00404040"/>
      <sz val="11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color rgb="00000000"/>
      <sz val="12"/>
    </font>
    <font>
      <name val="Arial"/>
      <b val="1"/>
      <color rgb="00FFFFFF"/>
      <sz val="12"/>
    </font>
    <font>
      <name val="Arial"/>
      <color rgb="00595959"/>
      <sz val="9"/>
    </font>
    <font>
      <name val="Arial"/>
      <b val="1"/>
      <color rgb="00E6007E"/>
      <sz val="12"/>
    </font>
    <font>
      <name val="Arial"/>
      <b val="1"/>
      <color rgb="00BFBFBF"/>
      <sz val="12"/>
    </font>
    <font>
      <name val="Arial"/>
      <b val="1"/>
      <color rgb="00000000"/>
      <sz val="11"/>
    </font>
    <font>
      <name val="Arial"/>
      <b val="1"/>
      <color rgb="00808080"/>
      <sz val="11"/>
    </font>
    <font>
      <name val="Arial"/>
      <b val="1"/>
      <sz val="7"/>
    </font>
    <font>
      <name val="Arial"/>
      <color rgb="00000000"/>
      <sz val="11"/>
    </font>
    <font>
      <name val="Arial"/>
      <b val="1"/>
      <color rgb="00C00000"/>
      <sz val="12"/>
    </font>
  </fonts>
  <fills count="15">
    <fill>
      <patternFill/>
    </fill>
    <fill>
      <patternFill patternType="gray125"/>
    </fill>
    <fill>
      <patternFill patternType="solid"/>
    </fill>
    <fill>
      <patternFill patternType="solid">
        <fgColor rgb="00404040"/>
        <bgColor rgb="00404040"/>
      </patternFill>
    </fill>
    <fill>
      <patternFill patternType="solid">
        <fgColor rgb="00C8A165"/>
        <bgColor rgb="00C8A165"/>
      </patternFill>
    </fill>
    <fill>
      <patternFill patternType="solid">
        <fgColor rgb="004A90D9"/>
        <bgColor rgb="004A90D9"/>
      </patternFill>
    </fill>
    <fill>
      <patternFill patternType="solid">
        <fgColor rgb="002BB3A3"/>
        <bgColor rgb="002BB3A3"/>
      </patternFill>
    </fill>
    <fill>
      <patternFill patternType="solid">
        <fgColor rgb="00F2B134"/>
        <bgColor rgb="00F2B134"/>
      </patternFill>
    </fill>
    <fill>
      <patternFill patternType="solid">
        <fgColor rgb="0000843D"/>
        <bgColor rgb="0000843D"/>
      </patternFill>
    </fill>
    <fill>
      <patternFill patternType="solid">
        <fgColor rgb="00BFBFBF"/>
        <bgColor rgb="00BFBFBF"/>
      </patternFill>
    </fill>
    <fill>
      <patternFill patternType="lightUp">
        <fgColor rgb="00C8A165"/>
        <bgColor rgb="00FFFFFF"/>
      </patternFill>
    </fill>
    <fill>
      <patternFill patternType="lightUp">
        <fgColor rgb="00F2B134"/>
        <bgColor rgb="00FFFFFF"/>
      </patternFill>
    </fill>
    <fill>
      <patternFill patternType="lightUp">
        <fgColor rgb="002BB3A3"/>
        <bgColor rgb="00FFFFFF"/>
      </patternFill>
    </fill>
    <fill>
      <patternFill patternType="lightUp">
        <fgColor rgb="004A90D9"/>
        <bgColor rgb="00FFFFFF"/>
      </patternFill>
    </fill>
    <fill>
      <patternFill patternType="solid">
        <fgColor rgb="00FF0000"/>
        <bgColor rgb="00FF0000"/>
      </patternFill>
    </fill>
  </fills>
  <borders count="4">
    <border>
      <left/>
      <right/>
      <top/>
      <bottom/>
      <diagonal/>
    </border>
    <border>
      <bottom style="thick">
        <color rgb="00E6007E"/>
      </bottom>
    </border>
    <border>
      <left style="medium">
        <color rgb="00E6007E"/>
      </left>
      <right style="medium">
        <color rgb="00E6007E"/>
      </right>
      <top style="medium">
        <color rgb="00E6007E"/>
      </top>
      <bottom style="medium">
        <color rgb="00E6007E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1" fillId="0" borderId="0"/>
  </cellStyleXfs>
  <cellXfs count="38">
    <xf numFmtId="0" fontId="0" fillId="0" borderId="0" pivotButton="0" quotePrefix="0" xfId="0"/>
    <xf numFmtId="0" fontId="2" fillId="2" borderId="1" applyAlignment="1" pivotButton="0" quotePrefix="0" xfId="0">
      <alignment vertical="center" indent="1"/>
    </xf>
    <xf numFmtId="0" fontId="0" fillId="2" borderId="1" pivotButton="0" quotePrefix="0" xfId="0"/>
    <xf numFmtId="0" fontId="9" fillId="0" borderId="0" applyAlignment="1" pivotButton="0" quotePrefix="0" xfId="0">
      <alignment vertical="center" indent="1"/>
    </xf>
    <xf numFmtId="0" fontId="7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0" fillId="0" borderId="0" applyAlignment="1" pivotButton="0" quotePrefix="0" xfId="0">
      <alignment horizontal="center" vertical="center" textRotation="90"/>
    </xf>
    <xf numFmtId="0" fontId="11" fillId="0" borderId="0" applyAlignment="1" pivotButton="0" quotePrefix="0" xfId="0">
      <alignment horizontal="left" vertical="bottom"/>
    </xf>
    <xf numFmtId="0" fontId="4" fillId="2" borderId="0" applyAlignment="1" pivotButton="0" quotePrefix="0" xfId="0">
      <alignment vertical="center" indent="1"/>
    </xf>
    <xf numFmtId="0" fontId="13" fillId="10" borderId="3" applyAlignment="1" pivotButton="0" quotePrefix="0" xfId="0">
      <alignment horizontal="center" vertical="center" shrinkToFit="1"/>
    </xf>
    <xf numFmtId="0" fontId="0" fillId="4" borderId="0" pivotButton="0" quotePrefix="0" xfId="0"/>
    <xf numFmtId="0" fontId="14" fillId="0" borderId="0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13" fillId="13" borderId="3" applyAlignment="1" pivotButton="0" quotePrefix="0" xfId="0">
      <alignment horizontal="center" vertical="center" shrinkToFit="1"/>
    </xf>
    <xf numFmtId="0" fontId="0" fillId="14" borderId="0" pivotButton="0" quotePrefix="0" xfId="0"/>
    <xf numFmtId="0" fontId="0" fillId="9" borderId="0" pivotButton="0" quotePrefix="0" xfId="0"/>
    <xf numFmtId="0" fontId="9" fillId="0" borderId="0" applyAlignment="1" pivotButton="0" quotePrefix="0" xfId="0">
      <alignment horizontal="right" vertical="center"/>
    </xf>
    <xf numFmtId="0" fontId="13" fillId="12" borderId="3" applyAlignment="1" pivotButton="0" quotePrefix="0" xfId="0">
      <alignment horizontal="center" vertical="center" shrinkToFit="1"/>
    </xf>
    <xf numFmtId="0" fontId="13" fillId="11" borderId="3" applyAlignment="1" pivotButton="0" quotePrefix="0" xfId="0">
      <alignment horizontal="center" vertical="center" shrinkToFit="1"/>
    </xf>
    <xf numFmtId="0" fontId="15" fillId="0" borderId="0" applyAlignment="1" pivotButton="0" quotePrefix="0" xfId="0">
      <alignment horizontal="right" vertical="center"/>
    </xf>
    <xf numFmtId="0" fontId="12" fillId="9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0" borderId="0" applyAlignment="1" pivotButton="0" quotePrefix="0" xfId="0">
      <alignment vertical="center" wrapText="1" indent="1"/>
    </xf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indent="1"/>
    </xf>
    <xf numFmtId="0" fontId="7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8" fillId="0" borderId="0" pivotButton="0" quotePrefix="0" xfId="0"/>
  </cellXfs>
  <cellStyles count="1">
    <cellStyle name="Normal" xfId="0" builtinId="0" hidden="0"/>
  </cellStyles>
  <dxfs count="7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  <color rgb="00000000"/>
      </font>
      <fill>
        <patternFill patternType="solid">
          <fgColor rgb="00C8A165"/>
          <bgColor rgb="00C8A165"/>
        </patternFill>
      </fill>
    </dxf>
    <dxf>
      <font>
        <b val="1"/>
        <color rgb="00000000"/>
      </font>
      <fill>
        <patternFill patternType="solid">
          <fgColor rgb="00F2B134"/>
          <bgColor rgb="00F2B134"/>
        </patternFill>
      </fill>
    </dxf>
    <dxf>
      <font>
        <b val="1"/>
        <color rgb="00FFFFFF"/>
      </font>
      <fill>
        <patternFill patternType="solid">
          <fgColor rgb="002BB3A3"/>
          <bgColor rgb="002BB3A3"/>
        </patternFill>
      </fill>
    </dxf>
    <dxf>
      <font>
        <b val="1"/>
        <color rgb="00FFFFFF"/>
      </font>
      <fill>
        <patternFill patternType="solid">
          <fgColor rgb="004A90D9"/>
          <bgColor rgb="004A90D9"/>
        </patternFill>
      </fill>
    </dxf>
    <dxf>
      <font>
        <b val="1"/>
        <color rgb="00C00000"/>
      </font>
      <fill>
        <patternFill patternType="solid">
          <fgColor rgb="00FFD9D9"/>
          <bgColor rgb="00FFD9D9"/>
        </patternFill>
      </fill>
    </dxf>
    <dxf>
      <font>
        <b val="1"/>
        <color rgb="000084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blStock" displayName="tblStock" ref="A4:F6" headerRowCount="1">
  <tableColumns count="6">
    <tableColumn id="1" name="Item code"/>
    <tableColumn id="2" name="Description"/>
    <tableColumn id="3" name="Zone"/>
    <tableColumn id="4" name="Low when pallets at or below"/>
    <tableColumn id="5" name="Pallets on map">
      <calculatedColumnFormula>IF(tblStock[[#This Row],[Item code]]="","",COUNTIF(Map!$A$6:$AJ$28,tblStock[[#This Row],[Item code]]))</calculatedColumnFormula>
    </tableColumn>
    <tableColumn id="6" name="Status">
      <calculatedColumnFormula>IF(tblStock[[#This Row],[Item code]]="","",IF(tblStock[[#This Row],[Pallets on map]]&lt;=IF(tblStock[[#This Row],[Low when pallets at or below]]="",2,tblStock[[#This Row],[Low when pallets at or below]]),"LOW","OK"))</calculatedColumnFormula>
    </tableColumn>
  </tableColumns>
  <tableStyleInfo name="TableStyleMedium1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00E6007E"/>
    <outlinePr summaryBelow="1" summaryRight="1"/>
    <pageSetUpPr fitToPage="1"/>
  </sheetPr>
  <dimension ref="A1:AU30"/>
  <sheetViews>
    <sheetView showGridLines="0" showRowColHeaders="0" zoomScale="96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 ht="30" customHeight="1">
      <c r="A1" s="1" t="inlineStr">
        <is>
          <t>Consumables Floor Map, Sherburn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</row>
    <row r="2" ht="22" customHeight="1">
      <c r="A2" s="3" t="inlineStr">
        <is>
          <t>Click a square  →  click the little arrow  →  pick the item.      To empty a square: click it and press Delete.</t>
        </is>
      </c>
    </row>
    <row r="3" ht="6" customHeight="1"/>
    <row r="4" ht="21" customHeight="1">
      <c r="B4" s="4" t="inlineStr">
        <is>
          <t>LOADING BAY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</row>
    <row r="5" ht="21" customHeight="1"/>
    <row r="6" ht="21" customHeight="1">
      <c r="R6" s="6" t="inlineStr">
        <is>
          <t>WALKWAY</t>
        </is>
      </c>
      <c r="U6" s="7">
        <f>"R4   "&amp;zn_BOX</f>
        <v/>
      </c>
      <c r="AL6" s="8" t="inlineStr">
        <is>
          <t>COLOURS</t>
        </is>
      </c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</row>
    <row r="7" ht="21" customHeight="1">
      <c r="B7" s="7">
        <f>"L3   "&amp;zn_BOX</f>
        <v/>
      </c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L7" s="10" t="n"/>
      <c r="AN7" s="11">
        <f>zn_BOX</f>
        <v/>
      </c>
    </row>
    <row r="8" ht="21" customHeight="1"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L8" s="12" t="n"/>
      <c r="AN8" s="11">
        <f>zn_BAG</f>
        <v/>
      </c>
    </row>
    <row r="9" ht="21" customHeight="1"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L9" s="13" t="n"/>
      <c r="AN9" s="11">
        <f>zn_FLM</f>
        <v/>
      </c>
    </row>
    <row r="10" ht="21" customHeight="1"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L10" s="14" t="n"/>
      <c r="AN10" s="11">
        <f>zn_LBL</f>
        <v/>
      </c>
    </row>
    <row r="11" ht="21" customHeight="1"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U11" s="7">
        <f>"R3   "&amp;zn_BAG</f>
        <v/>
      </c>
      <c r="AL11" s="15" t="n"/>
      <c r="AN11" s="11" t="inlineStr">
        <is>
          <t>Stripes = free space</t>
        </is>
      </c>
    </row>
    <row r="12" ht="21" customHeight="1">
      <c r="B12" s="7">
        <f>"L2   "&amp;zn_BOX</f>
        <v/>
      </c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L12" s="17" t="n"/>
      <c r="AN12" s="11" t="inlineStr">
        <is>
          <t>Red = wrong zone, move it</t>
        </is>
      </c>
    </row>
    <row r="13" ht="21" customHeight="1"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L13" s="18" t="n"/>
      <c r="AN13" s="11" t="inlineStr">
        <is>
          <t>Grey = not ours</t>
        </is>
      </c>
    </row>
    <row r="14" ht="21" customHeight="1"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</row>
    <row r="15" ht="21" customHeight="1"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L15" s="8" t="inlineStr">
        <is>
          <t>FREE SPACES</t>
        </is>
      </c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</row>
    <row r="16" ht="21" customHeight="1"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U16" s="7">
        <f>"R2   "&amp;zn_FLM</f>
        <v/>
      </c>
      <c r="AL16" s="19">
        <f>256-(COUNTA(B18:Q21)+COUNTA(B13:Q16)+COUNTA(B8:Q11)+COUNTA(U7:AJ10))</f>
        <v/>
      </c>
      <c r="AN16" s="11">
        <f>zn_BOX</f>
        <v/>
      </c>
    </row>
    <row r="17" ht="21" customHeight="1">
      <c r="B17" s="7">
        <f>"L1   "&amp;zn_BOX</f>
        <v/>
      </c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L17" s="19">
        <f>64-(COUNTA(U12:AJ15))</f>
        <v/>
      </c>
      <c r="AN17" s="11">
        <f>zn_BAG</f>
        <v/>
      </c>
    </row>
    <row r="18" ht="21" customHeight="1"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L18" s="19">
        <f>64-(COUNTA(U17:AJ20))</f>
        <v/>
      </c>
      <c r="AN18" s="11">
        <f>zn_FLM</f>
        <v/>
      </c>
    </row>
    <row r="19" ht="21" customHeight="1"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L19" s="19">
        <f>32-(COUNTA(U22:AJ23))</f>
        <v/>
      </c>
      <c r="AN19" s="11">
        <f>zn_LBL</f>
        <v/>
      </c>
    </row>
    <row r="20" ht="21" customHeight="1"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</row>
    <row r="21" ht="21" customHeight="1"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U21" s="7">
        <f>"R1   "&amp;zn_LBL</f>
        <v/>
      </c>
      <c r="AL21" s="8" t="inlineStr">
        <is>
          <t>LOW STOCK</t>
        </is>
      </c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</row>
    <row r="22" ht="21" customHeight="1">
      <c r="B22" s="7" t="inlineStr">
        <is>
          <t>XL   NOT OURS</t>
        </is>
      </c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L22" s="22">
        <f>COUNTIF(tblStock[Status],"LOW")</f>
        <v/>
      </c>
      <c r="AN22" s="11" t="inlineStr">
        <is>
          <t>items LOW - see Stock sheet</t>
        </is>
      </c>
    </row>
    <row r="23" ht="21" customHeight="1">
      <c r="B23" s="23" t="inlineStr">
        <is>
          <t>NOT OURS - someone else's space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</row>
    <row r="24" ht="21" customHeight="1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U24" s="7" t="inlineStr">
        <is>
          <t>XR   NOT OURS</t>
        </is>
      </c>
    </row>
    <row r="25" ht="21" customHeight="1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U25" s="23" t="inlineStr">
        <is>
          <t>NOT OURS - someone else's space</t>
        </is>
      </c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</row>
    <row r="26" ht="21" customHeight="1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</row>
    <row r="27" ht="21" customHeight="1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</row>
    <row r="28" ht="21" customHeight="1"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</row>
    <row r="29" ht="21" customHeight="1"/>
    <row r="30" ht="21" customHeight="1">
      <c r="B30" s="24" t="inlineStr">
        <is>
          <t>FIRE EXIT</t>
        </is>
      </c>
      <c r="C30" s="25" t="n"/>
      <c r="D30" s="25" t="n"/>
      <c r="E30" s="25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25" t="n"/>
      <c r="AH30" s="25" t="n"/>
      <c r="AI30" s="25" t="n"/>
      <c r="AJ30" s="25" t="n"/>
    </row>
  </sheetData>
  <mergeCells count="36">
    <mergeCell ref="R6:T28"/>
    <mergeCell ref="AN13:AU13"/>
    <mergeCell ref="U24:AJ24"/>
    <mergeCell ref="AN9:AU9"/>
    <mergeCell ref="B4:AJ4"/>
    <mergeCell ref="AL16:AM16"/>
    <mergeCell ref="AL22:AM22"/>
    <mergeCell ref="AN16:AU16"/>
    <mergeCell ref="A1:AU1"/>
    <mergeCell ref="AL6:AU6"/>
    <mergeCell ref="B7:Q7"/>
    <mergeCell ref="AL15:AU15"/>
    <mergeCell ref="U6:AJ6"/>
    <mergeCell ref="U25:AJ28"/>
    <mergeCell ref="AL18:AM18"/>
    <mergeCell ref="B22:Q22"/>
    <mergeCell ref="AN22:AU22"/>
    <mergeCell ref="B23:Q28"/>
    <mergeCell ref="AN12:AU12"/>
    <mergeCell ref="B12:Q12"/>
    <mergeCell ref="AN11:AU11"/>
    <mergeCell ref="AN18:AU18"/>
    <mergeCell ref="AL17:AM17"/>
    <mergeCell ref="U11:AJ11"/>
    <mergeCell ref="A2:AU2"/>
    <mergeCell ref="U16:AJ16"/>
    <mergeCell ref="AN8:AU8"/>
    <mergeCell ref="AN17:AU17"/>
    <mergeCell ref="B17:Q17"/>
    <mergeCell ref="AN7:AU7"/>
    <mergeCell ref="AL19:AM19"/>
    <mergeCell ref="AL21:AU21"/>
    <mergeCell ref="AN10:AU10"/>
    <mergeCell ref="B30:AJ30"/>
    <mergeCell ref="AN19:AU19"/>
    <mergeCell ref="U21:AJ21"/>
  </mergeCells>
  <conditionalFormatting sqref="B18:Q21">
    <cfRule type="expression" priority="1" dxfId="0" stopIfTrue="1">
      <formula>AND(LEN(B18)&gt;0,IFERROR(INDEX(ItemZones,MATCH(B18,ItemCodes,0)),"BOX")&lt;&gt;"BOX")</formula>
    </cfRule>
    <cfRule type="expression" priority="2" dxfId="1">
      <formula>LEN(B18)&gt;0</formula>
    </cfRule>
  </conditionalFormatting>
  <conditionalFormatting sqref="B13:Q16">
    <cfRule type="expression" priority="3" dxfId="0" stopIfTrue="1">
      <formula>AND(LEN(B13)&gt;0,IFERROR(INDEX(ItemZones,MATCH(B13,ItemCodes,0)),"BOX")&lt;&gt;"BOX")</formula>
    </cfRule>
    <cfRule type="expression" priority="4" dxfId="1">
      <formula>LEN(B13)&gt;0</formula>
    </cfRule>
  </conditionalFormatting>
  <conditionalFormatting sqref="B8:Q11">
    <cfRule type="expression" priority="5" dxfId="0" stopIfTrue="1">
      <formula>AND(LEN(B8)&gt;0,IFERROR(INDEX(ItemZones,MATCH(B8,ItemCodes,0)),"BOX")&lt;&gt;"BOX")</formula>
    </cfRule>
    <cfRule type="expression" priority="6" dxfId="1">
      <formula>LEN(B8)&gt;0</formula>
    </cfRule>
  </conditionalFormatting>
  <conditionalFormatting sqref="U22:AJ23">
    <cfRule type="expression" priority="7" dxfId="0" stopIfTrue="1">
      <formula>AND(LEN(U22)&gt;0,IFERROR(INDEX(ItemZones,MATCH(U22,ItemCodes,0)),"LBL")&lt;&gt;"LBL")</formula>
    </cfRule>
    <cfRule type="expression" priority="8" dxfId="2">
      <formula>LEN(U22)&gt;0</formula>
    </cfRule>
  </conditionalFormatting>
  <conditionalFormatting sqref="U17:AJ20">
    <cfRule type="expression" priority="9" dxfId="0" stopIfTrue="1">
      <formula>AND(LEN(U17)&gt;0,IFERROR(INDEX(ItemZones,MATCH(U17,ItemCodes,0)),"FLM")&lt;&gt;"FLM")</formula>
    </cfRule>
    <cfRule type="expression" priority="10" dxfId="3">
      <formula>LEN(U17)&gt;0</formula>
    </cfRule>
  </conditionalFormatting>
  <conditionalFormatting sqref="U12:AJ15">
    <cfRule type="expression" priority="11" dxfId="0" stopIfTrue="1">
      <formula>AND(LEN(U12)&gt;0,IFERROR(INDEX(ItemZones,MATCH(U12,ItemCodes,0)),"BAG")&lt;&gt;"BAG")</formula>
    </cfRule>
    <cfRule type="expression" priority="12" dxfId="4">
      <formula>LEN(U12)&gt;0</formula>
    </cfRule>
  </conditionalFormatting>
  <conditionalFormatting sqref="U7:AJ10">
    <cfRule type="expression" priority="13" dxfId="0" stopIfTrue="1">
      <formula>AND(LEN(U7)&gt;0,IFERROR(INDEX(ItemZones,MATCH(U7,ItemCodes,0)),"BOX")&lt;&gt;"BOX")</formula>
    </cfRule>
    <cfRule type="expression" priority="14" dxfId="1">
      <formula>LEN(U7)&gt;0</formula>
    </cfRule>
  </conditionalFormatting>
  <dataValidations count="7">
    <dataValidation sqref="B18:Q21" showDropDown="0" showInputMessage="1" showErrorMessage="1" allowBlank="1" errorTitle="Not for this zone" error="That item isn't listed for this zone (or isn't on the Stock sheet). Put it here anyway?" promptTitle="Aisle L1  (BOX)" prompt="Click the arrow and pick an item. Press Delete to empty." type="list" errorStyle="warning">
      <formula1>dd_BOX</formula1>
    </dataValidation>
    <dataValidation sqref="B13:Q16" showDropDown="0" showInputMessage="1" showErrorMessage="1" allowBlank="1" errorTitle="Not for this zone" error="That item isn't listed for this zone (or isn't on the Stock sheet). Put it here anyway?" promptTitle="Aisle L2  (BOX)" prompt="Click the arrow and pick an item. Press Delete to empty." type="list" errorStyle="warning">
      <formula1>dd_BOX</formula1>
    </dataValidation>
    <dataValidation sqref="B8:Q11" showDropDown="0" showInputMessage="1" showErrorMessage="1" allowBlank="1" errorTitle="Not for this zone" error="That item isn't listed for this zone (or isn't on the Stock sheet). Put it here anyway?" promptTitle="Aisle L3  (BOX)" prompt="Click the arrow and pick an item. Press Delete to empty." type="list" errorStyle="warning">
      <formula1>dd_BOX</formula1>
    </dataValidation>
    <dataValidation sqref="U22:AJ23" showDropDown="0" showInputMessage="1" showErrorMessage="1" allowBlank="1" errorTitle="Not for this zone" error="That item isn't listed for this zone (or isn't on the Stock sheet). Put it here anyway?" promptTitle="Aisle R1  (LBL)" prompt="Click the arrow and pick an item. Press Delete to empty." type="list" errorStyle="warning">
      <formula1>dd_LBL</formula1>
    </dataValidation>
    <dataValidation sqref="U17:AJ20" showDropDown="0" showInputMessage="1" showErrorMessage="1" allowBlank="1" errorTitle="Not for this zone" error="That item isn't listed for this zone (or isn't on the Stock sheet). Put it here anyway?" promptTitle="Aisle R2  (FLM)" prompt="Click the arrow and pick an item. Press Delete to empty." type="list" errorStyle="warning">
      <formula1>dd_FLM</formula1>
    </dataValidation>
    <dataValidation sqref="U12:AJ15" showDropDown="0" showInputMessage="1" showErrorMessage="1" allowBlank="1" errorTitle="Not for this zone" error="That item isn't listed for this zone (or isn't on the Stock sheet). Put it here anyway?" promptTitle="Aisle R3  (BAG)" prompt="Click the arrow and pick an item. Press Delete to empty." type="list" errorStyle="warning">
      <formula1>dd_BAG</formula1>
    </dataValidation>
    <dataValidation sqref="U7:AJ10" showDropDown="0" showInputMessage="1" showErrorMessage="1" allowBlank="1" errorTitle="Not for this zone" error="That item isn't listed for this zone (or isn't on the Stock sheet). Put it here anyway?" promptTitle="Aisle R4  (BOX)" prompt="Click the arrow and pick an item. Press Delete to empty." type="list" errorStyle="warning">
      <formula1>dd_BOX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L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9" customWidth="1" min="3" max="3"/>
    <col width="16" customWidth="1" min="4" max="4"/>
    <col width="12" customWidth="1" min="5" max="5"/>
    <col width="11" customWidth="1" min="6" max="6"/>
    <col width="8" customWidth="1" min="8" max="8"/>
    <col width="24" customWidth="1" min="9" max="9"/>
    <col width="9" customWidth="1" min="10" max="10"/>
    <col width="9" customWidth="1" min="11" max="11"/>
    <col width="9" customWidth="1" min="12" max="12"/>
  </cols>
  <sheetData>
    <row r="1" ht="34" customHeight="1">
      <c r="A1" s="1" t="inlineStr">
        <is>
          <t>Stock</t>
        </is>
      </c>
      <c r="B1" s="2" t="n"/>
      <c r="C1" s="2" t="n"/>
      <c r="D1" s="2" t="n"/>
      <c r="E1" s="2" t="n"/>
      <c r="F1" s="2" t="n"/>
    </row>
    <row r="2" ht="30" customHeight="1">
      <c r="A2" s="26" t="inlineStr">
        <is>
          <t>Everything is counted in PALLETS. Type your items in the white columns; grey columns fill in by themselves. Add a new item on the first empty row.</t>
        </is>
      </c>
    </row>
    <row r="4" ht="36" customHeight="1">
      <c r="A4" s="27" t="inlineStr">
        <is>
          <t>Item code</t>
        </is>
      </c>
      <c r="B4" s="27" t="inlineStr">
        <is>
          <t>Description</t>
        </is>
      </c>
      <c r="C4" s="27" t="inlineStr">
        <is>
          <t>Zone</t>
        </is>
      </c>
      <c r="D4" s="27" t="inlineStr">
        <is>
          <t>Low when pallets at or below</t>
        </is>
      </c>
      <c r="E4" s="28" t="inlineStr">
        <is>
          <t>Pallets on map</t>
        </is>
      </c>
      <c r="F4" s="28" t="inlineStr">
        <is>
          <t>Status</t>
        </is>
      </c>
      <c r="H4" s="27" t="inlineStr">
        <is>
          <t>Code</t>
        </is>
      </c>
      <c r="I4" s="27" t="inlineStr">
        <is>
          <t>Zone name (you can change it)</t>
        </is>
      </c>
      <c r="J4" s="27" t="inlineStr">
        <is>
          <t>Spaces</t>
        </is>
      </c>
      <c r="K4" s="27" t="inlineStr">
        <is>
          <t>Used</t>
        </is>
      </c>
      <c r="L4" s="27" t="inlineStr">
        <is>
          <t>Free</t>
        </is>
      </c>
    </row>
    <row r="5" ht="22" customHeight="1">
      <c r="A5" s="29" t="inlineStr">
        <is>
          <t>EX-BOX</t>
        </is>
      </c>
      <c r="B5" s="30" t="inlineStr">
        <is>
          <t>EXAMPLE - type over me</t>
        </is>
      </c>
      <c r="C5" s="31" t="inlineStr">
        <is>
          <t>BOX</t>
        </is>
      </c>
      <c r="D5" s="31" t="n"/>
      <c r="E5" s="31">
        <f>IF(tblStock[[#This Row],[Item code]]="","",COUNTIF(Map!$A$6:$AJ$28,tblStock[[#This Row],[Item code]]))</f>
        <v/>
      </c>
      <c r="F5" s="29">
        <f>IF(tblStock[[#This Row],[Item code]]="","",IF(tblStock[[#This Row],[Pallets on map]]&lt;=IF(tblStock[[#This Row],[Low when pallets at or below]]="",2,tblStock[[#This Row],[Low when pallets at or below]]),"LOW","OK"))</f>
        <v/>
      </c>
      <c r="H5" s="32" t="inlineStr">
        <is>
          <t>BOX</t>
        </is>
      </c>
      <c r="I5" s="33" t="inlineStr">
        <is>
          <t>Boxes</t>
        </is>
      </c>
      <c r="J5" s="31" t="n">
        <v>256</v>
      </c>
      <c r="K5" s="31">
        <f>COUNTA(Map!B18:Q21)+COUNTA(Map!B13:Q16)+COUNTA(Map!B8:Q11)+COUNTA(Map!U7:AJ10)</f>
        <v/>
      </c>
      <c r="L5" s="29">
        <f>J5-K5</f>
        <v/>
      </c>
    </row>
    <row r="6" ht="22" customHeight="1">
      <c r="A6" s="29" t="inlineStr">
        <is>
          <t>EX-WRAP</t>
        </is>
      </c>
      <c r="B6" s="30" t="inlineStr">
        <is>
          <t>EXAMPLE - type over me</t>
        </is>
      </c>
      <c r="C6" s="31" t="inlineStr">
        <is>
          <t>FLM</t>
        </is>
      </c>
      <c r="D6" s="31" t="n"/>
      <c r="E6" s="31">
        <f>IF(tblStock[[#This Row],[Item code]]="","",COUNTIF(Map!$A$6:$AJ$28,tblStock[[#This Row],[Item code]]))</f>
        <v/>
      </c>
      <c r="F6" s="29">
        <f>IF(tblStock[[#This Row],[Item code]]="","",IF(tblStock[[#This Row],[Pallets on map]]&lt;=IF(tblStock[[#This Row],[Low when pallets at or below]]="",2,tblStock[[#This Row],[Low when pallets at or below]]),"LOW","OK"))</f>
        <v/>
      </c>
      <c r="H6" s="34" t="inlineStr">
        <is>
          <t>BAG</t>
        </is>
      </c>
      <c r="I6" s="33" t="inlineStr">
        <is>
          <t>Bags</t>
        </is>
      </c>
      <c r="J6" s="31" t="n">
        <v>64</v>
      </c>
      <c r="K6" s="31">
        <f>COUNTA(Map!U12:AJ15)</f>
        <v/>
      </c>
      <c r="L6" s="29">
        <f>J6-K6</f>
        <v/>
      </c>
    </row>
    <row r="7" ht="22" customHeight="1">
      <c r="H7" s="35" t="inlineStr">
        <is>
          <t>FLM</t>
        </is>
      </c>
      <c r="I7" s="33" t="inlineStr">
        <is>
          <t>Films and Wrap</t>
        </is>
      </c>
      <c r="J7" s="31" t="n">
        <v>64</v>
      </c>
      <c r="K7" s="31">
        <f>COUNTA(Map!U17:AJ20)</f>
        <v/>
      </c>
      <c r="L7" s="29">
        <f>J7-K7</f>
        <v/>
      </c>
    </row>
    <row r="8" ht="22" customHeight="1">
      <c r="H8" s="36" t="inlineStr">
        <is>
          <t>LBL</t>
        </is>
      </c>
      <c r="I8" s="33" t="inlineStr">
        <is>
          <t>Labels and Packing</t>
        </is>
      </c>
      <c r="J8" s="31" t="n">
        <v>32</v>
      </c>
      <c r="K8" s="31">
        <f>COUNTA(Map!U22:AJ23)</f>
        <v/>
      </c>
      <c r="L8" s="29">
        <f>J8-K8</f>
        <v/>
      </c>
    </row>
    <row r="9">
      <c r="H9" s="37" t="inlineStr">
        <is>
          <t>Type over a zone name (pink box) and the Map changes too. In the Zone column on the left, use the Code.</t>
        </is>
      </c>
    </row>
  </sheetData>
  <mergeCells count="2">
    <mergeCell ref="A2:F2"/>
    <mergeCell ref="A1:F1"/>
  </mergeCells>
  <conditionalFormatting sqref="F5:F304">
    <cfRule type="expression" priority="1" dxfId="5">
      <formula>F5="LOW"</formula>
    </cfRule>
    <cfRule type="expression" priority="2" dxfId="6">
      <formula>F5="OK"</formula>
    </cfRule>
  </conditionalFormatting>
  <dataValidations count="1">
    <dataValidation sqref="C5:C304" showDropDown="0" showInputMessage="0" showErrorMessage="0" allowBlank="1" type="list">
      <formula1>"BOX,BAG,FLM,LBL"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BOX</t>
        </is>
      </c>
      <c r="C1" t="inlineStr">
        <is>
          <t>BAG</t>
        </is>
      </c>
      <c r="D1" t="inlineStr">
        <is>
          <t>FLM</t>
        </is>
      </c>
      <c r="E1" t="inlineStr">
        <is>
          <t>LBL</t>
        </is>
      </c>
    </row>
    <row r="2">
      <c r="A2">
        <f>COUNTIF(tblStock[Item code],"?*")</f>
        <v/>
      </c>
      <c r="B2">
        <f>COUNTIFS(tblStock[Zone],"BOX",tblStock[Item code],"?*")</f>
        <v/>
      </c>
      <c r="C2">
        <f>COUNTIFS(tblStock[Zone],"BAG",tblStock[Item code],"?*")</f>
        <v/>
      </c>
      <c r="D2">
        <f>COUNTIFS(tblStock[Zone],"FLM",tblStock[Item code],"?*")</f>
        <v/>
      </c>
      <c r="E2">
        <f>COUNTIFS(tblStock[Zone],"LBL",tblStock[Item code],"?*")</f>
        <v/>
      </c>
    </row>
    <row r="3">
      <c r="A3">
        <f t="array" ref="A3">IFERROR(INDEX(tblStock[Item code],SMALL(IF(tblStock[Item code]&lt;&gt;"",ROW(tblStock[Item code])-MIN(ROW(tblStock[Item code]))+1),ROWS(A$3:A3))),"")</f>
        <v/>
      </c>
      <c r="B3">
        <f t="array" ref="B3">IFERROR(INDEX(tblStock[Item code],SMALL(IF((tblStock[Zone]="BOX")*(tblStock[Item code]&lt;&gt;""),ROW(tblStock[Item code])-MIN(ROW(tblStock[Item code]))+1),ROWS(B$3:B3))),"")</f>
        <v/>
      </c>
      <c r="C3">
        <f t="array" ref="C3">IFERROR(INDEX(tblStock[Item code],SMALL(IF((tblStock[Zone]="BAG")*(tblStock[Item code]&lt;&gt;""),ROW(tblStock[Item code])-MIN(ROW(tblStock[Item code]))+1),ROWS(C$3:C3))),"")</f>
        <v/>
      </c>
      <c r="D3">
        <f t="array" ref="D3">IFERROR(INDEX(tblStock[Item code],SMALL(IF((tblStock[Zone]="FLM")*(tblStock[Item code]&lt;&gt;""),ROW(tblStock[Item code])-MIN(ROW(tblStock[Item code]))+1),ROWS(D$3:D3))),"")</f>
        <v/>
      </c>
      <c r="E3">
        <f t="array" ref="E3">IFERROR(INDEX(tblStock[Item code],SMALL(IF((tblStock[Zone]="LBL")*(tblStock[Item code]&lt;&gt;""),ROW(tblStock[Item code])-MIN(ROW(tblStock[Item code]))+1),ROWS(E$3:E3))),"")</f>
        <v/>
      </c>
    </row>
    <row r="4">
      <c r="A4">
        <f t="array" ref="A4">IFERROR(INDEX(tblStock[Item code],SMALL(IF(tblStock[Item code]&lt;&gt;"",ROW(tblStock[Item code])-MIN(ROW(tblStock[Item code]))+1),ROWS(A$3:A4))),"")</f>
        <v/>
      </c>
      <c r="B4">
        <f t="array" ref="B4">IFERROR(INDEX(tblStock[Item code],SMALL(IF((tblStock[Zone]="BOX")*(tblStock[Item code]&lt;&gt;""),ROW(tblStock[Item code])-MIN(ROW(tblStock[Item code]))+1),ROWS(B$3:B4))),"")</f>
        <v/>
      </c>
      <c r="C4">
        <f t="array" ref="C4">IFERROR(INDEX(tblStock[Item code],SMALL(IF((tblStock[Zone]="BAG")*(tblStock[Item code]&lt;&gt;""),ROW(tblStock[Item code])-MIN(ROW(tblStock[Item code]))+1),ROWS(C$3:C4))),"")</f>
        <v/>
      </c>
      <c r="D4">
        <f t="array" ref="D4">IFERROR(INDEX(tblStock[Item code],SMALL(IF((tblStock[Zone]="FLM")*(tblStock[Item code]&lt;&gt;""),ROW(tblStock[Item code])-MIN(ROW(tblStock[Item code]))+1),ROWS(D$3:D4))),"")</f>
        <v/>
      </c>
      <c r="E4">
        <f t="array" ref="E4">IFERROR(INDEX(tblStock[Item code],SMALL(IF((tblStock[Zone]="LBL")*(tblStock[Item code]&lt;&gt;""),ROW(tblStock[Item code])-MIN(ROW(tblStock[Item code]))+1),ROWS(E$3:E4))),"")</f>
        <v/>
      </c>
    </row>
    <row r="5">
      <c r="A5">
        <f t="array" ref="A5">IFERROR(INDEX(tblStock[Item code],SMALL(IF(tblStock[Item code]&lt;&gt;"",ROW(tblStock[Item code])-MIN(ROW(tblStock[Item code]))+1),ROWS(A$3:A5))),"")</f>
        <v/>
      </c>
      <c r="B5">
        <f t="array" ref="B5">IFERROR(INDEX(tblStock[Item code],SMALL(IF((tblStock[Zone]="BOX")*(tblStock[Item code]&lt;&gt;""),ROW(tblStock[Item code])-MIN(ROW(tblStock[Item code]))+1),ROWS(B$3:B5))),"")</f>
        <v/>
      </c>
      <c r="C5">
        <f t="array" ref="C5">IFERROR(INDEX(tblStock[Item code],SMALL(IF((tblStock[Zone]="BAG")*(tblStock[Item code]&lt;&gt;""),ROW(tblStock[Item code])-MIN(ROW(tblStock[Item code]))+1),ROWS(C$3:C5))),"")</f>
        <v/>
      </c>
      <c r="D5">
        <f t="array" ref="D5">IFERROR(INDEX(tblStock[Item code],SMALL(IF((tblStock[Zone]="FLM")*(tblStock[Item code]&lt;&gt;""),ROW(tblStock[Item code])-MIN(ROW(tblStock[Item code]))+1),ROWS(D$3:D5))),"")</f>
        <v/>
      </c>
      <c r="E5">
        <f t="array" ref="E5">IFERROR(INDEX(tblStock[Item code],SMALL(IF((tblStock[Zone]="LBL")*(tblStock[Item code]&lt;&gt;""),ROW(tblStock[Item code])-MIN(ROW(tblStock[Item code]))+1),ROWS(E$3:E5))),"")</f>
        <v/>
      </c>
    </row>
    <row r="6">
      <c r="A6">
        <f t="array" ref="A6">IFERROR(INDEX(tblStock[Item code],SMALL(IF(tblStock[Item code]&lt;&gt;"",ROW(tblStock[Item code])-MIN(ROW(tblStock[Item code]))+1),ROWS(A$3:A6))),"")</f>
        <v/>
      </c>
      <c r="B6">
        <f t="array" ref="B6">IFERROR(INDEX(tblStock[Item code],SMALL(IF((tblStock[Zone]="BOX")*(tblStock[Item code]&lt;&gt;""),ROW(tblStock[Item code])-MIN(ROW(tblStock[Item code]))+1),ROWS(B$3:B6))),"")</f>
        <v/>
      </c>
      <c r="C6">
        <f t="array" ref="C6">IFERROR(INDEX(tblStock[Item code],SMALL(IF((tblStock[Zone]="BAG")*(tblStock[Item code]&lt;&gt;""),ROW(tblStock[Item code])-MIN(ROW(tblStock[Item code]))+1),ROWS(C$3:C6))),"")</f>
        <v/>
      </c>
      <c r="D6">
        <f t="array" ref="D6">IFERROR(INDEX(tblStock[Item code],SMALL(IF((tblStock[Zone]="FLM")*(tblStock[Item code]&lt;&gt;""),ROW(tblStock[Item code])-MIN(ROW(tblStock[Item code]))+1),ROWS(D$3:D6))),"")</f>
        <v/>
      </c>
      <c r="E6">
        <f t="array" ref="E6">IFERROR(INDEX(tblStock[Item code],SMALL(IF((tblStock[Zone]="LBL")*(tblStock[Item code]&lt;&gt;""),ROW(tblStock[Item code])-MIN(ROW(tblStock[Item code]))+1),ROWS(E$3:E6))),"")</f>
        <v/>
      </c>
    </row>
    <row r="7">
      <c r="A7">
        <f t="array" ref="A7">IFERROR(INDEX(tblStock[Item code],SMALL(IF(tblStock[Item code]&lt;&gt;"",ROW(tblStock[Item code])-MIN(ROW(tblStock[Item code]))+1),ROWS(A$3:A7))),"")</f>
        <v/>
      </c>
      <c r="B7">
        <f t="array" ref="B7">IFERROR(INDEX(tblStock[Item code],SMALL(IF((tblStock[Zone]="BOX")*(tblStock[Item code]&lt;&gt;""),ROW(tblStock[Item code])-MIN(ROW(tblStock[Item code]))+1),ROWS(B$3:B7))),"")</f>
        <v/>
      </c>
      <c r="C7">
        <f t="array" ref="C7">IFERROR(INDEX(tblStock[Item code],SMALL(IF((tblStock[Zone]="BAG")*(tblStock[Item code]&lt;&gt;""),ROW(tblStock[Item code])-MIN(ROW(tblStock[Item code]))+1),ROWS(C$3:C7))),"")</f>
        <v/>
      </c>
      <c r="D7">
        <f t="array" ref="D7">IFERROR(INDEX(tblStock[Item code],SMALL(IF((tblStock[Zone]="FLM")*(tblStock[Item code]&lt;&gt;""),ROW(tblStock[Item code])-MIN(ROW(tblStock[Item code]))+1),ROWS(D$3:D7))),"")</f>
        <v/>
      </c>
      <c r="E7">
        <f t="array" ref="E7">IFERROR(INDEX(tblStock[Item code],SMALL(IF((tblStock[Zone]="LBL")*(tblStock[Item code]&lt;&gt;""),ROW(tblStock[Item code])-MIN(ROW(tblStock[Item code]))+1),ROWS(E$3:E7))),"")</f>
        <v/>
      </c>
    </row>
    <row r="8">
      <c r="A8">
        <f t="array" ref="A8">IFERROR(INDEX(tblStock[Item code],SMALL(IF(tblStock[Item code]&lt;&gt;"",ROW(tblStock[Item code])-MIN(ROW(tblStock[Item code]))+1),ROWS(A$3:A8))),"")</f>
        <v/>
      </c>
      <c r="B8">
        <f t="array" ref="B8">IFERROR(INDEX(tblStock[Item code],SMALL(IF((tblStock[Zone]="BOX")*(tblStock[Item code]&lt;&gt;""),ROW(tblStock[Item code])-MIN(ROW(tblStock[Item code]))+1),ROWS(B$3:B8))),"")</f>
        <v/>
      </c>
      <c r="C8">
        <f t="array" ref="C8">IFERROR(INDEX(tblStock[Item code],SMALL(IF((tblStock[Zone]="BAG")*(tblStock[Item code]&lt;&gt;""),ROW(tblStock[Item code])-MIN(ROW(tblStock[Item code]))+1),ROWS(C$3:C8))),"")</f>
        <v/>
      </c>
      <c r="D8">
        <f t="array" ref="D8">IFERROR(INDEX(tblStock[Item code],SMALL(IF((tblStock[Zone]="FLM")*(tblStock[Item code]&lt;&gt;""),ROW(tblStock[Item code])-MIN(ROW(tblStock[Item code]))+1),ROWS(D$3:D8))),"")</f>
        <v/>
      </c>
      <c r="E8">
        <f t="array" ref="E8">IFERROR(INDEX(tblStock[Item code],SMALL(IF((tblStock[Zone]="LBL")*(tblStock[Item code]&lt;&gt;""),ROW(tblStock[Item code])-MIN(ROW(tblStock[Item code]))+1),ROWS(E$3:E8))),"")</f>
        <v/>
      </c>
    </row>
    <row r="9">
      <c r="A9">
        <f t="array" ref="A9">IFERROR(INDEX(tblStock[Item code],SMALL(IF(tblStock[Item code]&lt;&gt;"",ROW(tblStock[Item code])-MIN(ROW(tblStock[Item code]))+1),ROWS(A$3:A9))),"")</f>
        <v/>
      </c>
      <c r="B9">
        <f t="array" ref="B9">IFERROR(INDEX(tblStock[Item code],SMALL(IF((tblStock[Zone]="BOX")*(tblStock[Item code]&lt;&gt;""),ROW(tblStock[Item code])-MIN(ROW(tblStock[Item code]))+1),ROWS(B$3:B9))),"")</f>
        <v/>
      </c>
      <c r="C9">
        <f t="array" ref="C9">IFERROR(INDEX(tblStock[Item code],SMALL(IF((tblStock[Zone]="BAG")*(tblStock[Item code]&lt;&gt;""),ROW(tblStock[Item code])-MIN(ROW(tblStock[Item code]))+1),ROWS(C$3:C9))),"")</f>
        <v/>
      </c>
      <c r="D9">
        <f t="array" ref="D9">IFERROR(INDEX(tblStock[Item code],SMALL(IF((tblStock[Zone]="FLM")*(tblStock[Item code]&lt;&gt;""),ROW(tblStock[Item code])-MIN(ROW(tblStock[Item code]))+1),ROWS(D$3:D9))),"")</f>
        <v/>
      </c>
      <c r="E9">
        <f t="array" ref="E9">IFERROR(INDEX(tblStock[Item code],SMALL(IF((tblStock[Zone]="LBL")*(tblStock[Item code]&lt;&gt;""),ROW(tblStock[Item code])-MIN(ROW(tblStock[Item code]))+1),ROWS(E$3:E9))),"")</f>
        <v/>
      </c>
    </row>
    <row r="10">
      <c r="A10">
        <f t="array" ref="A10">IFERROR(INDEX(tblStock[Item code],SMALL(IF(tblStock[Item code]&lt;&gt;"",ROW(tblStock[Item code])-MIN(ROW(tblStock[Item code]))+1),ROWS(A$3:A10))),"")</f>
        <v/>
      </c>
      <c r="B10">
        <f t="array" ref="B10">IFERROR(INDEX(tblStock[Item code],SMALL(IF((tblStock[Zone]="BOX")*(tblStock[Item code]&lt;&gt;""),ROW(tblStock[Item code])-MIN(ROW(tblStock[Item code]))+1),ROWS(B$3:B10))),"")</f>
        <v/>
      </c>
      <c r="C10">
        <f t="array" ref="C10">IFERROR(INDEX(tblStock[Item code],SMALL(IF((tblStock[Zone]="BAG")*(tblStock[Item code]&lt;&gt;""),ROW(tblStock[Item code])-MIN(ROW(tblStock[Item code]))+1),ROWS(C$3:C10))),"")</f>
        <v/>
      </c>
      <c r="D10">
        <f t="array" ref="D10">IFERROR(INDEX(tblStock[Item code],SMALL(IF((tblStock[Zone]="FLM")*(tblStock[Item code]&lt;&gt;""),ROW(tblStock[Item code])-MIN(ROW(tblStock[Item code]))+1),ROWS(D$3:D10))),"")</f>
        <v/>
      </c>
      <c r="E10">
        <f t="array" ref="E10">IFERROR(INDEX(tblStock[Item code],SMALL(IF((tblStock[Zone]="LBL")*(tblStock[Item code]&lt;&gt;""),ROW(tblStock[Item code])-MIN(ROW(tblStock[Item code]))+1),ROWS(E$3:E10))),"")</f>
        <v/>
      </c>
    </row>
    <row r="11">
      <c r="A11">
        <f t="array" ref="A11">IFERROR(INDEX(tblStock[Item code],SMALL(IF(tblStock[Item code]&lt;&gt;"",ROW(tblStock[Item code])-MIN(ROW(tblStock[Item code]))+1),ROWS(A$3:A11))),"")</f>
        <v/>
      </c>
      <c r="B11">
        <f t="array" ref="B11">IFERROR(INDEX(tblStock[Item code],SMALL(IF((tblStock[Zone]="BOX")*(tblStock[Item code]&lt;&gt;""),ROW(tblStock[Item code])-MIN(ROW(tblStock[Item code]))+1),ROWS(B$3:B11))),"")</f>
        <v/>
      </c>
      <c r="C11">
        <f t="array" ref="C11">IFERROR(INDEX(tblStock[Item code],SMALL(IF((tblStock[Zone]="BAG")*(tblStock[Item code]&lt;&gt;""),ROW(tblStock[Item code])-MIN(ROW(tblStock[Item code]))+1),ROWS(C$3:C11))),"")</f>
        <v/>
      </c>
      <c r="D11">
        <f t="array" ref="D11">IFERROR(INDEX(tblStock[Item code],SMALL(IF((tblStock[Zone]="FLM")*(tblStock[Item code]&lt;&gt;""),ROW(tblStock[Item code])-MIN(ROW(tblStock[Item code]))+1),ROWS(D$3:D11))),"")</f>
        <v/>
      </c>
      <c r="E11">
        <f t="array" ref="E11">IFERROR(INDEX(tblStock[Item code],SMALL(IF((tblStock[Zone]="LBL")*(tblStock[Item code]&lt;&gt;""),ROW(tblStock[Item code])-MIN(ROW(tblStock[Item code]))+1),ROWS(E$3:E11))),"")</f>
        <v/>
      </c>
    </row>
    <row r="12">
      <c r="A12">
        <f t="array" ref="A12">IFERROR(INDEX(tblStock[Item code],SMALL(IF(tblStock[Item code]&lt;&gt;"",ROW(tblStock[Item code])-MIN(ROW(tblStock[Item code]))+1),ROWS(A$3:A12))),"")</f>
        <v/>
      </c>
      <c r="B12">
        <f t="array" ref="B12">IFERROR(INDEX(tblStock[Item code],SMALL(IF((tblStock[Zone]="BOX")*(tblStock[Item code]&lt;&gt;""),ROW(tblStock[Item code])-MIN(ROW(tblStock[Item code]))+1),ROWS(B$3:B12))),"")</f>
        <v/>
      </c>
      <c r="C12">
        <f t="array" ref="C12">IFERROR(INDEX(tblStock[Item code],SMALL(IF((tblStock[Zone]="BAG")*(tblStock[Item code]&lt;&gt;""),ROW(tblStock[Item code])-MIN(ROW(tblStock[Item code]))+1),ROWS(C$3:C12))),"")</f>
        <v/>
      </c>
      <c r="D12">
        <f t="array" ref="D12">IFERROR(INDEX(tblStock[Item code],SMALL(IF((tblStock[Zone]="FLM")*(tblStock[Item code]&lt;&gt;""),ROW(tblStock[Item code])-MIN(ROW(tblStock[Item code]))+1),ROWS(D$3:D12))),"")</f>
        <v/>
      </c>
      <c r="E12">
        <f t="array" ref="E12">IFERROR(INDEX(tblStock[Item code],SMALL(IF((tblStock[Zone]="LBL")*(tblStock[Item code]&lt;&gt;""),ROW(tblStock[Item code])-MIN(ROW(tblStock[Item code]))+1),ROWS(E$3:E12))),"")</f>
        <v/>
      </c>
    </row>
    <row r="13">
      <c r="A13">
        <f t="array" ref="A13">IFERROR(INDEX(tblStock[Item code],SMALL(IF(tblStock[Item code]&lt;&gt;"",ROW(tblStock[Item code])-MIN(ROW(tblStock[Item code]))+1),ROWS(A$3:A13))),"")</f>
        <v/>
      </c>
      <c r="B13">
        <f t="array" ref="B13">IFERROR(INDEX(tblStock[Item code],SMALL(IF((tblStock[Zone]="BOX")*(tblStock[Item code]&lt;&gt;""),ROW(tblStock[Item code])-MIN(ROW(tblStock[Item code]))+1),ROWS(B$3:B13))),"")</f>
        <v/>
      </c>
      <c r="C13">
        <f t="array" ref="C13">IFERROR(INDEX(tblStock[Item code],SMALL(IF((tblStock[Zone]="BAG")*(tblStock[Item code]&lt;&gt;""),ROW(tblStock[Item code])-MIN(ROW(tblStock[Item code]))+1),ROWS(C$3:C13))),"")</f>
        <v/>
      </c>
      <c r="D13">
        <f t="array" ref="D13">IFERROR(INDEX(tblStock[Item code],SMALL(IF((tblStock[Zone]="FLM")*(tblStock[Item code]&lt;&gt;""),ROW(tblStock[Item code])-MIN(ROW(tblStock[Item code]))+1),ROWS(D$3:D13))),"")</f>
        <v/>
      </c>
      <c r="E13">
        <f t="array" ref="E13">IFERROR(INDEX(tblStock[Item code],SMALL(IF((tblStock[Zone]="LBL")*(tblStock[Item code]&lt;&gt;""),ROW(tblStock[Item code])-MIN(ROW(tblStock[Item code]))+1),ROWS(E$3:E13))),"")</f>
        <v/>
      </c>
    </row>
    <row r="14">
      <c r="A14">
        <f t="array" ref="A14">IFERROR(INDEX(tblStock[Item code],SMALL(IF(tblStock[Item code]&lt;&gt;"",ROW(tblStock[Item code])-MIN(ROW(tblStock[Item code]))+1),ROWS(A$3:A14))),"")</f>
        <v/>
      </c>
      <c r="B14">
        <f t="array" ref="B14">IFERROR(INDEX(tblStock[Item code],SMALL(IF((tblStock[Zone]="BOX")*(tblStock[Item code]&lt;&gt;""),ROW(tblStock[Item code])-MIN(ROW(tblStock[Item code]))+1),ROWS(B$3:B14))),"")</f>
        <v/>
      </c>
      <c r="C14">
        <f t="array" ref="C14">IFERROR(INDEX(tblStock[Item code],SMALL(IF((tblStock[Zone]="BAG")*(tblStock[Item code]&lt;&gt;""),ROW(tblStock[Item code])-MIN(ROW(tblStock[Item code]))+1),ROWS(C$3:C14))),"")</f>
        <v/>
      </c>
      <c r="D14">
        <f t="array" ref="D14">IFERROR(INDEX(tblStock[Item code],SMALL(IF((tblStock[Zone]="FLM")*(tblStock[Item code]&lt;&gt;""),ROW(tblStock[Item code])-MIN(ROW(tblStock[Item code]))+1),ROWS(D$3:D14))),"")</f>
        <v/>
      </c>
      <c r="E14">
        <f t="array" ref="E14">IFERROR(INDEX(tblStock[Item code],SMALL(IF((tblStock[Zone]="LBL")*(tblStock[Item code]&lt;&gt;""),ROW(tblStock[Item code])-MIN(ROW(tblStock[Item code]))+1),ROWS(E$3:E14))),"")</f>
        <v/>
      </c>
    </row>
    <row r="15">
      <c r="A15">
        <f t="array" ref="A15">IFERROR(INDEX(tblStock[Item code],SMALL(IF(tblStock[Item code]&lt;&gt;"",ROW(tblStock[Item code])-MIN(ROW(tblStock[Item code]))+1),ROWS(A$3:A15))),"")</f>
        <v/>
      </c>
      <c r="B15">
        <f t="array" ref="B15">IFERROR(INDEX(tblStock[Item code],SMALL(IF((tblStock[Zone]="BOX")*(tblStock[Item code]&lt;&gt;""),ROW(tblStock[Item code])-MIN(ROW(tblStock[Item code]))+1),ROWS(B$3:B15))),"")</f>
        <v/>
      </c>
      <c r="C15">
        <f t="array" ref="C15">IFERROR(INDEX(tblStock[Item code],SMALL(IF((tblStock[Zone]="BAG")*(tblStock[Item code]&lt;&gt;""),ROW(tblStock[Item code])-MIN(ROW(tblStock[Item code]))+1),ROWS(C$3:C15))),"")</f>
        <v/>
      </c>
      <c r="D15">
        <f t="array" ref="D15">IFERROR(INDEX(tblStock[Item code],SMALL(IF((tblStock[Zone]="FLM")*(tblStock[Item code]&lt;&gt;""),ROW(tblStock[Item code])-MIN(ROW(tblStock[Item code]))+1),ROWS(D$3:D15))),"")</f>
        <v/>
      </c>
      <c r="E15">
        <f t="array" ref="E15">IFERROR(INDEX(tblStock[Item code],SMALL(IF((tblStock[Zone]="LBL")*(tblStock[Item code]&lt;&gt;""),ROW(tblStock[Item code])-MIN(ROW(tblStock[Item code]))+1),ROWS(E$3:E15))),"")</f>
        <v/>
      </c>
    </row>
    <row r="16">
      <c r="A16">
        <f t="array" ref="A16">IFERROR(INDEX(tblStock[Item code],SMALL(IF(tblStock[Item code]&lt;&gt;"",ROW(tblStock[Item code])-MIN(ROW(tblStock[Item code]))+1),ROWS(A$3:A16))),"")</f>
        <v/>
      </c>
      <c r="B16">
        <f t="array" ref="B16">IFERROR(INDEX(tblStock[Item code],SMALL(IF((tblStock[Zone]="BOX")*(tblStock[Item code]&lt;&gt;""),ROW(tblStock[Item code])-MIN(ROW(tblStock[Item code]))+1),ROWS(B$3:B16))),"")</f>
        <v/>
      </c>
      <c r="C16">
        <f t="array" ref="C16">IFERROR(INDEX(tblStock[Item code],SMALL(IF((tblStock[Zone]="BAG")*(tblStock[Item code]&lt;&gt;""),ROW(tblStock[Item code])-MIN(ROW(tblStock[Item code]))+1),ROWS(C$3:C16))),"")</f>
        <v/>
      </c>
      <c r="D16">
        <f t="array" ref="D16">IFERROR(INDEX(tblStock[Item code],SMALL(IF((tblStock[Zone]="FLM")*(tblStock[Item code]&lt;&gt;""),ROW(tblStock[Item code])-MIN(ROW(tblStock[Item code]))+1),ROWS(D$3:D16))),"")</f>
        <v/>
      </c>
      <c r="E16">
        <f t="array" ref="E16">IFERROR(INDEX(tblStock[Item code],SMALL(IF((tblStock[Zone]="LBL")*(tblStock[Item code]&lt;&gt;""),ROW(tblStock[Item code])-MIN(ROW(tblStock[Item code]))+1),ROWS(E$3:E16))),"")</f>
        <v/>
      </c>
    </row>
    <row r="17">
      <c r="A17">
        <f t="array" ref="A17">IFERROR(INDEX(tblStock[Item code],SMALL(IF(tblStock[Item code]&lt;&gt;"",ROW(tblStock[Item code])-MIN(ROW(tblStock[Item code]))+1),ROWS(A$3:A17))),"")</f>
        <v/>
      </c>
      <c r="B17">
        <f t="array" ref="B17">IFERROR(INDEX(tblStock[Item code],SMALL(IF((tblStock[Zone]="BOX")*(tblStock[Item code]&lt;&gt;""),ROW(tblStock[Item code])-MIN(ROW(tblStock[Item code]))+1),ROWS(B$3:B17))),"")</f>
        <v/>
      </c>
      <c r="C17">
        <f t="array" ref="C17">IFERROR(INDEX(tblStock[Item code],SMALL(IF((tblStock[Zone]="BAG")*(tblStock[Item code]&lt;&gt;""),ROW(tblStock[Item code])-MIN(ROW(tblStock[Item code]))+1),ROWS(C$3:C17))),"")</f>
        <v/>
      </c>
      <c r="D17">
        <f t="array" ref="D17">IFERROR(INDEX(tblStock[Item code],SMALL(IF((tblStock[Zone]="FLM")*(tblStock[Item code]&lt;&gt;""),ROW(tblStock[Item code])-MIN(ROW(tblStock[Item code]))+1),ROWS(D$3:D17))),"")</f>
        <v/>
      </c>
      <c r="E17">
        <f t="array" ref="E17">IFERROR(INDEX(tblStock[Item code],SMALL(IF((tblStock[Zone]="LBL")*(tblStock[Item code]&lt;&gt;""),ROW(tblStock[Item code])-MIN(ROW(tblStock[Item code]))+1),ROWS(E$3:E17))),"")</f>
        <v/>
      </c>
    </row>
    <row r="18">
      <c r="A18">
        <f t="array" ref="A18">IFERROR(INDEX(tblStock[Item code],SMALL(IF(tblStock[Item code]&lt;&gt;"",ROW(tblStock[Item code])-MIN(ROW(tblStock[Item code]))+1),ROWS(A$3:A18))),"")</f>
        <v/>
      </c>
      <c r="B18">
        <f t="array" ref="B18">IFERROR(INDEX(tblStock[Item code],SMALL(IF((tblStock[Zone]="BOX")*(tblStock[Item code]&lt;&gt;""),ROW(tblStock[Item code])-MIN(ROW(tblStock[Item code]))+1),ROWS(B$3:B18))),"")</f>
        <v/>
      </c>
      <c r="C18">
        <f t="array" ref="C18">IFERROR(INDEX(tblStock[Item code],SMALL(IF((tblStock[Zone]="BAG")*(tblStock[Item code]&lt;&gt;""),ROW(tblStock[Item code])-MIN(ROW(tblStock[Item code]))+1),ROWS(C$3:C18))),"")</f>
        <v/>
      </c>
      <c r="D18">
        <f t="array" ref="D18">IFERROR(INDEX(tblStock[Item code],SMALL(IF((tblStock[Zone]="FLM")*(tblStock[Item code]&lt;&gt;""),ROW(tblStock[Item code])-MIN(ROW(tblStock[Item code]))+1),ROWS(D$3:D18))),"")</f>
        <v/>
      </c>
      <c r="E18">
        <f t="array" ref="E18">IFERROR(INDEX(tblStock[Item code],SMALL(IF((tblStock[Zone]="LBL")*(tblStock[Item code]&lt;&gt;""),ROW(tblStock[Item code])-MIN(ROW(tblStock[Item code]))+1),ROWS(E$3:E18))),"")</f>
        <v/>
      </c>
    </row>
    <row r="19">
      <c r="A19">
        <f t="array" ref="A19">IFERROR(INDEX(tblStock[Item code],SMALL(IF(tblStock[Item code]&lt;&gt;"",ROW(tblStock[Item code])-MIN(ROW(tblStock[Item code]))+1),ROWS(A$3:A19))),"")</f>
        <v/>
      </c>
      <c r="B19">
        <f t="array" ref="B19">IFERROR(INDEX(tblStock[Item code],SMALL(IF((tblStock[Zone]="BOX")*(tblStock[Item code]&lt;&gt;""),ROW(tblStock[Item code])-MIN(ROW(tblStock[Item code]))+1),ROWS(B$3:B19))),"")</f>
        <v/>
      </c>
      <c r="C19">
        <f t="array" ref="C19">IFERROR(INDEX(tblStock[Item code],SMALL(IF((tblStock[Zone]="BAG")*(tblStock[Item code]&lt;&gt;""),ROW(tblStock[Item code])-MIN(ROW(tblStock[Item code]))+1),ROWS(C$3:C19))),"")</f>
        <v/>
      </c>
      <c r="D19">
        <f t="array" ref="D19">IFERROR(INDEX(tblStock[Item code],SMALL(IF((tblStock[Zone]="FLM")*(tblStock[Item code]&lt;&gt;""),ROW(tblStock[Item code])-MIN(ROW(tblStock[Item code]))+1),ROWS(D$3:D19))),"")</f>
        <v/>
      </c>
      <c r="E19">
        <f t="array" ref="E19">IFERROR(INDEX(tblStock[Item code],SMALL(IF((tblStock[Zone]="LBL")*(tblStock[Item code]&lt;&gt;""),ROW(tblStock[Item code])-MIN(ROW(tblStock[Item code]))+1),ROWS(E$3:E19))),"")</f>
        <v/>
      </c>
    </row>
    <row r="20">
      <c r="A20">
        <f t="array" ref="A20">IFERROR(INDEX(tblStock[Item code],SMALL(IF(tblStock[Item code]&lt;&gt;"",ROW(tblStock[Item code])-MIN(ROW(tblStock[Item code]))+1),ROWS(A$3:A20))),"")</f>
        <v/>
      </c>
      <c r="B20">
        <f t="array" ref="B20">IFERROR(INDEX(tblStock[Item code],SMALL(IF((tblStock[Zone]="BOX")*(tblStock[Item code]&lt;&gt;""),ROW(tblStock[Item code])-MIN(ROW(tblStock[Item code]))+1),ROWS(B$3:B20))),"")</f>
        <v/>
      </c>
      <c r="C20">
        <f t="array" ref="C20">IFERROR(INDEX(tblStock[Item code],SMALL(IF((tblStock[Zone]="BAG")*(tblStock[Item code]&lt;&gt;""),ROW(tblStock[Item code])-MIN(ROW(tblStock[Item code]))+1),ROWS(C$3:C20))),"")</f>
        <v/>
      </c>
      <c r="D20">
        <f t="array" ref="D20">IFERROR(INDEX(tblStock[Item code],SMALL(IF((tblStock[Zone]="FLM")*(tblStock[Item code]&lt;&gt;""),ROW(tblStock[Item code])-MIN(ROW(tblStock[Item code]))+1),ROWS(D$3:D20))),"")</f>
        <v/>
      </c>
      <c r="E20">
        <f t="array" ref="E20">IFERROR(INDEX(tblStock[Item code],SMALL(IF((tblStock[Zone]="LBL")*(tblStock[Item code]&lt;&gt;""),ROW(tblStock[Item code])-MIN(ROW(tblStock[Item code]))+1),ROWS(E$3:E20))),"")</f>
        <v/>
      </c>
    </row>
    <row r="21">
      <c r="A21">
        <f t="array" ref="A21">IFERROR(INDEX(tblStock[Item code],SMALL(IF(tblStock[Item code]&lt;&gt;"",ROW(tblStock[Item code])-MIN(ROW(tblStock[Item code]))+1),ROWS(A$3:A21))),"")</f>
        <v/>
      </c>
      <c r="B21">
        <f t="array" ref="B21">IFERROR(INDEX(tblStock[Item code],SMALL(IF((tblStock[Zone]="BOX")*(tblStock[Item code]&lt;&gt;""),ROW(tblStock[Item code])-MIN(ROW(tblStock[Item code]))+1),ROWS(B$3:B21))),"")</f>
        <v/>
      </c>
      <c r="C21">
        <f t="array" ref="C21">IFERROR(INDEX(tblStock[Item code],SMALL(IF((tblStock[Zone]="BAG")*(tblStock[Item code]&lt;&gt;""),ROW(tblStock[Item code])-MIN(ROW(tblStock[Item code]))+1),ROWS(C$3:C21))),"")</f>
        <v/>
      </c>
      <c r="D21">
        <f t="array" ref="D21">IFERROR(INDEX(tblStock[Item code],SMALL(IF((tblStock[Zone]="FLM")*(tblStock[Item code]&lt;&gt;""),ROW(tblStock[Item code])-MIN(ROW(tblStock[Item code]))+1),ROWS(D$3:D21))),"")</f>
        <v/>
      </c>
      <c r="E21">
        <f t="array" ref="E21">IFERROR(INDEX(tblStock[Item code],SMALL(IF((tblStock[Zone]="LBL")*(tblStock[Item code]&lt;&gt;""),ROW(tblStock[Item code])-MIN(ROW(tblStock[Item code]))+1),ROWS(E$3:E21))),"")</f>
        <v/>
      </c>
    </row>
    <row r="22">
      <c r="A22">
        <f t="array" ref="A22">IFERROR(INDEX(tblStock[Item code],SMALL(IF(tblStock[Item code]&lt;&gt;"",ROW(tblStock[Item code])-MIN(ROW(tblStock[Item code]))+1),ROWS(A$3:A22))),"")</f>
        <v/>
      </c>
      <c r="B22">
        <f t="array" ref="B22">IFERROR(INDEX(tblStock[Item code],SMALL(IF((tblStock[Zone]="BOX")*(tblStock[Item code]&lt;&gt;""),ROW(tblStock[Item code])-MIN(ROW(tblStock[Item code]))+1),ROWS(B$3:B22))),"")</f>
        <v/>
      </c>
      <c r="C22">
        <f t="array" ref="C22">IFERROR(INDEX(tblStock[Item code],SMALL(IF((tblStock[Zone]="BAG")*(tblStock[Item code]&lt;&gt;""),ROW(tblStock[Item code])-MIN(ROW(tblStock[Item code]))+1),ROWS(C$3:C22))),"")</f>
        <v/>
      </c>
      <c r="D22">
        <f t="array" ref="D22">IFERROR(INDEX(tblStock[Item code],SMALL(IF((tblStock[Zone]="FLM")*(tblStock[Item code]&lt;&gt;""),ROW(tblStock[Item code])-MIN(ROW(tblStock[Item code]))+1),ROWS(D$3:D22))),"")</f>
        <v/>
      </c>
      <c r="E22">
        <f t="array" ref="E22">IFERROR(INDEX(tblStock[Item code],SMALL(IF((tblStock[Zone]="LBL")*(tblStock[Item code]&lt;&gt;""),ROW(tblStock[Item code])-MIN(ROW(tblStock[Item code]))+1),ROWS(E$3:E22))),"")</f>
        <v/>
      </c>
    </row>
    <row r="23">
      <c r="A23">
        <f t="array" ref="A23">IFERROR(INDEX(tblStock[Item code],SMALL(IF(tblStock[Item code]&lt;&gt;"",ROW(tblStock[Item code])-MIN(ROW(tblStock[Item code]))+1),ROWS(A$3:A23))),"")</f>
        <v/>
      </c>
      <c r="B23">
        <f t="array" ref="B23">IFERROR(INDEX(tblStock[Item code],SMALL(IF((tblStock[Zone]="BOX")*(tblStock[Item code]&lt;&gt;""),ROW(tblStock[Item code])-MIN(ROW(tblStock[Item code]))+1),ROWS(B$3:B23))),"")</f>
        <v/>
      </c>
      <c r="C23">
        <f t="array" ref="C23">IFERROR(INDEX(tblStock[Item code],SMALL(IF((tblStock[Zone]="BAG")*(tblStock[Item code]&lt;&gt;""),ROW(tblStock[Item code])-MIN(ROW(tblStock[Item code]))+1),ROWS(C$3:C23))),"")</f>
        <v/>
      </c>
      <c r="D23">
        <f t="array" ref="D23">IFERROR(INDEX(tblStock[Item code],SMALL(IF((tblStock[Zone]="FLM")*(tblStock[Item code]&lt;&gt;""),ROW(tblStock[Item code])-MIN(ROW(tblStock[Item code]))+1),ROWS(D$3:D23))),"")</f>
        <v/>
      </c>
      <c r="E23">
        <f t="array" ref="E23">IFERROR(INDEX(tblStock[Item code],SMALL(IF((tblStock[Zone]="LBL")*(tblStock[Item code]&lt;&gt;""),ROW(tblStock[Item code])-MIN(ROW(tblStock[Item code]))+1),ROWS(E$3:E23))),"")</f>
        <v/>
      </c>
    </row>
    <row r="24">
      <c r="A24">
        <f t="array" ref="A24">IFERROR(INDEX(tblStock[Item code],SMALL(IF(tblStock[Item code]&lt;&gt;"",ROW(tblStock[Item code])-MIN(ROW(tblStock[Item code]))+1),ROWS(A$3:A24))),"")</f>
        <v/>
      </c>
      <c r="B24">
        <f t="array" ref="B24">IFERROR(INDEX(tblStock[Item code],SMALL(IF((tblStock[Zone]="BOX")*(tblStock[Item code]&lt;&gt;""),ROW(tblStock[Item code])-MIN(ROW(tblStock[Item code]))+1),ROWS(B$3:B24))),"")</f>
        <v/>
      </c>
      <c r="C24">
        <f t="array" ref="C24">IFERROR(INDEX(tblStock[Item code],SMALL(IF((tblStock[Zone]="BAG")*(tblStock[Item code]&lt;&gt;""),ROW(tblStock[Item code])-MIN(ROW(tblStock[Item code]))+1),ROWS(C$3:C24))),"")</f>
        <v/>
      </c>
      <c r="D24">
        <f t="array" ref="D24">IFERROR(INDEX(tblStock[Item code],SMALL(IF((tblStock[Zone]="FLM")*(tblStock[Item code]&lt;&gt;""),ROW(tblStock[Item code])-MIN(ROW(tblStock[Item code]))+1),ROWS(D$3:D24))),"")</f>
        <v/>
      </c>
      <c r="E24">
        <f t="array" ref="E24">IFERROR(INDEX(tblStock[Item code],SMALL(IF((tblStock[Zone]="LBL")*(tblStock[Item code]&lt;&gt;""),ROW(tblStock[Item code])-MIN(ROW(tblStock[Item code]))+1),ROWS(E$3:E24))),"")</f>
        <v/>
      </c>
    </row>
    <row r="25">
      <c r="A25">
        <f t="array" ref="A25">IFERROR(INDEX(tblStock[Item code],SMALL(IF(tblStock[Item code]&lt;&gt;"",ROW(tblStock[Item code])-MIN(ROW(tblStock[Item code]))+1),ROWS(A$3:A25))),"")</f>
        <v/>
      </c>
      <c r="B25">
        <f t="array" ref="B25">IFERROR(INDEX(tblStock[Item code],SMALL(IF((tblStock[Zone]="BOX")*(tblStock[Item code]&lt;&gt;""),ROW(tblStock[Item code])-MIN(ROW(tblStock[Item code]))+1),ROWS(B$3:B25))),"")</f>
        <v/>
      </c>
      <c r="C25">
        <f t="array" ref="C25">IFERROR(INDEX(tblStock[Item code],SMALL(IF((tblStock[Zone]="BAG")*(tblStock[Item code]&lt;&gt;""),ROW(tblStock[Item code])-MIN(ROW(tblStock[Item code]))+1),ROWS(C$3:C25))),"")</f>
        <v/>
      </c>
      <c r="D25">
        <f t="array" ref="D25">IFERROR(INDEX(tblStock[Item code],SMALL(IF((tblStock[Zone]="FLM")*(tblStock[Item code]&lt;&gt;""),ROW(tblStock[Item code])-MIN(ROW(tblStock[Item code]))+1),ROWS(D$3:D25))),"")</f>
        <v/>
      </c>
      <c r="E25">
        <f t="array" ref="E25">IFERROR(INDEX(tblStock[Item code],SMALL(IF((tblStock[Zone]="LBL")*(tblStock[Item code]&lt;&gt;""),ROW(tblStock[Item code])-MIN(ROW(tblStock[Item code]))+1),ROWS(E$3:E25))),"")</f>
        <v/>
      </c>
    </row>
    <row r="26">
      <c r="A26">
        <f t="array" ref="A26">IFERROR(INDEX(tblStock[Item code],SMALL(IF(tblStock[Item code]&lt;&gt;"",ROW(tblStock[Item code])-MIN(ROW(tblStock[Item code]))+1),ROWS(A$3:A26))),"")</f>
        <v/>
      </c>
      <c r="B26">
        <f t="array" ref="B26">IFERROR(INDEX(tblStock[Item code],SMALL(IF((tblStock[Zone]="BOX")*(tblStock[Item code]&lt;&gt;""),ROW(tblStock[Item code])-MIN(ROW(tblStock[Item code]))+1),ROWS(B$3:B26))),"")</f>
        <v/>
      </c>
      <c r="C26">
        <f t="array" ref="C26">IFERROR(INDEX(tblStock[Item code],SMALL(IF((tblStock[Zone]="BAG")*(tblStock[Item code]&lt;&gt;""),ROW(tblStock[Item code])-MIN(ROW(tblStock[Item code]))+1),ROWS(C$3:C26))),"")</f>
        <v/>
      </c>
      <c r="D26">
        <f t="array" ref="D26">IFERROR(INDEX(tblStock[Item code],SMALL(IF((tblStock[Zone]="FLM")*(tblStock[Item code]&lt;&gt;""),ROW(tblStock[Item code])-MIN(ROW(tblStock[Item code]))+1),ROWS(D$3:D26))),"")</f>
        <v/>
      </c>
      <c r="E26">
        <f t="array" ref="E26">IFERROR(INDEX(tblStock[Item code],SMALL(IF((tblStock[Zone]="LBL")*(tblStock[Item code]&lt;&gt;""),ROW(tblStock[Item code])-MIN(ROW(tblStock[Item code]))+1),ROWS(E$3:E26))),"")</f>
        <v/>
      </c>
    </row>
    <row r="27">
      <c r="A27">
        <f t="array" ref="A27">IFERROR(INDEX(tblStock[Item code],SMALL(IF(tblStock[Item code]&lt;&gt;"",ROW(tblStock[Item code])-MIN(ROW(tblStock[Item code]))+1),ROWS(A$3:A27))),"")</f>
        <v/>
      </c>
      <c r="B27">
        <f t="array" ref="B27">IFERROR(INDEX(tblStock[Item code],SMALL(IF((tblStock[Zone]="BOX")*(tblStock[Item code]&lt;&gt;""),ROW(tblStock[Item code])-MIN(ROW(tblStock[Item code]))+1),ROWS(B$3:B27))),"")</f>
        <v/>
      </c>
      <c r="C27">
        <f t="array" ref="C27">IFERROR(INDEX(tblStock[Item code],SMALL(IF((tblStock[Zone]="BAG")*(tblStock[Item code]&lt;&gt;""),ROW(tblStock[Item code])-MIN(ROW(tblStock[Item code]))+1),ROWS(C$3:C27))),"")</f>
        <v/>
      </c>
      <c r="D27">
        <f t="array" ref="D27">IFERROR(INDEX(tblStock[Item code],SMALL(IF((tblStock[Zone]="FLM")*(tblStock[Item code]&lt;&gt;""),ROW(tblStock[Item code])-MIN(ROW(tblStock[Item code]))+1),ROWS(D$3:D27))),"")</f>
        <v/>
      </c>
      <c r="E27">
        <f t="array" ref="E27">IFERROR(INDEX(tblStock[Item code],SMALL(IF((tblStock[Zone]="LBL")*(tblStock[Item code]&lt;&gt;""),ROW(tblStock[Item code])-MIN(ROW(tblStock[Item code]))+1),ROWS(E$3:E27))),"")</f>
        <v/>
      </c>
    </row>
    <row r="28">
      <c r="A28">
        <f t="array" ref="A28">IFERROR(INDEX(tblStock[Item code],SMALL(IF(tblStock[Item code]&lt;&gt;"",ROW(tblStock[Item code])-MIN(ROW(tblStock[Item code]))+1),ROWS(A$3:A28))),"")</f>
        <v/>
      </c>
      <c r="B28">
        <f t="array" ref="B28">IFERROR(INDEX(tblStock[Item code],SMALL(IF((tblStock[Zone]="BOX")*(tblStock[Item code]&lt;&gt;""),ROW(tblStock[Item code])-MIN(ROW(tblStock[Item code]))+1),ROWS(B$3:B28))),"")</f>
        <v/>
      </c>
      <c r="C28">
        <f t="array" ref="C28">IFERROR(INDEX(tblStock[Item code],SMALL(IF((tblStock[Zone]="BAG")*(tblStock[Item code]&lt;&gt;""),ROW(tblStock[Item code])-MIN(ROW(tblStock[Item code]))+1),ROWS(C$3:C28))),"")</f>
        <v/>
      </c>
      <c r="D28">
        <f t="array" ref="D28">IFERROR(INDEX(tblStock[Item code],SMALL(IF((tblStock[Zone]="FLM")*(tblStock[Item code]&lt;&gt;""),ROW(tblStock[Item code])-MIN(ROW(tblStock[Item code]))+1),ROWS(D$3:D28))),"")</f>
        <v/>
      </c>
      <c r="E28">
        <f t="array" ref="E28">IFERROR(INDEX(tblStock[Item code],SMALL(IF((tblStock[Zone]="LBL")*(tblStock[Item code]&lt;&gt;""),ROW(tblStock[Item code])-MIN(ROW(tblStock[Item code]))+1),ROWS(E$3:E28))),"")</f>
        <v/>
      </c>
    </row>
    <row r="29">
      <c r="A29">
        <f t="array" ref="A29">IFERROR(INDEX(tblStock[Item code],SMALL(IF(tblStock[Item code]&lt;&gt;"",ROW(tblStock[Item code])-MIN(ROW(tblStock[Item code]))+1),ROWS(A$3:A29))),"")</f>
        <v/>
      </c>
      <c r="B29">
        <f t="array" ref="B29">IFERROR(INDEX(tblStock[Item code],SMALL(IF((tblStock[Zone]="BOX")*(tblStock[Item code]&lt;&gt;""),ROW(tblStock[Item code])-MIN(ROW(tblStock[Item code]))+1),ROWS(B$3:B29))),"")</f>
        <v/>
      </c>
      <c r="C29">
        <f t="array" ref="C29">IFERROR(INDEX(tblStock[Item code],SMALL(IF((tblStock[Zone]="BAG")*(tblStock[Item code]&lt;&gt;""),ROW(tblStock[Item code])-MIN(ROW(tblStock[Item code]))+1),ROWS(C$3:C29))),"")</f>
        <v/>
      </c>
      <c r="D29">
        <f t="array" ref="D29">IFERROR(INDEX(tblStock[Item code],SMALL(IF((tblStock[Zone]="FLM")*(tblStock[Item code]&lt;&gt;""),ROW(tblStock[Item code])-MIN(ROW(tblStock[Item code]))+1),ROWS(D$3:D29))),"")</f>
        <v/>
      </c>
      <c r="E29">
        <f t="array" ref="E29">IFERROR(INDEX(tblStock[Item code],SMALL(IF((tblStock[Zone]="LBL")*(tblStock[Item code]&lt;&gt;""),ROW(tblStock[Item code])-MIN(ROW(tblStock[Item code]))+1),ROWS(E$3:E29))),"")</f>
        <v/>
      </c>
    </row>
    <row r="30">
      <c r="A30">
        <f t="array" ref="A30">IFERROR(INDEX(tblStock[Item code],SMALL(IF(tblStock[Item code]&lt;&gt;"",ROW(tblStock[Item code])-MIN(ROW(tblStock[Item code]))+1),ROWS(A$3:A30))),"")</f>
        <v/>
      </c>
      <c r="B30">
        <f t="array" ref="B30">IFERROR(INDEX(tblStock[Item code],SMALL(IF((tblStock[Zone]="BOX")*(tblStock[Item code]&lt;&gt;""),ROW(tblStock[Item code])-MIN(ROW(tblStock[Item code]))+1),ROWS(B$3:B30))),"")</f>
        <v/>
      </c>
      <c r="C30">
        <f t="array" ref="C30">IFERROR(INDEX(tblStock[Item code],SMALL(IF((tblStock[Zone]="BAG")*(tblStock[Item code]&lt;&gt;""),ROW(tblStock[Item code])-MIN(ROW(tblStock[Item code]))+1),ROWS(C$3:C30))),"")</f>
        <v/>
      </c>
      <c r="D30">
        <f t="array" ref="D30">IFERROR(INDEX(tblStock[Item code],SMALL(IF((tblStock[Zone]="FLM")*(tblStock[Item code]&lt;&gt;""),ROW(tblStock[Item code])-MIN(ROW(tblStock[Item code]))+1),ROWS(D$3:D30))),"")</f>
        <v/>
      </c>
      <c r="E30">
        <f t="array" ref="E30">IFERROR(INDEX(tblStock[Item code],SMALL(IF((tblStock[Zone]="LBL")*(tblStock[Item code]&lt;&gt;""),ROW(tblStock[Item code])-MIN(ROW(tblStock[Item code]))+1),ROWS(E$3:E30))),"")</f>
        <v/>
      </c>
    </row>
    <row r="31">
      <c r="A31">
        <f t="array" ref="A31">IFERROR(INDEX(tblStock[Item code],SMALL(IF(tblStock[Item code]&lt;&gt;"",ROW(tblStock[Item code])-MIN(ROW(tblStock[Item code]))+1),ROWS(A$3:A31))),"")</f>
        <v/>
      </c>
      <c r="B31">
        <f t="array" ref="B31">IFERROR(INDEX(tblStock[Item code],SMALL(IF((tblStock[Zone]="BOX")*(tblStock[Item code]&lt;&gt;""),ROW(tblStock[Item code])-MIN(ROW(tblStock[Item code]))+1),ROWS(B$3:B31))),"")</f>
        <v/>
      </c>
      <c r="C31">
        <f t="array" ref="C31">IFERROR(INDEX(tblStock[Item code],SMALL(IF((tblStock[Zone]="BAG")*(tblStock[Item code]&lt;&gt;""),ROW(tblStock[Item code])-MIN(ROW(tblStock[Item code]))+1),ROWS(C$3:C31))),"")</f>
        <v/>
      </c>
      <c r="D31">
        <f t="array" ref="D31">IFERROR(INDEX(tblStock[Item code],SMALL(IF((tblStock[Zone]="FLM")*(tblStock[Item code]&lt;&gt;""),ROW(tblStock[Item code])-MIN(ROW(tblStock[Item code]))+1),ROWS(D$3:D31))),"")</f>
        <v/>
      </c>
      <c r="E31">
        <f t="array" ref="E31">IFERROR(INDEX(tblStock[Item code],SMALL(IF((tblStock[Zone]="LBL")*(tblStock[Item code]&lt;&gt;""),ROW(tblStock[Item code])-MIN(ROW(tblStock[Item code]))+1),ROWS(E$3:E31))),"")</f>
        <v/>
      </c>
    </row>
    <row r="32">
      <c r="A32">
        <f t="array" ref="A32">IFERROR(INDEX(tblStock[Item code],SMALL(IF(tblStock[Item code]&lt;&gt;"",ROW(tblStock[Item code])-MIN(ROW(tblStock[Item code]))+1),ROWS(A$3:A32))),"")</f>
        <v/>
      </c>
      <c r="B32">
        <f t="array" ref="B32">IFERROR(INDEX(tblStock[Item code],SMALL(IF((tblStock[Zone]="BOX")*(tblStock[Item code]&lt;&gt;""),ROW(tblStock[Item code])-MIN(ROW(tblStock[Item code]))+1),ROWS(B$3:B32))),"")</f>
        <v/>
      </c>
      <c r="C32">
        <f t="array" ref="C32">IFERROR(INDEX(tblStock[Item code],SMALL(IF((tblStock[Zone]="BAG")*(tblStock[Item code]&lt;&gt;""),ROW(tblStock[Item code])-MIN(ROW(tblStock[Item code]))+1),ROWS(C$3:C32))),"")</f>
        <v/>
      </c>
      <c r="D32">
        <f t="array" ref="D32">IFERROR(INDEX(tblStock[Item code],SMALL(IF((tblStock[Zone]="FLM")*(tblStock[Item code]&lt;&gt;""),ROW(tblStock[Item code])-MIN(ROW(tblStock[Item code]))+1),ROWS(D$3:D32))),"")</f>
        <v/>
      </c>
      <c r="E32">
        <f t="array" ref="E32">IFERROR(INDEX(tblStock[Item code],SMALL(IF((tblStock[Zone]="LBL")*(tblStock[Item code]&lt;&gt;""),ROW(tblStock[Item code])-MIN(ROW(tblStock[Item code]))+1),ROWS(E$3:E32))),"")</f>
        <v/>
      </c>
    </row>
    <row r="33">
      <c r="A33">
        <f t="array" ref="A33">IFERROR(INDEX(tblStock[Item code],SMALL(IF(tblStock[Item code]&lt;&gt;"",ROW(tblStock[Item code])-MIN(ROW(tblStock[Item code]))+1),ROWS(A$3:A33))),"")</f>
        <v/>
      </c>
      <c r="B33">
        <f t="array" ref="B33">IFERROR(INDEX(tblStock[Item code],SMALL(IF((tblStock[Zone]="BOX")*(tblStock[Item code]&lt;&gt;""),ROW(tblStock[Item code])-MIN(ROW(tblStock[Item code]))+1),ROWS(B$3:B33))),"")</f>
        <v/>
      </c>
      <c r="C33">
        <f t="array" ref="C33">IFERROR(INDEX(tblStock[Item code],SMALL(IF((tblStock[Zone]="BAG")*(tblStock[Item code]&lt;&gt;""),ROW(tblStock[Item code])-MIN(ROW(tblStock[Item code]))+1),ROWS(C$3:C33))),"")</f>
        <v/>
      </c>
      <c r="D33">
        <f t="array" ref="D33">IFERROR(INDEX(tblStock[Item code],SMALL(IF((tblStock[Zone]="FLM")*(tblStock[Item code]&lt;&gt;""),ROW(tblStock[Item code])-MIN(ROW(tblStock[Item code]))+1),ROWS(D$3:D33))),"")</f>
        <v/>
      </c>
      <c r="E33">
        <f t="array" ref="E33">IFERROR(INDEX(tblStock[Item code],SMALL(IF((tblStock[Zone]="LBL")*(tblStock[Item code]&lt;&gt;""),ROW(tblStock[Item code])-MIN(ROW(tblStock[Item code]))+1),ROWS(E$3:E33))),"")</f>
        <v/>
      </c>
    </row>
    <row r="34">
      <c r="A34">
        <f t="array" ref="A34">IFERROR(INDEX(tblStock[Item code],SMALL(IF(tblStock[Item code]&lt;&gt;"",ROW(tblStock[Item code])-MIN(ROW(tblStock[Item code]))+1),ROWS(A$3:A34))),"")</f>
        <v/>
      </c>
      <c r="B34">
        <f t="array" ref="B34">IFERROR(INDEX(tblStock[Item code],SMALL(IF((tblStock[Zone]="BOX")*(tblStock[Item code]&lt;&gt;""),ROW(tblStock[Item code])-MIN(ROW(tblStock[Item code]))+1),ROWS(B$3:B34))),"")</f>
        <v/>
      </c>
      <c r="C34">
        <f t="array" ref="C34">IFERROR(INDEX(tblStock[Item code],SMALL(IF((tblStock[Zone]="BAG")*(tblStock[Item code]&lt;&gt;""),ROW(tblStock[Item code])-MIN(ROW(tblStock[Item code]))+1),ROWS(C$3:C34))),"")</f>
        <v/>
      </c>
      <c r="D34">
        <f t="array" ref="D34">IFERROR(INDEX(tblStock[Item code],SMALL(IF((tblStock[Zone]="FLM")*(tblStock[Item code]&lt;&gt;""),ROW(tblStock[Item code])-MIN(ROW(tblStock[Item code]))+1),ROWS(D$3:D34))),"")</f>
        <v/>
      </c>
      <c r="E34">
        <f t="array" ref="E34">IFERROR(INDEX(tblStock[Item code],SMALL(IF((tblStock[Zone]="LBL")*(tblStock[Item code]&lt;&gt;""),ROW(tblStock[Item code])-MIN(ROW(tblStock[Item code]))+1),ROWS(E$3:E34))),"")</f>
        <v/>
      </c>
    </row>
    <row r="35">
      <c r="A35">
        <f t="array" ref="A35">IFERROR(INDEX(tblStock[Item code],SMALL(IF(tblStock[Item code]&lt;&gt;"",ROW(tblStock[Item code])-MIN(ROW(tblStock[Item code]))+1),ROWS(A$3:A35))),"")</f>
        <v/>
      </c>
      <c r="B35">
        <f t="array" ref="B35">IFERROR(INDEX(tblStock[Item code],SMALL(IF((tblStock[Zone]="BOX")*(tblStock[Item code]&lt;&gt;""),ROW(tblStock[Item code])-MIN(ROW(tblStock[Item code]))+1),ROWS(B$3:B35))),"")</f>
        <v/>
      </c>
      <c r="C35">
        <f t="array" ref="C35">IFERROR(INDEX(tblStock[Item code],SMALL(IF((tblStock[Zone]="BAG")*(tblStock[Item code]&lt;&gt;""),ROW(tblStock[Item code])-MIN(ROW(tblStock[Item code]))+1),ROWS(C$3:C35))),"")</f>
        <v/>
      </c>
      <c r="D35">
        <f t="array" ref="D35">IFERROR(INDEX(tblStock[Item code],SMALL(IF((tblStock[Zone]="FLM")*(tblStock[Item code]&lt;&gt;""),ROW(tblStock[Item code])-MIN(ROW(tblStock[Item code]))+1),ROWS(D$3:D35))),"")</f>
        <v/>
      </c>
      <c r="E35">
        <f t="array" ref="E35">IFERROR(INDEX(tblStock[Item code],SMALL(IF((tblStock[Zone]="LBL")*(tblStock[Item code]&lt;&gt;""),ROW(tblStock[Item code])-MIN(ROW(tblStock[Item code]))+1),ROWS(E$3:E35))),"")</f>
        <v/>
      </c>
    </row>
    <row r="36">
      <c r="A36">
        <f t="array" ref="A36">IFERROR(INDEX(tblStock[Item code],SMALL(IF(tblStock[Item code]&lt;&gt;"",ROW(tblStock[Item code])-MIN(ROW(tblStock[Item code]))+1),ROWS(A$3:A36))),"")</f>
        <v/>
      </c>
      <c r="B36">
        <f t="array" ref="B36">IFERROR(INDEX(tblStock[Item code],SMALL(IF((tblStock[Zone]="BOX")*(tblStock[Item code]&lt;&gt;""),ROW(tblStock[Item code])-MIN(ROW(tblStock[Item code]))+1),ROWS(B$3:B36))),"")</f>
        <v/>
      </c>
      <c r="C36">
        <f t="array" ref="C36">IFERROR(INDEX(tblStock[Item code],SMALL(IF((tblStock[Zone]="BAG")*(tblStock[Item code]&lt;&gt;""),ROW(tblStock[Item code])-MIN(ROW(tblStock[Item code]))+1),ROWS(C$3:C36))),"")</f>
        <v/>
      </c>
      <c r="D36">
        <f t="array" ref="D36">IFERROR(INDEX(tblStock[Item code],SMALL(IF((tblStock[Zone]="FLM")*(tblStock[Item code]&lt;&gt;""),ROW(tblStock[Item code])-MIN(ROW(tblStock[Item code]))+1),ROWS(D$3:D36))),"")</f>
        <v/>
      </c>
      <c r="E36">
        <f t="array" ref="E36">IFERROR(INDEX(tblStock[Item code],SMALL(IF((tblStock[Zone]="LBL")*(tblStock[Item code]&lt;&gt;""),ROW(tblStock[Item code])-MIN(ROW(tblStock[Item code]))+1),ROWS(E$3:E36))),"")</f>
        <v/>
      </c>
    </row>
    <row r="37">
      <c r="A37">
        <f t="array" ref="A37">IFERROR(INDEX(tblStock[Item code],SMALL(IF(tblStock[Item code]&lt;&gt;"",ROW(tblStock[Item code])-MIN(ROW(tblStock[Item code]))+1),ROWS(A$3:A37))),"")</f>
        <v/>
      </c>
      <c r="B37">
        <f t="array" ref="B37">IFERROR(INDEX(tblStock[Item code],SMALL(IF((tblStock[Zone]="BOX")*(tblStock[Item code]&lt;&gt;""),ROW(tblStock[Item code])-MIN(ROW(tblStock[Item code]))+1),ROWS(B$3:B37))),"")</f>
        <v/>
      </c>
      <c r="C37">
        <f t="array" ref="C37">IFERROR(INDEX(tblStock[Item code],SMALL(IF((tblStock[Zone]="BAG")*(tblStock[Item code]&lt;&gt;""),ROW(tblStock[Item code])-MIN(ROW(tblStock[Item code]))+1),ROWS(C$3:C37))),"")</f>
        <v/>
      </c>
      <c r="D37">
        <f t="array" ref="D37">IFERROR(INDEX(tblStock[Item code],SMALL(IF((tblStock[Zone]="FLM")*(tblStock[Item code]&lt;&gt;""),ROW(tblStock[Item code])-MIN(ROW(tblStock[Item code]))+1),ROWS(D$3:D37))),"")</f>
        <v/>
      </c>
      <c r="E37">
        <f t="array" ref="E37">IFERROR(INDEX(tblStock[Item code],SMALL(IF((tblStock[Zone]="LBL")*(tblStock[Item code]&lt;&gt;""),ROW(tblStock[Item code])-MIN(ROW(tblStock[Item code]))+1),ROWS(E$3:E37))),"")</f>
        <v/>
      </c>
    </row>
    <row r="38">
      <c r="A38">
        <f t="array" ref="A38">IFERROR(INDEX(tblStock[Item code],SMALL(IF(tblStock[Item code]&lt;&gt;"",ROW(tblStock[Item code])-MIN(ROW(tblStock[Item code]))+1),ROWS(A$3:A38))),"")</f>
        <v/>
      </c>
      <c r="B38">
        <f t="array" ref="B38">IFERROR(INDEX(tblStock[Item code],SMALL(IF((tblStock[Zone]="BOX")*(tblStock[Item code]&lt;&gt;""),ROW(tblStock[Item code])-MIN(ROW(tblStock[Item code]))+1),ROWS(B$3:B38))),"")</f>
        <v/>
      </c>
      <c r="C38">
        <f t="array" ref="C38">IFERROR(INDEX(tblStock[Item code],SMALL(IF((tblStock[Zone]="BAG")*(tblStock[Item code]&lt;&gt;""),ROW(tblStock[Item code])-MIN(ROW(tblStock[Item code]))+1),ROWS(C$3:C38))),"")</f>
        <v/>
      </c>
      <c r="D38">
        <f t="array" ref="D38">IFERROR(INDEX(tblStock[Item code],SMALL(IF((tblStock[Zone]="FLM")*(tblStock[Item code]&lt;&gt;""),ROW(tblStock[Item code])-MIN(ROW(tblStock[Item code]))+1),ROWS(D$3:D38))),"")</f>
        <v/>
      </c>
      <c r="E38">
        <f t="array" ref="E38">IFERROR(INDEX(tblStock[Item code],SMALL(IF((tblStock[Zone]="LBL")*(tblStock[Item code]&lt;&gt;""),ROW(tblStock[Item code])-MIN(ROW(tblStock[Item code]))+1),ROWS(E$3:E38))),"")</f>
        <v/>
      </c>
    </row>
    <row r="39">
      <c r="A39">
        <f t="array" ref="A39">IFERROR(INDEX(tblStock[Item code],SMALL(IF(tblStock[Item code]&lt;&gt;"",ROW(tblStock[Item code])-MIN(ROW(tblStock[Item code]))+1),ROWS(A$3:A39))),"")</f>
        <v/>
      </c>
      <c r="B39">
        <f t="array" ref="B39">IFERROR(INDEX(tblStock[Item code],SMALL(IF((tblStock[Zone]="BOX")*(tblStock[Item code]&lt;&gt;""),ROW(tblStock[Item code])-MIN(ROW(tblStock[Item code]))+1),ROWS(B$3:B39))),"")</f>
        <v/>
      </c>
      <c r="C39">
        <f t="array" ref="C39">IFERROR(INDEX(tblStock[Item code],SMALL(IF((tblStock[Zone]="BAG")*(tblStock[Item code]&lt;&gt;""),ROW(tblStock[Item code])-MIN(ROW(tblStock[Item code]))+1),ROWS(C$3:C39))),"")</f>
        <v/>
      </c>
      <c r="D39">
        <f t="array" ref="D39">IFERROR(INDEX(tblStock[Item code],SMALL(IF((tblStock[Zone]="FLM")*(tblStock[Item code]&lt;&gt;""),ROW(tblStock[Item code])-MIN(ROW(tblStock[Item code]))+1),ROWS(D$3:D39))),"")</f>
        <v/>
      </c>
      <c r="E39">
        <f t="array" ref="E39">IFERROR(INDEX(tblStock[Item code],SMALL(IF((tblStock[Zone]="LBL")*(tblStock[Item code]&lt;&gt;""),ROW(tblStock[Item code])-MIN(ROW(tblStock[Item code]))+1),ROWS(E$3:E39))),"")</f>
        <v/>
      </c>
    </row>
    <row r="40">
      <c r="A40">
        <f t="array" ref="A40">IFERROR(INDEX(tblStock[Item code],SMALL(IF(tblStock[Item code]&lt;&gt;"",ROW(tblStock[Item code])-MIN(ROW(tblStock[Item code]))+1),ROWS(A$3:A40))),"")</f>
        <v/>
      </c>
      <c r="B40">
        <f t="array" ref="B40">IFERROR(INDEX(tblStock[Item code],SMALL(IF((tblStock[Zone]="BOX")*(tblStock[Item code]&lt;&gt;""),ROW(tblStock[Item code])-MIN(ROW(tblStock[Item code]))+1),ROWS(B$3:B40))),"")</f>
        <v/>
      </c>
      <c r="C40">
        <f t="array" ref="C40">IFERROR(INDEX(tblStock[Item code],SMALL(IF((tblStock[Zone]="BAG")*(tblStock[Item code]&lt;&gt;""),ROW(tblStock[Item code])-MIN(ROW(tblStock[Item code]))+1),ROWS(C$3:C40))),"")</f>
        <v/>
      </c>
      <c r="D40">
        <f t="array" ref="D40">IFERROR(INDEX(tblStock[Item code],SMALL(IF((tblStock[Zone]="FLM")*(tblStock[Item code]&lt;&gt;""),ROW(tblStock[Item code])-MIN(ROW(tblStock[Item code]))+1),ROWS(D$3:D40))),"")</f>
        <v/>
      </c>
      <c r="E40">
        <f t="array" ref="E40">IFERROR(INDEX(tblStock[Item code],SMALL(IF((tblStock[Zone]="LBL")*(tblStock[Item code]&lt;&gt;""),ROW(tblStock[Item code])-MIN(ROW(tblStock[Item code]))+1),ROWS(E$3:E40))),"")</f>
        <v/>
      </c>
    </row>
    <row r="41">
      <c r="A41">
        <f t="array" ref="A41">IFERROR(INDEX(tblStock[Item code],SMALL(IF(tblStock[Item code]&lt;&gt;"",ROW(tblStock[Item code])-MIN(ROW(tblStock[Item code]))+1),ROWS(A$3:A41))),"")</f>
        <v/>
      </c>
      <c r="B41">
        <f t="array" ref="B41">IFERROR(INDEX(tblStock[Item code],SMALL(IF((tblStock[Zone]="BOX")*(tblStock[Item code]&lt;&gt;""),ROW(tblStock[Item code])-MIN(ROW(tblStock[Item code]))+1),ROWS(B$3:B41))),"")</f>
        <v/>
      </c>
      <c r="C41">
        <f t="array" ref="C41">IFERROR(INDEX(tblStock[Item code],SMALL(IF((tblStock[Zone]="BAG")*(tblStock[Item code]&lt;&gt;""),ROW(tblStock[Item code])-MIN(ROW(tblStock[Item code]))+1),ROWS(C$3:C41))),"")</f>
        <v/>
      </c>
      <c r="D41">
        <f t="array" ref="D41">IFERROR(INDEX(tblStock[Item code],SMALL(IF((tblStock[Zone]="FLM")*(tblStock[Item code]&lt;&gt;""),ROW(tblStock[Item code])-MIN(ROW(tblStock[Item code]))+1),ROWS(D$3:D41))),"")</f>
        <v/>
      </c>
      <c r="E41">
        <f t="array" ref="E41">IFERROR(INDEX(tblStock[Item code],SMALL(IF((tblStock[Zone]="LBL")*(tblStock[Item code]&lt;&gt;""),ROW(tblStock[Item code])-MIN(ROW(tblStock[Item code]))+1),ROWS(E$3:E41))),"")</f>
        <v/>
      </c>
    </row>
    <row r="42">
      <c r="A42">
        <f t="array" ref="A42">IFERROR(INDEX(tblStock[Item code],SMALL(IF(tblStock[Item code]&lt;&gt;"",ROW(tblStock[Item code])-MIN(ROW(tblStock[Item code]))+1),ROWS(A$3:A42))),"")</f>
        <v/>
      </c>
      <c r="B42">
        <f t="array" ref="B42">IFERROR(INDEX(tblStock[Item code],SMALL(IF((tblStock[Zone]="BOX")*(tblStock[Item code]&lt;&gt;""),ROW(tblStock[Item code])-MIN(ROW(tblStock[Item code]))+1),ROWS(B$3:B42))),"")</f>
        <v/>
      </c>
      <c r="C42">
        <f t="array" ref="C42">IFERROR(INDEX(tblStock[Item code],SMALL(IF((tblStock[Zone]="BAG")*(tblStock[Item code]&lt;&gt;""),ROW(tblStock[Item code])-MIN(ROW(tblStock[Item code]))+1),ROWS(C$3:C42))),"")</f>
        <v/>
      </c>
      <c r="D42">
        <f t="array" ref="D42">IFERROR(INDEX(tblStock[Item code],SMALL(IF((tblStock[Zone]="FLM")*(tblStock[Item code]&lt;&gt;""),ROW(tblStock[Item code])-MIN(ROW(tblStock[Item code]))+1),ROWS(D$3:D42))),"")</f>
        <v/>
      </c>
      <c r="E42">
        <f t="array" ref="E42">IFERROR(INDEX(tblStock[Item code],SMALL(IF((tblStock[Zone]="LBL")*(tblStock[Item code]&lt;&gt;""),ROW(tblStock[Item code])-MIN(ROW(tblStock[Item code]))+1),ROWS(E$3:E42))),"")</f>
        <v/>
      </c>
    </row>
    <row r="43">
      <c r="A43">
        <f t="array" ref="A43">IFERROR(INDEX(tblStock[Item code],SMALL(IF(tblStock[Item code]&lt;&gt;"",ROW(tblStock[Item code])-MIN(ROW(tblStock[Item code]))+1),ROWS(A$3:A43))),"")</f>
        <v/>
      </c>
      <c r="B43">
        <f t="array" ref="B43">IFERROR(INDEX(tblStock[Item code],SMALL(IF((tblStock[Zone]="BOX")*(tblStock[Item code]&lt;&gt;""),ROW(tblStock[Item code])-MIN(ROW(tblStock[Item code]))+1),ROWS(B$3:B43))),"")</f>
        <v/>
      </c>
      <c r="C43">
        <f t="array" ref="C43">IFERROR(INDEX(tblStock[Item code],SMALL(IF((tblStock[Zone]="BAG")*(tblStock[Item code]&lt;&gt;""),ROW(tblStock[Item code])-MIN(ROW(tblStock[Item code]))+1),ROWS(C$3:C43))),"")</f>
        <v/>
      </c>
      <c r="D43">
        <f t="array" ref="D43">IFERROR(INDEX(tblStock[Item code],SMALL(IF((tblStock[Zone]="FLM")*(tblStock[Item code]&lt;&gt;""),ROW(tblStock[Item code])-MIN(ROW(tblStock[Item code]))+1),ROWS(D$3:D43))),"")</f>
        <v/>
      </c>
      <c r="E43">
        <f t="array" ref="E43">IFERROR(INDEX(tblStock[Item code],SMALL(IF((tblStock[Zone]="LBL")*(tblStock[Item code]&lt;&gt;""),ROW(tblStock[Item code])-MIN(ROW(tblStock[Item code]))+1),ROWS(E$3:E43))),"")</f>
        <v/>
      </c>
    </row>
    <row r="44">
      <c r="A44">
        <f t="array" ref="A44">IFERROR(INDEX(tblStock[Item code],SMALL(IF(tblStock[Item code]&lt;&gt;"",ROW(tblStock[Item code])-MIN(ROW(tblStock[Item code]))+1),ROWS(A$3:A44))),"")</f>
        <v/>
      </c>
      <c r="B44">
        <f t="array" ref="B44">IFERROR(INDEX(tblStock[Item code],SMALL(IF((tblStock[Zone]="BOX")*(tblStock[Item code]&lt;&gt;""),ROW(tblStock[Item code])-MIN(ROW(tblStock[Item code]))+1),ROWS(B$3:B44))),"")</f>
        <v/>
      </c>
      <c r="C44">
        <f t="array" ref="C44">IFERROR(INDEX(tblStock[Item code],SMALL(IF((tblStock[Zone]="BAG")*(tblStock[Item code]&lt;&gt;""),ROW(tblStock[Item code])-MIN(ROW(tblStock[Item code]))+1),ROWS(C$3:C44))),"")</f>
        <v/>
      </c>
      <c r="D44">
        <f t="array" ref="D44">IFERROR(INDEX(tblStock[Item code],SMALL(IF((tblStock[Zone]="FLM")*(tblStock[Item code]&lt;&gt;""),ROW(tblStock[Item code])-MIN(ROW(tblStock[Item code]))+1),ROWS(D$3:D44))),"")</f>
        <v/>
      </c>
      <c r="E44">
        <f t="array" ref="E44">IFERROR(INDEX(tblStock[Item code],SMALL(IF((tblStock[Zone]="LBL")*(tblStock[Item code]&lt;&gt;""),ROW(tblStock[Item code])-MIN(ROW(tblStock[Item code]))+1),ROWS(E$3:E44))),"")</f>
        <v/>
      </c>
    </row>
    <row r="45">
      <c r="A45">
        <f t="array" ref="A45">IFERROR(INDEX(tblStock[Item code],SMALL(IF(tblStock[Item code]&lt;&gt;"",ROW(tblStock[Item code])-MIN(ROW(tblStock[Item code]))+1),ROWS(A$3:A45))),"")</f>
        <v/>
      </c>
      <c r="B45">
        <f t="array" ref="B45">IFERROR(INDEX(tblStock[Item code],SMALL(IF((tblStock[Zone]="BOX")*(tblStock[Item code]&lt;&gt;""),ROW(tblStock[Item code])-MIN(ROW(tblStock[Item code]))+1),ROWS(B$3:B45))),"")</f>
        <v/>
      </c>
      <c r="C45">
        <f t="array" ref="C45">IFERROR(INDEX(tblStock[Item code],SMALL(IF((tblStock[Zone]="BAG")*(tblStock[Item code]&lt;&gt;""),ROW(tblStock[Item code])-MIN(ROW(tblStock[Item code]))+1),ROWS(C$3:C45))),"")</f>
        <v/>
      </c>
      <c r="D45">
        <f t="array" ref="D45">IFERROR(INDEX(tblStock[Item code],SMALL(IF((tblStock[Zone]="FLM")*(tblStock[Item code]&lt;&gt;""),ROW(tblStock[Item code])-MIN(ROW(tblStock[Item code]))+1),ROWS(D$3:D45))),"")</f>
        <v/>
      </c>
      <c r="E45">
        <f t="array" ref="E45">IFERROR(INDEX(tblStock[Item code],SMALL(IF((tblStock[Zone]="LBL")*(tblStock[Item code]&lt;&gt;""),ROW(tblStock[Item code])-MIN(ROW(tblStock[Item code]))+1),ROWS(E$3:E45))),"")</f>
        <v/>
      </c>
    </row>
    <row r="46">
      <c r="A46">
        <f t="array" ref="A46">IFERROR(INDEX(tblStock[Item code],SMALL(IF(tblStock[Item code]&lt;&gt;"",ROW(tblStock[Item code])-MIN(ROW(tblStock[Item code]))+1),ROWS(A$3:A46))),"")</f>
        <v/>
      </c>
      <c r="B46">
        <f t="array" ref="B46">IFERROR(INDEX(tblStock[Item code],SMALL(IF((tblStock[Zone]="BOX")*(tblStock[Item code]&lt;&gt;""),ROW(tblStock[Item code])-MIN(ROW(tblStock[Item code]))+1),ROWS(B$3:B46))),"")</f>
        <v/>
      </c>
      <c r="C46">
        <f t="array" ref="C46">IFERROR(INDEX(tblStock[Item code],SMALL(IF((tblStock[Zone]="BAG")*(tblStock[Item code]&lt;&gt;""),ROW(tblStock[Item code])-MIN(ROW(tblStock[Item code]))+1),ROWS(C$3:C46))),"")</f>
        <v/>
      </c>
      <c r="D46">
        <f t="array" ref="D46">IFERROR(INDEX(tblStock[Item code],SMALL(IF((tblStock[Zone]="FLM")*(tblStock[Item code]&lt;&gt;""),ROW(tblStock[Item code])-MIN(ROW(tblStock[Item code]))+1),ROWS(D$3:D46))),"")</f>
        <v/>
      </c>
      <c r="E46">
        <f t="array" ref="E46">IFERROR(INDEX(tblStock[Item code],SMALL(IF((tblStock[Zone]="LBL")*(tblStock[Item code]&lt;&gt;""),ROW(tblStock[Item code])-MIN(ROW(tblStock[Item code]))+1),ROWS(E$3:E46))),"")</f>
        <v/>
      </c>
    </row>
    <row r="47">
      <c r="A47">
        <f t="array" ref="A47">IFERROR(INDEX(tblStock[Item code],SMALL(IF(tblStock[Item code]&lt;&gt;"",ROW(tblStock[Item code])-MIN(ROW(tblStock[Item code]))+1),ROWS(A$3:A47))),"")</f>
        <v/>
      </c>
      <c r="B47">
        <f t="array" ref="B47">IFERROR(INDEX(tblStock[Item code],SMALL(IF((tblStock[Zone]="BOX")*(tblStock[Item code]&lt;&gt;""),ROW(tblStock[Item code])-MIN(ROW(tblStock[Item code]))+1),ROWS(B$3:B47))),"")</f>
        <v/>
      </c>
      <c r="C47">
        <f t="array" ref="C47">IFERROR(INDEX(tblStock[Item code],SMALL(IF((tblStock[Zone]="BAG")*(tblStock[Item code]&lt;&gt;""),ROW(tblStock[Item code])-MIN(ROW(tblStock[Item code]))+1),ROWS(C$3:C47))),"")</f>
        <v/>
      </c>
      <c r="D47">
        <f t="array" ref="D47">IFERROR(INDEX(tblStock[Item code],SMALL(IF((tblStock[Zone]="FLM")*(tblStock[Item code]&lt;&gt;""),ROW(tblStock[Item code])-MIN(ROW(tblStock[Item code]))+1),ROWS(D$3:D47))),"")</f>
        <v/>
      </c>
      <c r="E47">
        <f t="array" ref="E47">IFERROR(INDEX(tblStock[Item code],SMALL(IF((tblStock[Zone]="LBL")*(tblStock[Item code]&lt;&gt;""),ROW(tblStock[Item code])-MIN(ROW(tblStock[Item code]))+1),ROWS(E$3:E47))),"")</f>
        <v/>
      </c>
    </row>
    <row r="48">
      <c r="A48">
        <f t="array" ref="A48">IFERROR(INDEX(tblStock[Item code],SMALL(IF(tblStock[Item code]&lt;&gt;"",ROW(tblStock[Item code])-MIN(ROW(tblStock[Item code]))+1),ROWS(A$3:A48))),"")</f>
        <v/>
      </c>
      <c r="B48">
        <f t="array" ref="B48">IFERROR(INDEX(tblStock[Item code],SMALL(IF((tblStock[Zone]="BOX")*(tblStock[Item code]&lt;&gt;""),ROW(tblStock[Item code])-MIN(ROW(tblStock[Item code]))+1),ROWS(B$3:B48))),"")</f>
        <v/>
      </c>
      <c r="C48">
        <f t="array" ref="C48">IFERROR(INDEX(tblStock[Item code],SMALL(IF((tblStock[Zone]="BAG")*(tblStock[Item code]&lt;&gt;""),ROW(tblStock[Item code])-MIN(ROW(tblStock[Item code]))+1),ROWS(C$3:C48))),"")</f>
        <v/>
      </c>
      <c r="D48">
        <f t="array" ref="D48">IFERROR(INDEX(tblStock[Item code],SMALL(IF((tblStock[Zone]="FLM")*(tblStock[Item code]&lt;&gt;""),ROW(tblStock[Item code])-MIN(ROW(tblStock[Item code]))+1),ROWS(D$3:D48))),"")</f>
        <v/>
      </c>
      <c r="E48">
        <f t="array" ref="E48">IFERROR(INDEX(tblStock[Item code],SMALL(IF((tblStock[Zone]="LBL")*(tblStock[Item code]&lt;&gt;""),ROW(tblStock[Item code])-MIN(ROW(tblStock[Item code]))+1),ROWS(E$3:E48))),"")</f>
        <v/>
      </c>
    </row>
    <row r="49">
      <c r="A49">
        <f t="array" ref="A49">IFERROR(INDEX(tblStock[Item code],SMALL(IF(tblStock[Item code]&lt;&gt;"",ROW(tblStock[Item code])-MIN(ROW(tblStock[Item code]))+1),ROWS(A$3:A49))),"")</f>
        <v/>
      </c>
      <c r="B49">
        <f t="array" ref="B49">IFERROR(INDEX(tblStock[Item code],SMALL(IF((tblStock[Zone]="BOX")*(tblStock[Item code]&lt;&gt;""),ROW(tblStock[Item code])-MIN(ROW(tblStock[Item code]))+1),ROWS(B$3:B49))),"")</f>
        <v/>
      </c>
      <c r="C49">
        <f t="array" ref="C49">IFERROR(INDEX(tblStock[Item code],SMALL(IF((tblStock[Zone]="BAG")*(tblStock[Item code]&lt;&gt;""),ROW(tblStock[Item code])-MIN(ROW(tblStock[Item code]))+1),ROWS(C$3:C49))),"")</f>
        <v/>
      </c>
      <c r="D49">
        <f t="array" ref="D49">IFERROR(INDEX(tblStock[Item code],SMALL(IF((tblStock[Zone]="FLM")*(tblStock[Item code]&lt;&gt;""),ROW(tblStock[Item code])-MIN(ROW(tblStock[Item code]))+1),ROWS(D$3:D49))),"")</f>
        <v/>
      </c>
      <c r="E49">
        <f t="array" ref="E49">IFERROR(INDEX(tblStock[Item code],SMALL(IF((tblStock[Zone]="LBL")*(tblStock[Item code]&lt;&gt;""),ROW(tblStock[Item code])-MIN(ROW(tblStock[Item code]))+1),ROWS(E$3:E49))),"")</f>
        <v/>
      </c>
    </row>
    <row r="50">
      <c r="A50">
        <f t="array" ref="A50">IFERROR(INDEX(tblStock[Item code],SMALL(IF(tblStock[Item code]&lt;&gt;"",ROW(tblStock[Item code])-MIN(ROW(tblStock[Item code]))+1),ROWS(A$3:A50))),"")</f>
        <v/>
      </c>
      <c r="B50">
        <f t="array" ref="B50">IFERROR(INDEX(tblStock[Item code],SMALL(IF((tblStock[Zone]="BOX")*(tblStock[Item code]&lt;&gt;""),ROW(tblStock[Item code])-MIN(ROW(tblStock[Item code]))+1),ROWS(B$3:B50))),"")</f>
        <v/>
      </c>
      <c r="C50">
        <f t="array" ref="C50">IFERROR(INDEX(tblStock[Item code],SMALL(IF((tblStock[Zone]="BAG")*(tblStock[Item code]&lt;&gt;""),ROW(tblStock[Item code])-MIN(ROW(tblStock[Item code]))+1),ROWS(C$3:C50))),"")</f>
        <v/>
      </c>
      <c r="D50">
        <f t="array" ref="D50">IFERROR(INDEX(tblStock[Item code],SMALL(IF((tblStock[Zone]="FLM")*(tblStock[Item code]&lt;&gt;""),ROW(tblStock[Item code])-MIN(ROW(tblStock[Item code]))+1),ROWS(D$3:D50))),"")</f>
        <v/>
      </c>
      <c r="E50">
        <f t="array" ref="E50">IFERROR(INDEX(tblStock[Item code],SMALL(IF((tblStock[Zone]="LBL")*(tblStock[Item code]&lt;&gt;""),ROW(tblStock[Item code])-MIN(ROW(tblStock[Item code]))+1),ROWS(E$3:E50))),"")</f>
        <v/>
      </c>
    </row>
    <row r="51">
      <c r="A51">
        <f t="array" ref="A51">IFERROR(INDEX(tblStock[Item code],SMALL(IF(tblStock[Item code]&lt;&gt;"",ROW(tblStock[Item code])-MIN(ROW(tblStock[Item code]))+1),ROWS(A$3:A51))),"")</f>
        <v/>
      </c>
      <c r="B51">
        <f t="array" ref="B51">IFERROR(INDEX(tblStock[Item code],SMALL(IF((tblStock[Zone]="BOX")*(tblStock[Item code]&lt;&gt;""),ROW(tblStock[Item code])-MIN(ROW(tblStock[Item code]))+1),ROWS(B$3:B51))),"")</f>
        <v/>
      </c>
      <c r="C51">
        <f t="array" ref="C51">IFERROR(INDEX(tblStock[Item code],SMALL(IF((tblStock[Zone]="BAG")*(tblStock[Item code]&lt;&gt;""),ROW(tblStock[Item code])-MIN(ROW(tblStock[Item code]))+1),ROWS(C$3:C51))),"")</f>
        <v/>
      </c>
      <c r="D51">
        <f t="array" ref="D51">IFERROR(INDEX(tblStock[Item code],SMALL(IF((tblStock[Zone]="FLM")*(tblStock[Item code]&lt;&gt;""),ROW(tblStock[Item code])-MIN(ROW(tblStock[Item code]))+1),ROWS(D$3:D51))),"")</f>
        <v/>
      </c>
      <c r="E51">
        <f t="array" ref="E51">IFERROR(INDEX(tblStock[Item code],SMALL(IF((tblStock[Zone]="LBL")*(tblStock[Item code]&lt;&gt;""),ROW(tblStock[Item code])-MIN(ROW(tblStock[Item code]))+1),ROWS(E$3:E51))),"")</f>
        <v/>
      </c>
    </row>
    <row r="52">
      <c r="A52">
        <f t="array" ref="A52">IFERROR(INDEX(tblStock[Item code],SMALL(IF(tblStock[Item code]&lt;&gt;"",ROW(tblStock[Item code])-MIN(ROW(tblStock[Item code]))+1),ROWS(A$3:A52))),"")</f>
        <v/>
      </c>
      <c r="B52">
        <f t="array" ref="B52">IFERROR(INDEX(tblStock[Item code],SMALL(IF((tblStock[Zone]="BOX")*(tblStock[Item code]&lt;&gt;""),ROW(tblStock[Item code])-MIN(ROW(tblStock[Item code]))+1),ROWS(B$3:B52))),"")</f>
        <v/>
      </c>
      <c r="C52">
        <f t="array" ref="C52">IFERROR(INDEX(tblStock[Item code],SMALL(IF((tblStock[Zone]="BAG")*(tblStock[Item code]&lt;&gt;""),ROW(tblStock[Item code])-MIN(ROW(tblStock[Item code]))+1),ROWS(C$3:C52))),"")</f>
        <v/>
      </c>
      <c r="D52">
        <f t="array" ref="D52">IFERROR(INDEX(tblStock[Item code],SMALL(IF((tblStock[Zone]="FLM")*(tblStock[Item code]&lt;&gt;""),ROW(tblStock[Item code])-MIN(ROW(tblStock[Item code]))+1),ROWS(D$3:D52))),"")</f>
        <v/>
      </c>
      <c r="E52">
        <f t="array" ref="E52">IFERROR(INDEX(tblStock[Item code],SMALL(IF((tblStock[Zone]="LBL")*(tblStock[Item code]&lt;&gt;""),ROW(tblStock[Item code])-MIN(ROW(tblStock[Item code]))+1),ROWS(E$3:E52))),"")</f>
        <v/>
      </c>
    </row>
    <row r="53">
      <c r="A53">
        <f t="array" ref="A53">IFERROR(INDEX(tblStock[Item code],SMALL(IF(tblStock[Item code]&lt;&gt;"",ROW(tblStock[Item code])-MIN(ROW(tblStock[Item code]))+1),ROWS(A$3:A53))),"")</f>
        <v/>
      </c>
      <c r="B53">
        <f t="array" ref="B53">IFERROR(INDEX(tblStock[Item code],SMALL(IF((tblStock[Zone]="BOX")*(tblStock[Item code]&lt;&gt;""),ROW(tblStock[Item code])-MIN(ROW(tblStock[Item code]))+1),ROWS(B$3:B53))),"")</f>
        <v/>
      </c>
      <c r="C53">
        <f t="array" ref="C53">IFERROR(INDEX(tblStock[Item code],SMALL(IF((tblStock[Zone]="BAG")*(tblStock[Item code]&lt;&gt;""),ROW(tblStock[Item code])-MIN(ROW(tblStock[Item code]))+1),ROWS(C$3:C53))),"")</f>
        <v/>
      </c>
      <c r="D53">
        <f t="array" ref="D53">IFERROR(INDEX(tblStock[Item code],SMALL(IF((tblStock[Zone]="FLM")*(tblStock[Item code]&lt;&gt;""),ROW(tblStock[Item code])-MIN(ROW(tblStock[Item code]))+1),ROWS(D$3:D53))),"")</f>
        <v/>
      </c>
      <c r="E53">
        <f t="array" ref="E53">IFERROR(INDEX(tblStock[Item code],SMALL(IF((tblStock[Zone]="LBL")*(tblStock[Item code]&lt;&gt;""),ROW(tblStock[Item code])-MIN(ROW(tblStock[Item code]))+1),ROWS(E$3:E53))),"")</f>
        <v/>
      </c>
    </row>
    <row r="54">
      <c r="A54">
        <f t="array" ref="A54">IFERROR(INDEX(tblStock[Item code],SMALL(IF(tblStock[Item code]&lt;&gt;"",ROW(tblStock[Item code])-MIN(ROW(tblStock[Item code]))+1),ROWS(A$3:A54))),"")</f>
        <v/>
      </c>
      <c r="B54">
        <f t="array" ref="B54">IFERROR(INDEX(tblStock[Item code],SMALL(IF((tblStock[Zone]="BOX")*(tblStock[Item code]&lt;&gt;""),ROW(tblStock[Item code])-MIN(ROW(tblStock[Item code]))+1),ROWS(B$3:B54))),"")</f>
        <v/>
      </c>
      <c r="C54">
        <f t="array" ref="C54">IFERROR(INDEX(tblStock[Item code],SMALL(IF((tblStock[Zone]="BAG")*(tblStock[Item code]&lt;&gt;""),ROW(tblStock[Item code])-MIN(ROW(tblStock[Item code]))+1),ROWS(C$3:C54))),"")</f>
        <v/>
      </c>
      <c r="D54">
        <f t="array" ref="D54">IFERROR(INDEX(tblStock[Item code],SMALL(IF((tblStock[Zone]="FLM")*(tblStock[Item code]&lt;&gt;""),ROW(tblStock[Item code])-MIN(ROW(tblStock[Item code]))+1),ROWS(D$3:D54))),"")</f>
        <v/>
      </c>
      <c r="E54">
        <f t="array" ref="E54">IFERROR(INDEX(tblStock[Item code],SMALL(IF((tblStock[Zone]="LBL")*(tblStock[Item code]&lt;&gt;""),ROW(tblStock[Item code])-MIN(ROW(tblStock[Item code]))+1),ROWS(E$3:E54))),"")</f>
        <v/>
      </c>
    </row>
    <row r="55">
      <c r="A55">
        <f t="array" ref="A55">IFERROR(INDEX(tblStock[Item code],SMALL(IF(tblStock[Item code]&lt;&gt;"",ROW(tblStock[Item code])-MIN(ROW(tblStock[Item code]))+1),ROWS(A$3:A55))),"")</f>
        <v/>
      </c>
      <c r="B55">
        <f t="array" ref="B55">IFERROR(INDEX(tblStock[Item code],SMALL(IF((tblStock[Zone]="BOX")*(tblStock[Item code]&lt;&gt;""),ROW(tblStock[Item code])-MIN(ROW(tblStock[Item code]))+1),ROWS(B$3:B55))),"")</f>
        <v/>
      </c>
      <c r="C55">
        <f t="array" ref="C55">IFERROR(INDEX(tblStock[Item code],SMALL(IF((tblStock[Zone]="BAG")*(tblStock[Item code]&lt;&gt;""),ROW(tblStock[Item code])-MIN(ROW(tblStock[Item code]))+1),ROWS(C$3:C55))),"")</f>
        <v/>
      </c>
      <c r="D55">
        <f t="array" ref="D55">IFERROR(INDEX(tblStock[Item code],SMALL(IF((tblStock[Zone]="FLM")*(tblStock[Item code]&lt;&gt;""),ROW(tblStock[Item code])-MIN(ROW(tblStock[Item code]))+1),ROWS(D$3:D55))),"")</f>
        <v/>
      </c>
      <c r="E55">
        <f t="array" ref="E55">IFERROR(INDEX(tblStock[Item code],SMALL(IF((tblStock[Zone]="LBL")*(tblStock[Item code]&lt;&gt;""),ROW(tblStock[Item code])-MIN(ROW(tblStock[Item code]))+1),ROWS(E$3:E55))),"")</f>
        <v/>
      </c>
    </row>
    <row r="56">
      <c r="A56">
        <f t="array" ref="A56">IFERROR(INDEX(tblStock[Item code],SMALL(IF(tblStock[Item code]&lt;&gt;"",ROW(tblStock[Item code])-MIN(ROW(tblStock[Item code]))+1),ROWS(A$3:A56))),"")</f>
        <v/>
      </c>
      <c r="B56">
        <f t="array" ref="B56">IFERROR(INDEX(tblStock[Item code],SMALL(IF((tblStock[Zone]="BOX")*(tblStock[Item code]&lt;&gt;""),ROW(tblStock[Item code])-MIN(ROW(tblStock[Item code]))+1),ROWS(B$3:B56))),"")</f>
        <v/>
      </c>
      <c r="C56">
        <f t="array" ref="C56">IFERROR(INDEX(tblStock[Item code],SMALL(IF((tblStock[Zone]="BAG")*(tblStock[Item code]&lt;&gt;""),ROW(tblStock[Item code])-MIN(ROW(tblStock[Item code]))+1),ROWS(C$3:C56))),"")</f>
        <v/>
      </c>
      <c r="D56">
        <f t="array" ref="D56">IFERROR(INDEX(tblStock[Item code],SMALL(IF((tblStock[Zone]="FLM")*(tblStock[Item code]&lt;&gt;""),ROW(tblStock[Item code])-MIN(ROW(tblStock[Item code]))+1),ROWS(D$3:D56))),"")</f>
        <v/>
      </c>
      <c r="E56">
        <f t="array" ref="E56">IFERROR(INDEX(tblStock[Item code],SMALL(IF((tblStock[Zone]="LBL")*(tblStock[Item code]&lt;&gt;""),ROW(tblStock[Item code])-MIN(ROW(tblStock[Item code]))+1),ROWS(E$3:E56))),"")</f>
        <v/>
      </c>
    </row>
    <row r="57">
      <c r="A57">
        <f t="array" ref="A57">IFERROR(INDEX(tblStock[Item code],SMALL(IF(tblStock[Item code]&lt;&gt;"",ROW(tblStock[Item code])-MIN(ROW(tblStock[Item code]))+1),ROWS(A$3:A57))),"")</f>
        <v/>
      </c>
      <c r="B57">
        <f t="array" ref="B57">IFERROR(INDEX(tblStock[Item code],SMALL(IF((tblStock[Zone]="BOX")*(tblStock[Item code]&lt;&gt;""),ROW(tblStock[Item code])-MIN(ROW(tblStock[Item code]))+1),ROWS(B$3:B57))),"")</f>
        <v/>
      </c>
      <c r="C57">
        <f t="array" ref="C57">IFERROR(INDEX(tblStock[Item code],SMALL(IF((tblStock[Zone]="BAG")*(tblStock[Item code]&lt;&gt;""),ROW(tblStock[Item code])-MIN(ROW(tblStock[Item code]))+1),ROWS(C$3:C57))),"")</f>
        <v/>
      </c>
      <c r="D57">
        <f t="array" ref="D57">IFERROR(INDEX(tblStock[Item code],SMALL(IF((tblStock[Zone]="FLM")*(tblStock[Item code]&lt;&gt;""),ROW(tblStock[Item code])-MIN(ROW(tblStock[Item code]))+1),ROWS(D$3:D57))),"")</f>
        <v/>
      </c>
      <c r="E57">
        <f t="array" ref="E57">IFERROR(INDEX(tblStock[Item code],SMALL(IF((tblStock[Zone]="LBL")*(tblStock[Item code]&lt;&gt;""),ROW(tblStock[Item code])-MIN(ROW(tblStock[Item code]))+1),ROWS(E$3:E57))),"")</f>
        <v/>
      </c>
    </row>
    <row r="58">
      <c r="A58">
        <f t="array" ref="A58">IFERROR(INDEX(tblStock[Item code],SMALL(IF(tblStock[Item code]&lt;&gt;"",ROW(tblStock[Item code])-MIN(ROW(tblStock[Item code]))+1),ROWS(A$3:A58))),"")</f>
        <v/>
      </c>
      <c r="B58">
        <f t="array" ref="B58">IFERROR(INDEX(tblStock[Item code],SMALL(IF((tblStock[Zone]="BOX")*(tblStock[Item code]&lt;&gt;""),ROW(tblStock[Item code])-MIN(ROW(tblStock[Item code]))+1),ROWS(B$3:B58))),"")</f>
        <v/>
      </c>
      <c r="C58">
        <f t="array" ref="C58">IFERROR(INDEX(tblStock[Item code],SMALL(IF((tblStock[Zone]="BAG")*(tblStock[Item code]&lt;&gt;""),ROW(tblStock[Item code])-MIN(ROW(tblStock[Item code]))+1),ROWS(C$3:C58))),"")</f>
        <v/>
      </c>
      <c r="D58">
        <f t="array" ref="D58">IFERROR(INDEX(tblStock[Item code],SMALL(IF((tblStock[Zone]="FLM")*(tblStock[Item code]&lt;&gt;""),ROW(tblStock[Item code])-MIN(ROW(tblStock[Item code]))+1),ROWS(D$3:D58))),"")</f>
        <v/>
      </c>
      <c r="E58">
        <f t="array" ref="E58">IFERROR(INDEX(tblStock[Item code],SMALL(IF((tblStock[Zone]="LBL")*(tblStock[Item code]&lt;&gt;""),ROW(tblStock[Item code])-MIN(ROW(tblStock[Item code]))+1),ROWS(E$3:E58))),"")</f>
        <v/>
      </c>
    </row>
    <row r="59">
      <c r="A59">
        <f t="array" ref="A59">IFERROR(INDEX(tblStock[Item code],SMALL(IF(tblStock[Item code]&lt;&gt;"",ROW(tblStock[Item code])-MIN(ROW(tblStock[Item code]))+1),ROWS(A$3:A59))),"")</f>
        <v/>
      </c>
      <c r="B59">
        <f t="array" ref="B59">IFERROR(INDEX(tblStock[Item code],SMALL(IF((tblStock[Zone]="BOX")*(tblStock[Item code]&lt;&gt;""),ROW(tblStock[Item code])-MIN(ROW(tblStock[Item code]))+1),ROWS(B$3:B59))),"")</f>
        <v/>
      </c>
      <c r="C59">
        <f t="array" ref="C59">IFERROR(INDEX(tblStock[Item code],SMALL(IF((tblStock[Zone]="BAG")*(tblStock[Item code]&lt;&gt;""),ROW(tblStock[Item code])-MIN(ROW(tblStock[Item code]))+1),ROWS(C$3:C59))),"")</f>
        <v/>
      </c>
      <c r="D59">
        <f t="array" ref="D59">IFERROR(INDEX(tblStock[Item code],SMALL(IF((tblStock[Zone]="FLM")*(tblStock[Item code]&lt;&gt;""),ROW(tblStock[Item code])-MIN(ROW(tblStock[Item code]))+1),ROWS(D$3:D59))),"")</f>
        <v/>
      </c>
      <c r="E59">
        <f t="array" ref="E59">IFERROR(INDEX(tblStock[Item code],SMALL(IF((tblStock[Zone]="LBL")*(tblStock[Item code]&lt;&gt;""),ROW(tblStock[Item code])-MIN(ROW(tblStock[Item code]))+1),ROWS(E$3:E59))),"")</f>
        <v/>
      </c>
    </row>
    <row r="60">
      <c r="A60">
        <f t="array" ref="A60">IFERROR(INDEX(tblStock[Item code],SMALL(IF(tblStock[Item code]&lt;&gt;"",ROW(tblStock[Item code])-MIN(ROW(tblStock[Item code]))+1),ROWS(A$3:A60))),"")</f>
        <v/>
      </c>
      <c r="B60">
        <f t="array" ref="B60">IFERROR(INDEX(tblStock[Item code],SMALL(IF((tblStock[Zone]="BOX")*(tblStock[Item code]&lt;&gt;""),ROW(tblStock[Item code])-MIN(ROW(tblStock[Item code]))+1),ROWS(B$3:B60))),"")</f>
        <v/>
      </c>
      <c r="C60">
        <f t="array" ref="C60">IFERROR(INDEX(tblStock[Item code],SMALL(IF((tblStock[Zone]="BAG")*(tblStock[Item code]&lt;&gt;""),ROW(tblStock[Item code])-MIN(ROW(tblStock[Item code]))+1),ROWS(C$3:C60))),"")</f>
        <v/>
      </c>
      <c r="D60">
        <f t="array" ref="D60">IFERROR(INDEX(tblStock[Item code],SMALL(IF((tblStock[Zone]="FLM")*(tblStock[Item code]&lt;&gt;""),ROW(tblStock[Item code])-MIN(ROW(tblStock[Item code]))+1),ROWS(D$3:D60))),"")</f>
        <v/>
      </c>
      <c r="E60">
        <f t="array" ref="E60">IFERROR(INDEX(tblStock[Item code],SMALL(IF((tblStock[Zone]="LBL")*(tblStock[Item code]&lt;&gt;""),ROW(tblStock[Item code])-MIN(ROW(tblStock[Item code]))+1),ROWS(E$3:E60))),"")</f>
        <v/>
      </c>
    </row>
    <row r="61">
      <c r="A61">
        <f t="array" ref="A61">IFERROR(INDEX(tblStock[Item code],SMALL(IF(tblStock[Item code]&lt;&gt;"",ROW(tblStock[Item code])-MIN(ROW(tblStock[Item code]))+1),ROWS(A$3:A61))),"")</f>
        <v/>
      </c>
      <c r="B61">
        <f t="array" ref="B61">IFERROR(INDEX(tblStock[Item code],SMALL(IF((tblStock[Zone]="BOX")*(tblStock[Item code]&lt;&gt;""),ROW(tblStock[Item code])-MIN(ROW(tblStock[Item code]))+1),ROWS(B$3:B61))),"")</f>
        <v/>
      </c>
      <c r="C61">
        <f t="array" ref="C61">IFERROR(INDEX(tblStock[Item code],SMALL(IF((tblStock[Zone]="BAG")*(tblStock[Item code]&lt;&gt;""),ROW(tblStock[Item code])-MIN(ROW(tblStock[Item code]))+1),ROWS(C$3:C61))),"")</f>
        <v/>
      </c>
      <c r="D61">
        <f t="array" ref="D61">IFERROR(INDEX(tblStock[Item code],SMALL(IF((tblStock[Zone]="FLM")*(tblStock[Item code]&lt;&gt;""),ROW(tblStock[Item code])-MIN(ROW(tblStock[Item code]))+1),ROWS(D$3:D61))),"")</f>
        <v/>
      </c>
      <c r="E61">
        <f t="array" ref="E61">IFERROR(INDEX(tblStock[Item code],SMALL(IF((tblStock[Zone]="LBL")*(tblStock[Item code]&lt;&gt;""),ROW(tblStock[Item code])-MIN(ROW(tblStock[Item code]))+1),ROWS(E$3:E61))),"")</f>
        <v/>
      </c>
    </row>
    <row r="62">
      <c r="A62">
        <f t="array" ref="A62">IFERROR(INDEX(tblStock[Item code],SMALL(IF(tblStock[Item code]&lt;&gt;"",ROW(tblStock[Item code])-MIN(ROW(tblStock[Item code]))+1),ROWS(A$3:A62))),"")</f>
        <v/>
      </c>
      <c r="B62">
        <f t="array" ref="B62">IFERROR(INDEX(tblStock[Item code],SMALL(IF((tblStock[Zone]="BOX")*(tblStock[Item code]&lt;&gt;""),ROW(tblStock[Item code])-MIN(ROW(tblStock[Item code]))+1),ROWS(B$3:B62))),"")</f>
        <v/>
      </c>
      <c r="C62">
        <f t="array" ref="C62">IFERROR(INDEX(tblStock[Item code],SMALL(IF((tblStock[Zone]="BAG")*(tblStock[Item code]&lt;&gt;""),ROW(tblStock[Item code])-MIN(ROW(tblStock[Item code]))+1),ROWS(C$3:C62))),"")</f>
        <v/>
      </c>
      <c r="D62">
        <f t="array" ref="D62">IFERROR(INDEX(tblStock[Item code],SMALL(IF((tblStock[Zone]="FLM")*(tblStock[Item code]&lt;&gt;""),ROW(tblStock[Item code])-MIN(ROW(tblStock[Item code]))+1),ROWS(D$3:D62))),"")</f>
        <v/>
      </c>
      <c r="E62">
        <f t="array" ref="E62">IFERROR(INDEX(tblStock[Item code],SMALL(IF((tblStock[Zone]="LBL")*(tblStock[Item code]&lt;&gt;""),ROW(tblStock[Item code])-MIN(ROW(tblStock[Item code]))+1),ROWS(E$3:E62))),"")</f>
        <v/>
      </c>
    </row>
    <row r="63">
      <c r="A63">
        <f t="array" ref="A63">IFERROR(INDEX(tblStock[Item code],SMALL(IF(tblStock[Item code]&lt;&gt;"",ROW(tblStock[Item code])-MIN(ROW(tblStock[Item code]))+1),ROWS(A$3:A63))),"")</f>
        <v/>
      </c>
      <c r="B63">
        <f t="array" ref="B63">IFERROR(INDEX(tblStock[Item code],SMALL(IF((tblStock[Zone]="BOX")*(tblStock[Item code]&lt;&gt;""),ROW(tblStock[Item code])-MIN(ROW(tblStock[Item code]))+1),ROWS(B$3:B63))),"")</f>
        <v/>
      </c>
      <c r="C63">
        <f t="array" ref="C63">IFERROR(INDEX(tblStock[Item code],SMALL(IF((tblStock[Zone]="BAG")*(tblStock[Item code]&lt;&gt;""),ROW(tblStock[Item code])-MIN(ROW(tblStock[Item code]))+1),ROWS(C$3:C63))),"")</f>
        <v/>
      </c>
      <c r="D63">
        <f t="array" ref="D63">IFERROR(INDEX(tblStock[Item code],SMALL(IF((tblStock[Zone]="FLM")*(tblStock[Item code]&lt;&gt;""),ROW(tblStock[Item code])-MIN(ROW(tblStock[Item code]))+1),ROWS(D$3:D63))),"")</f>
        <v/>
      </c>
      <c r="E63">
        <f t="array" ref="E63">IFERROR(INDEX(tblStock[Item code],SMALL(IF((tblStock[Zone]="LBL")*(tblStock[Item code]&lt;&gt;""),ROW(tblStock[Item code])-MIN(ROW(tblStock[Item code]))+1),ROWS(E$3:E63))),"")</f>
        <v/>
      </c>
    </row>
    <row r="64">
      <c r="A64">
        <f t="array" ref="A64">IFERROR(INDEX(tblStock[Item code],SMALL(IF(tblStock[Item code]&lt;&gt;"",ROW(tblStock[Item code])-MIN(ROW(tblStock[Item code]))+1),ROWS(A$3:A64))),"")</f>
        <v/>
      </c>
      <c r="B64">
        <f t="array" ref="B64">IFERROR(INDEX(tblStock[Item code],SMALL(IF((tblStock[Zone]="BOX")*(tblStock[Item code]&lt;&gt;""),ROW(tblStock[Item code])-MIN(ROW(tblStock[Item code]))+1),ROWS(B$3:B64))),"")</f>
        <v/>
      </c>
      <c r="C64">
        <f t="array" ref="C64">IFERROR(INDEX(tblStock[Item code],SMALL(IF((tblStock[Zone]="BAG")*(tblStock[Item code]&lt;&gt;""),ROW(tblStock[Item code])-MIN(ROW(tblStock[Item code]))+1),ROWS(C$3:C64))),"")</f>
        <v/>
      </c>
      <c r="D64">
        <f t="array" ref="D64">IFERROR(INDEX(tblStock[Item code],SMALL(IF((tblStock[Zone]="FLM")*(tblStock[Item code]&lt;&gt;""),ROW(tblStock[Item code])-MIN(ROW(tblStock[Item code]))+1),ROWS(D$3:D64))),"")</f>
        <v/>
      </c>
      <c r="E64">
        <f t="array" ref="E64">IFERROR(INDEX(tblStock[Item code],SMALL(IF((tblStock[Zone]="LBL")*(tblStock[Item code]&lt;&gt;""),ROW(tblStock[Item code])-MIN(ROW(tblStock[Item code]))+1),ROWS(E$3:E64))),"")</f>
        <v/>
      </c>
    </row>
    <row r="65">
      <c r="A65">
        <f t="array" ref="A65">IFERROR(INDEX(tblStock[Item code],SMALL(IF(tblStock[Item code]&lt;&gt;"",ROW(tblStock[Item code])-MIN(ROW(tblStock[Item code]))+1),ROWS(A$3:A65))),"")</f>
        <v/>
      </c>
      <c r="B65">
        <f t="array" ref="B65">IFERROR(INDEX(tblStock[Item code],SMALL(IF((tblStock[Zone]="BOX")*(tblStock[Item code]&lt;&gt;""),ROW(tblStock[Item code])-MIN(ROW(tblStock[Item code]))+1),ROWS(B$3:B65))),"")</f>
        <v/>
      </c>
      <c r="C65">
        <f t="array" ref="C65">IFERROR(INDEX(tblStock[Item code],SMALL(IF((tblStock[Zone]="BAG")*(tblStock[Item code]&lt;&gt;""),ROW(tblStock[Item code])-MIN(ROW(tblStock[Item code]))+1),ROWS(C$3:C65))),"")</f>
        <v/>
      </c>
      <c r="D65">
        <f t="array" ref="D65">IFERROR(INDEX(tblStock[Item code],SMALL(IF((tblStock[Zone]="FLM")*(tblStock[Item code]&lt;&gt;""),ROW(tblStock[Item code])-MIN(ROW(tblStock[Item code]))+1),ROWS(D$3:D65))),"")</f>
        <v/>
      </c>
      <c r="E65">
        <f t="array" ref="E65">IFERROR(INDEX(tblStock[Item code],SMALL(IF((tblStock[Zone]="LBL")*(tblStock[Item code]&lt;&gt;""),ROW(tblStock[Item code])-MIN(ROW(tblStock[Item code]))+1),ROWS(E$3:E65))),"")</f>
        <v/>
      </c>
    </row>
    <row r="66">
      <c r="A66">
        <f t="array" ref="A66">IFERROR(INDEX(tblStock[Item code],SMALL(IF(tblStock[Item code]&lt;&gt;"",ROW(tblStock[Item code])-MIN(ROW(tblStock[Item code]))+1),ROWS(A$3:A66))),"")</f>
        <v/>
      </c>
      <c r="B66">
        <f t="array" ref="B66">IFERROR(INDEX(tblStock[Item code],SMALL(IF((tblStock[Zone]="BOX")*(tblStock[Item code]&lt;&gt;""),ROW(tblStock[Item code])-MIN(ROW(tblStock[Item code]))+1),ROWS(B$3:B66))),"")</f>
        <v/>
      </c>
      <c r="C66">
        <f t="array" ref="C66">IFERROR(INDEX(tblStock[Item code],SMALL(IF((tblStock[Zone]="BAG")*(tblStock[Item code]&lt;&gt;""),ROW(tblStock[Item code])-MIN(ROW(tblStock[Item code]))+1),ROWS(C$3:C66))),"")</f>
        <v/>
      </c>
      <c r="D66">
        <f t="array" ref="D66">IFERROR(INDEX(tblStock[Item code],SMALL(IF((tblStock[Zone]="FLM")*(tblStock[Item code]&lt;&gt;""),ROW(tblStock[Item code])-MIN(ROW(tblStock[Item code]))+1),ROWS(D$3:D66))),"")</f>
        <v/>
      </c>
      <c r="E66">
        <f t="array" ref="E66">IFERROR(INDEX(tblStock[Item code],SMALL(IF((tblStock[Zone]="LBL")*(tblStock[Item code]&lt;&gt;""),ROW(tblStock[Item code])-MIN(ROW(tblStock[Item code]))+1),ROWS(E$3:E66))),"")</f>
        <v/>
      </c>
    </row>
    <row r="67">
      <c r="A67">
        <f t="array" ref="A67">IFERROR(INDEX(tblStock[Item code],SMALL(IF(tblStock[Item code]&lt;&gt;"",ROW(tblStock[Item code])-MIN(ROW(tblStock[Item code]))+1),ROWS(A$3:A67))),"")</f>
        <v/>
      </c>
      <c r="B67">
        <f t="array" ref="B67">IFERROR(INDEX(tblStock[Item code],SMALL(IF((tblStock[Zone]="BOX")*(tblStock[Item code]&lt;&gt;""),ROW(tblStock[Item code])-MIN(ROW(tblStock[Item code]))+1),ROWS(B$3:B67))),"")</f>
        <v/>
      </c>
      <c r="C67">
        <f t="array" ref="C67">IFERROR(INDEX(tblStock[Item code],SMALL(IF((tblStock[Zone]="BAG")*(tblStock[Item code]&lt;&gt;""),ROW(tblStock[Item code])-MIN(ROW(tblStock[Item code]))+1),ROWS(C$3:C67))),"")</f>
        <v/>
      </c>
      <c r="D67">
        <f t="array" ref="D67">IFERROR(INDEX(tblStock[Item code],SMALL(IF((tblStock[Zone]="FLM")*(tblStock[Item code]&lt;&gt;""),ROW(tblStock[Item code])-MIN(ROW(tblStock[Item code]))+1),ROWS(D$3:D67))),"")</f>
        <v/>
      </c>
      <c r="E67">
        <f t="array" ref="E67">IFERROR(INDEX(tblStock[Item code],SMALL(IF((tblStock[Zone]="LBL")*(tblStock[Item code]&lt;&gt;""),ROW(tblStock[Item code])-MIN(ROW(tblStock[Item code]))+1),ROWS(E$3:E67))),"")</f>
        <v/>
      </c>
    </row>
    <row r="68">
      <c r="A68">
        <f t="array" ref="A68">IFERROR(INDEX(tblStock[Item code],SMALL(IF(tblStock[Item code]&lt;&gt;"",ROW(tblStock[Item code])-MIN(ROW(tblStock[Item code]))+1),ROWS(A$3:A68))),"")</f>
        <v/>
      </c>
      <c r="B68">
        <f t="array" ref="B68">IFERROR(INDEX(tblStock[Item code],SMALL(IF((tblStock[Zone]="BOX")*(tblStock[Item code]&lt;&gt;""),ROW(tblStock[Item code])-MIN(ROW(tblStock[Item code]))+1),ROWS(B$3:B68))),"")</f>
        <v/>
      </c>
      <c r="C68">
        <f t="array" ref="C68">IFERROR(INDEX(tblStock[Item code],SMALL(IF((tblStock[Zone]="BAG")*(tblStock[Item code]&lt;&gt;""),ROW(tblStock[Item code])-MIN(ROW(tblStock[Item code]))+1),ROWS(C$3:C68))),"")</f>
        <v/>
      </c>
      <c r="D68">
        <f t="array" ref="D68">IFERROR(INDEX(tblStock[Item code],SMALL(IF((tblStock[Zone]="FLM")*(tblStock[Item code]&lt;&gt;""),ROW(tblStock[Item code])-MIN(ROW(tblStock[Item code]))+1),ROWS(D$3:D68))),"")</f>
        <v/>
      </c>
      <c r="E68">
        <f t="array" ref="E68">IFERROR(INDEX(tblStock[Item code],SMALL(IF((tblStock[Zone]="LBL")*(tblStock[Item code]&lt;&gt;""),ROW(tblStock[Item code])-MIN(ROW(tblStock[Item code]))+1),ROWS(E$3:E68))),"")</f>
        <v/>
      </c>
    </row>
    <row r="69">
      <c r="A69">
        <f t="array" ref="A69">IFERROR(INDEX(tblStock[Item code],SMALL(IF(tblStock[Item code]&lt;&gt;"",ROW(tblStock[Item code])-MIN(ROW(tblStock[Item code]))+1),ROWS(A$3:A69))),"")</f>
        <v/>
      </c>
      <c r="B69">
        <f t="array" ref="B69">IFERROR(INDEX(tblStock[Item code],SMALL(IF((tblStock[Zone]="BOX")*(tblStock[Item code]&lt;&gt;""),ROW(tblStock[Item code])-MIN(ROW(tblStock[Item code]))+1),ROWS(B$3:B69))),"")</f>
        <v/>
      </c>
      <c r="C69">
        <f t="array" ref="C69">IFERROR(INDEX(tblStock[Item code],SMALL(IF((tblStock[Zone]="BAG")*(tblStock[Item code]&lt;&gt;""),ROW(tblStock[Item code])-MIN(ROW(tblStock[Item code]))+1),ROWS(C$3:C69))),"")</f>
        <v/>
      </c>
      <c r="D69">
        <f t="array" ref="D69">IFERROR(INDEX(tblStock[Item code],SMALL(IF((tblStock[Zone]="FLM")*(tblStock[Item code]&lt;&gt;""),ROW(tblStock[Item code])-MIN(ROW(tblStock[Item code]))+1),ROWS(D$3:D69))),"")</f>
        <v/>
      </c>
      <c r="E69">
        <f t="array" ref="E69">IFERROR(INDEX(tblStock[Item code],SMALL(IF((tblStock[Zone]="LBL")*(tblStock[Item code]&lt;&gt;""),ROW(tblStock[Item code])-MIN(ROW(tblStock[Item code]))+1),ROWS(E$3:E69))),"")</f>
        <v/>
      </c>
    </row>
    <row r="70">
      <c r="A70">
        <f t="array" ref="A70">IFERROR(INDEX(tblStock[Item code],SMALL(IF(tblStock[Item code]&lt;&gt;"",ROW(tblStock[Item code])-MIN(ROW(tblStock[Item code]))+1),ROWS(A$3:A70))),"")</f>
        <v/>
      </c>
      <c r="B70">
        <f t="array" ref="B70">IFERROR(INDEX(tblStock[Item code],SMALL(IF((tblStock[Zone]="BOX")*(tblStock[Item code]&lt;&gt;""),ROW(tblStock[Item code])-MIN(ROW(tblStock[Item code]))+1),ROWS(B$3:B70))),"")</f>
        <v/>
      </c>
      <c r="C70">
        <f t="array" ref="C70">IFERROR(INDEX(tblStock[Item code],SMALL(IF((tblStock[Zone]="BAG")*(tblStock[Item code]&lt;&gt;""),ROW(tblStock[Item code])-MIN(ROW(tblStock[Item code]))+1),ROWS(C$3:C70))),"")</f>
        <v/>
      </c>
      <c r="D70">
        <f t="array" ref="D70">IFERROR(INDEX(tblStock[Item code],SMALL(IF((tblStock[Zone]="FLM")*(tblStock[Item code]&lt;&gt;""),ROW(tblStock[Item code])-MIN(ROW(tblStock[Item code]))+1),ROWS(D$3:D70))),"")</f>
        <v/>
      </c>
      <c r="E70">
        <f t="array" ref="E70">IFERROR(INDEX(tblStock[Item code],SMALL(IF((tblStock[Zone]="LBL")*(tblStock[Item code]&lt;&gt;""),ROW(tblStock[Item code])-MIN(ROW(tblStock[Item code]))+1),ROWS(E$3:E70))),"")</f>
        <v/>
      </c>
    </row>
    <row r="71">
      <c r="A71">
        <f t="array" ref="A71">IFERROR(INDEX(tblStock[Item code],SMALL(IF(tblStock[Item code]&lt;&gt;"",ROW(tblStock[Item code])-MIN(ROW(tblStock[Item code]))+1),ROWS(A$3:A71))),"")</f>
        <v/>
      </c>
      <c r="B71">
        <f t="array" ref="B71">IFERROR(INDEX(tblStock[Item code],SMALL(IF((tblStock[Zone]="BOX")*(tblStock[Item code]&lt;&gt;""),ROW(tblStock[Item code])-MIN(ROW(tblStock[Item code]))+1),ROWS(B$3:B71))),"")</f>
        <v/>
      </c>
      <c r="C71">
        <f t="array" ref="C71">IFERROR(INDEX(tblStock[Item code],SMALL(IF((tblStock[Zone]="BAG")*(tblStock[Item code]&lt;&gt;""),ROW(tblStock[Item code])-MIN(ROW(tblStock[Item code]))+1),ROWS(C$3:C71))),"")</f>
        <v/>
      </c>
      <c r="D71">
        <f t="array" ref="D71">IFERROR(INDEX(tblStock[Item code],SMALL(IF((tblStock[Zone]="FLM")*(tblStock[Item code]&lt;&gt;""),ROW(tblStock[Item code])-MIN(ROW(tblStock[Item code]))+1),ROWS(D$3:D71))),"")</f>
        <v/>
      </c>
      <c r="E71">
        <f t="array" ref="E71">IFERROR(INDEX(tblStock[Item code],SMALL(IF((tblStock[Zone]="LBL")*(tblStock[Item code]&lt;&gt;""),ROW(tblStock[Item code])-MIN(ROW(tblStock[Item code]))+1),ROWS(E$3:E71))),"")</f>
        <v/>
      </c>
    </row>
    <row r="72">
      <c r="A72">
        <f t="array" ref="A72">IFERROR(INDEX(tblStock[Item code],SMALL(IF(tblStock[Item code]&lt;&gt;"",ROW(tblStock[Item code])-MIN(ROW(tblStock[Item code]))+1),ROWS(A$3:A72))),"")</f>
        <v/>
      </c>
      <c r="B72">
        <f t="array" ref="B72">IFERROR(INDEX(tblStock[Item code],SMALL(IF((tblStock[Zone]="BOX")*(tblStock[Item code]&lt;&gt;""),ROW(tblStock[Item code])-MIN(ROW(tblStock[Item code]))+1),ROWS(B$3:B72))),"")</f>
        <v/>
      </c>
      <c r="C72">
        <f t="array" ref="C72">IFERROR(INDEX(tblStock[Item code],SMALL(IF((tblStock[Zone]="BAG")*(tblStock[Item code]&lt;&gt;""),ROW(tblStock[Item code])-MIN(ROW(tblStock[Item code]))+1),ROWS(C$3:C72))),"")</f>
        <v/>
      </c>
      <c r="D72">
        <f t="array" ref="D72">IFERROR(INDEX(tblStock[Item code],SMALL(IF((tblStock[Zone]="FLM")*(tblStock[Item code]&lt;&gt;""),ROW(tblStock[Item code])-MIN(ROW(tblStock[Item code]))+1),ROWS(D$3:D72))),"")</f>
        <v/>
      </c>
      <c r="E72">
        <f t="array" ref="E72">IFERROR(INDEX(tblStock[Item code],SMALL(IF((tblStock[Zone]="LBL")*(tblStock[Item code]&lt;&gt;""),ROW(tblStock[Item code])-MIN(ROW(tblStock[Item code]))+1),ROWS(E$3:E72))),"")</f>
        <v/>
      </c>
    </row>
    <row r="73">
      <c r="A73">
        <f t="array" ref="A73">IFERROR(INDEX(tblStock[Item code],SMALL(IF(tblStock[Item code]&lt;&gt;"",ROW(tblStock[Item code])-MIN(ROW(tblStock[Item code]))+1),ROWS(A$3:A73))),"")</f>
        <v/>
      </c>
      <c r="B73">
        <f t="array" ref="B73">IFERROR(INDEX(tblStock[Item code],SMALL(IF((tblStock[Zone]="BOX")*(tblStock[Item code]&lt;&gt;""),ROW(tblStock[Item code])-MIN(ROW(tblStock[Item code]))+1),ROWS(B$3:B73))),"")</f>
        <v/>
      </c>
      <c r="C73">
        <f t="array" ref="C73">IFERROR(INDEX(tblStock[Item code],SMALL(IF((tblStock[Zone]="BAG")*(tblStock[Item code]&lt;&gt;""),ROW(tblStock[Item code])-MIN(ROW(tblStock[Item code]))+1),ROWS(C$3:C73))),"")</f>
        <v/>
      </c>
      <c r="D73">
        <f t="array" ref="D73">IFERROR(INDEX(tblStock[Item code],SMALL(IF((tblStock[Zone]="FLM")*(tblStock[Item code]&lt;&gt;""),ROW(tblStock[Item code])-MIN(ROW(tblStock[Item code]))+1),ROWS(D$3:D73))),"")</f>
        <v/>
      </c>
      <c r="E73">
        <f t="array" ref="E73">IFERROR(INDEX(tblStock[Item code],SMALL(IF((tblStock[Zone]="LBL")*(tblStock[Item code]&lt;&gt;""),ROW(tblStock[Item code])-MIN(ROW(tblStock[Item code]))+1),ROWS(E$3:E73))),"")</f>
        <v/>
      </c>
    </row>
    <row r="74">
      <c r="A74">
        <f t="array" ref="A74">IFERROR(INDEX(tblStock[Item code],SMALL(IF(tblStock[Item code]&lt;&gt;"",ROW(tblStock[Item code])-MIN(ROW(tblStock[Item code]))+1),ROWS(A$3:A74))),"")</f>
        <v/>
      </c>
      <c r="B74">
        <f t="array" ref="B74">IFERROR(INDEX(tblStock[Item code],SMALL(IF((tblStock[Zone]="BOX")*(tblStock[Item code]&lt;&gt;""),ROW(tblStock[Item code])-MIN(ROW(tblStock[Item code]))+1),ROWS(B$3:B74))),"")</f>
        <v/>
      </c>
      <c r="C74">
        <f t="array" ref="C74">IFERROR(INDEX(tblStock[Item code],SMALL(IF((tblStock[Zone]="BAG")*(tblStock[Item code]&lt;&gt;""),ROW(tblStock[Item code])-MIN(ROW(tblStock[Item code]))+1),ROWS(C$3:C74))),"")</f>
        <v/>
      </c>
      <c r="D74">
        <f t="array" ref="D74">IFERROR(INDEX(tblStock[Item code],SMALL(IF((tblStock[Zone]="FLM")*(tblStock[Item code]&lt;&gt;""),ROW(tblStock[Item code])-MIN(ROW(tblStock[Item code]))+1),ROWS(D$3:D74))),"")</f>
        <v/>
      </c>
      <c r="E74">
        <f t="array" ref="E74">IFERROR(INDEX(tblStock[Item code],SMALL(IF((tblStock[Zone]="LBL")*(tblStock[Item code]&lt;&gt;""),ROW(tblStock[Item code])-MIN(ROW(tblStock[Item code]))+1),ROWS(E$3:E74))),"")</f>
        <v/>
      </c>
    </row>
    <row r="75">
      <c r="A75">
        <f t="array" ref="A75">IFERROR(INDEX(tblStock[Item code],SMALL(IF(tblStock[Item code]&lt;&gt;"",ROW(tblStock[Item code])-MIN(ROW(tblStock[Item code]))+1),ROWS(A$3:A75))),"")</f>
        <v/>
      </c>
      <c r="B75">
        <f t="array" ref="B75">IFERROR(INDEX(tblStock[Item code],SMALL(IF((tblStock[Zone]="BOX")*(tblStock[Item code]&lt;&gt;""),ROW(tblStock[Item code])-MIN(ROW(tblStock[Item code]))+1),ROWS(B$3:B75))),"")</f>
        <v/>
      </c>
      <c r="C75">
        <f t="array" ref="C75">IFERROR(INDEX(tblStock[Item code],SMALL(IF((tblStock[Zone]="BAG")*(tblStock[Item code]&lt;&gt;""),ROW(tblStock[Item code])-MIN(ROW(tblStock[Item code]))+1),ROWS(C$3:C75))),"")</f>
        <v/>
      </c>
      <c r="D75">
        <f t="array" ref="D75">IFERROR(INDEX(tblStock[Item code],SMALL(IF((tblStock[Zone]="FLM")*(tblStock[Item code]&lt;&gt;""),ROW(tblStock[Item code])-MIN(ROW(tblStock[Item code]))+1),ROWS(D$3:D75))),"")</f>
        <v/>
      </c>
      <c r="E75">
        <f t="array" ref="E75">IFERROR(INDEX(tblStock[Item code],SMALL(IF((tblStock[Zone]="LBL")*(tblStock[Item code]&lt;&gt;""),ROW(tblStock[Item code])-MIN(ROW(tblStock[Item code]))+1),ROWS(E$3:E75))),"")</f>
        <v/>
      </c>
    </row>
    <row r="76">
      <c r="A76">
        <f t="array" ref="A76">IFERROR(INDEX(tblStock[Item code],SMALL(IF(tblStock[Item code]&lt;&gt;"",ROW(tblStock[Item code])-MIN(ROW(tblStock[Item code]))+1),ROWS(A$3:A76))),"")</f>
        <v/>
      </c>
      <c r="B76">
        <f t="array" ref="B76">IFERROR(INDEX(tblStock[Item code],SMALL(IF((tblStock[Zone]="BOX")*(tblStock[Item code]&lt;&gt;""),ROW(tblStock[Item code])-MIN(ROW(tblStock[Item code]))+1),ROWS(B$3:B76))),"")</f>
        <v/>
      </c>
      <c r="C76">
        <f t="array" ref="C76">IFERROR(INDEX(tblStock[Item code],SMALL(IF((tblStock[Zone]="BAG")*(tblStock[Item code]&lt;&gt;""),ROW(tblStock[Item code])-MIN(ROW(tblStock[Item code]))+1),ROWS(C$3:C76))),"")</f>
        <v/>
      </c>
      <c r="D76">
        <f t="array" ref="D76">IFERROR(INDEX(tblStock[Item code],SMALL(IF((tblStock[Zone]="FLM")*(tblStock[Item code]&lt;&gt;""),ROW(tblStock[Item code])-MIN(ROW(tblStock[Item code]))+1),ROWS(D$3:D76))),"")</f>
        <v/>
      </c>
      <c r="E76">
        <f t="array" ref="E76">IFERROR(INDEX(tblStock[Item code],SMALL(IF((tblStock[Zone]="LBL")*(tblStock[Item code]&lt;&gt;""),ROW(tblStock[Item code])-MIN(ROW(tblStock[Item code]))+1),ROWS(E$3:E76))),"")</f>
        <v/>
      </c>
    </row>
    <row r="77">
      <c r="A77">
        <f t="array" ref="A77">IFERROR(INDEX(tblStock[Item code],SMALL(IF(tblStock[Item code]&lt;&gt;"",ROW(tblStock[Item code])-MIN(ROW(tblStock[Item code]))+1),ROWS(A$3:A77))),"")</f>
        <v/>
      </c>
      <c r="B77">
        <f t="array" ref="B77">IFERROR(INDEX(tblStock[Item code],SMALL(IF((tblStock[Zone]="BOX")*(tblStock[Item code]&lt;&gt;""),ROW(tblStock[Item code])-MIN(ROW(tblStock[Item code]))+1),ROWS(B$3:B77))),"")</f>
        <v/>
      </c>
      <c r="C77">
        <f t="array" ref="C77">IFERROR(INDEX(tblStock[Item code],SMALL(IF((tblStock[Zone]="BAG")*(tblStock[Item code]&lt;&gt;""),ROW(tblStock[Item code])-MIN(ROW(tblStock[Item code]))+1),ROWS(C$3:C77))),"")</f>
        <v/>
      </c>
      <c r="D77">
        <f t="array" ref="D77">IFERROR(INDEX(tblStock[Item code],SMALL(IF((tblStock[Zone]="FLM")*(tblStock[Item code]&lt;&gt;""),ROW(tblStock[Item code])-MIN(ROW(tblStock[Item code]))+1),ROWS(D$3:D77))),"")</f>
        <v/>
      </c>
      <c r="E77">
        <f t="array" ref="E77">IFERROR(INDEX(tblStock[Item code],SMALL(IF((tblStock[Zone]="LBL")*(tblStock[Item code]&lt;&gt;""),ROW(tblStock[Item code])-MIN(ROW(tblStock[Item code]))+1),ROWS(E$3:E77))),"")</f>
        <v/>
      </c>
    </row>
    <row r="78">
      <c r="A78">
        <f t="array" ref="A78">IFERROR(INDEX(tblStock[Item code],SMALL(IF(tblStock[Item code]&lt;&gt;"",ROW(tblStock[Item code])-MIN(ROW(tblStock[Item code]))+1),ROWS(A$3:A78))),"")</f>
        <v/>
      </c>
      <c r="B78">
        <f t="array" ref="B78">IFERROR(INDEX(tblStock[Item code],SMALL(IF((tblStock[Zone]="BOX")*(tblStock[Item code]&lt;&gt;""),ROW(tblStock[Item code])-MIN(ROW(tblStock[Item code]))+1),ROWS(B$3:B78))),"")</f>
        <v/>
      </c>
      <c r="C78">
        <f t="array" ref="C78">IFERROR(INDEX(tblStock[Item code],SMALL(IF((tblStock[Zone]="BAG")*(tblStock[Item code]&lt;&gt;""),ROW(tblStock[Item code])-MIN(ROW(tblStock[Item code]))+1),ROWS(C$3:C78))),"")</f>
        <v/>
      </c>
      <c r="D78">
        <f t="array" ref="D78">IFERROR(INDEX(tblStock[Item code],SMALL(IF((tblStock[Zone]="FLM")*(tblStock[Item code]&lt;&gt;""),ROW(tblStock[Item code])-MIN(ROW(tblStock[Item code]))+1),ROWS(D$3:D78))),"")</f>
        <v/>
      </c>
      <c r="E78">
        <f t="array" ref="E78">IFERROR(INDEX(tblStock[Item code],SMALL(IF((tblStock[Zone]="LBL")*(tblStock[Item code]&lt;&gt;""),ROW(tblStock[Item code])-MIN(ROW(tblStock[Item code]))+1),ROWS(E$3:E78))),"")</f>
        <v/>
      </c>
    </row>
    <row r="79">
      <c r="A79">
        <f t="array" ref="A79">IFERROR(INDEX(tblStock[Item code],SMALL(IF(tblStock[Item code]&lt;&gt;"",ROW(tblStock[Item code])-MIN(ROW(tblStock[Item code]))+1),ROWS(A$3:A79))),"")</f>
        <v/>
      </c>
      <c r="B79">
        <f t="array" ref="B79">IFERROR(INDEX(tblStock[Item code],SMALL(IF((tblStock[Zone]="BOX")*(tblStock[Item code]&lt;&gt;""),ROW(tblStock[Item code])-MIN(ROW(tblStock[Item code]))+1),ROWS(B$3:B79))),"")</f>
        <v/>
      </c>
      <c r="C79">
        <f t="array" ref="C79">IFERROR(INDEX(tblStock[Item code],SMALL(IF((tblStock[Zone]="BAG")*(tblStock[Item code]&lt;&gt;""),ROW(tblStock[Item code])-MIN(ROW(tblStock[Item code]))+1),ROWS(C$3:C79))),"")</f>
        <v/>
      </c>
      <c r="D79">
        <f t="array" ref="D79">IFERROR(INDEX(tblStock[Item code],SMALL(IF((tblStock[Zone]="FLM")*(tblStock[Item code]&lt;&gt;""),ROW(tblStock[Item code])-MIN(ROW(tblStock[Item code]))+1),ROWS(D$3:D79))),"")</f>
        <v/>
      </c>
      <c r="E79">
        <f t="array" ref="E79">IFERROR(INDEX(tblStock[Item code],SMALL(IF((tblStock[Zone]="LBL")*(tblStock[Item code]&lt;&gt;""),ROW(tblStock[Item code])-MIN(ROW(tblStock[Item code]))+1),ROWS(E$3:E79))),"")</f>
        <v/>
      </c>
    </row>
    <row r="80">
      <c r="A80">
        <f t="array" ref="A80">IFERROR(INDEX(tblStock[Item code],SMALL(IF(tblStock[Item code]&lt;&gt;"",ROW(tblStock[Item code])-MIN(ROW(tblStock[Item code]))+1),ROWS(A$3:A80))),"")</f>
        <v/>
      </c>
      <c r="B80">
        <f t="array" ref="B80">IFERROR(INDEX(tblStock[Item code],SMALL(IF((tblStock[Zone]="BOX")*(tblStock[Item code]&lt;&gt;""),ROW(tblStock[Item code])-MIN(ROW(tblStock[Item code]))+1),ROWS(B$3:B80))),"")</f>
        <v/>
      </c>
      <c r="C80">
        <f t="array" ref="C80">IFERROR(INDEX(tblStock[Item code],SMALL(IF((tblStock[Zone]="BAG")*(tblStock[Item code]&lt;&gt;""),ROW(tblStock[Item code])-MIN(ROW(tblStock[Item code]))+1),ROWS(C$3:C80))),"")</f>
        <v/>
      </c>
      <c r="D80">
        <f t="array" ref="D80">IFERROR(INDEX(tblStock[Item code],SMALL(IF((tblStock[Zone]="FLM")*(tblStock[Item code]&lt;&gt;""),ROW(tblStock[Item code])-MIN(ROW(tblStock[Item code]))+1),ROWS(D$3:D80))),"")</f>
        <v/>
      </c>
      <c r="E80">
        <f t="array" ref="E80">IFERROR(INDEX(tblStock[Item code],SMALL(IF((tblStock[Zone]="LBL")*(tblStock[Item code]&lt;&gt;""),ROW(tblStock[Item code])-MIN(ROW(tblStock[Item code]))+1),ROWS(E$3:E80))),"")</f>
        <v/>
      </c>
    </row>
    <row r="81">
      <c r="A81">
        <f t="array" ref="A81">IFERROR(INDEX(tblStock[Item code],SMALL(IF(tblStock[Item code]&lt;&gt;"",ROW(tblStock[Item code])-MIN(ROW(tblStock[Item code]))+1),ROWS(A$3:A81))),"")</f>
        <v/>
      </c>
      <c r="B81">
        <f t="array" ref="B81">IFERROR(INDEX(tblStock[Item code],SMALL(IF((tblStock[Zone]="BOX")*(tblStock[Item code]&lt;&gt;""),ROW(tblStock[Item code])-MIN(ROW(tblStock[Item code]))+1),ROWS(B$3:B81))),"")</f>
        <v/>
      </c>
      <c r="C81">
        <f t="array" ref="C81">IFERROR(INDEX(tblStock[Item code],SMALL(IF((tblStock[Zone]="BAG")*(tblStock[Item code]&lt;&gt;""),ROW(tblStock[Item code])-MIN(ROW(tblStock[Item code]))+1),ROWS(C$3:C81))),"")</f>
        <v/>
      </c>
      <c r="D81">
        <f t="array" ref="D81">IFERROR(INDEX(tblStock[Item code],SMALL(IF((tblStock[Zone]="FLM")*(tblStock[Item code]&lt;&gt;""),ROW(tblStock[Item code])-MIN(ROW(tblStock[Item code]))+1),ROWS(D$3:D81))),"")</f>
        <v/>
      </c>
      <c r="E81">
        <f t="array" ref="E81">IFERROR(INDEX(tblStock[Item code],SMALL(IF((tblStock[Zone]="LBL")*(tblStock[Item code]&lt;&gt;""),ROW(tblStock[Item code])-MIN(ROW(tblStock[Item code]))+1),ROWS(E$3:E81))),"")</f>
        <v/>
      </c>
    </row>
    <row r="82">
      <c r="A82">
        <f t="array" ref="A82">IFERROR(INDEX(tblStock[Item code],SMALL(IF(tblStock[Item code]&lt;&gt;"",ROW(tblStock[Item code])-MIN(ROW(tblStock[Item code]))+1),ROWS(A$3:A82))),"")</f>
        <v/>
      </c>
      <c r="B82">
        <f t="array" ref="B82">IFERROR(INDEX(tblStock[Item code],SMALL(IF((tblStock[Zone]="BOX")*(tblStock[Item code]&lt;&gt;""),ROW(tblStock[Item code])-MIN(ROW(tblStock[Item code]))+1),ROWS(B$3:B82))),"")</f>
        <v/>
      </c>
      <c r="C82">
        <f t="array" ref="C82">IFERROR(INDEX(tblStock[Item code],SMALL(IF((tblStock[Zone]="BAG")*(tblStock[Item code]&lt;&gt;""),ROW(tblStock[Item code])-MIN(ROW(tblStock[Item code]))+1),ROWS(C$3:C82))),"")</f>
        <v/>
      </c>
      <c r="D82">
        <f t="array" ref="D82">IFERROR(INDEX(tblStock[Item code],SMALL(IF((tblStock[Zone]="FLM")*(tblStock[Item code]&lt;&gt;""),ROW(tblStock[Item code])-MIN(ROW(tblStock[Item code]))+1),ROWS(D$3:D82))),"")</f>
        <v/>
      </c>
      <c r="E82">
        <f t="array" ref="E82">IFERROR(INDEX(tblStock[Item code],SMALL(IF((tblStock[Zone]="LBL")*(tblStock[Item code]&lt;&gt;""),ROW(tblStock[Item code])-MIN(ROW(tblStock[Item code]))+1),ROWS(E$3:E82))),"")</f>
        <v/>
      </c>
    </row>
    <row r="83">
      <c r="A83">
        <f t="array" ref="A83">IFERROR(INDEX(tblStock[Item code],SMALL(IF(tblStock[Item code]&lt;&gt;"",ROW(tblStock[Item code])-MIN(ROW(tblStock[Item code]))+1),ROWS(A$3:A83))),"")</f>
        <v/>
      </c>
      <c r="B83">
        <f t="array" ref="B83">IFERROR(INDEX(tblStock[Item code],SMALL(IF((tblStock[Zone]="BOX")*(tblStock[Item code]&lt;&gt;""),ROW(tblStock[Item code])-MIN(ROW(tblStock[Item code]))+1),ROWS(B$3:B83))),"")</f>
        <v/>
      </c>
      <c r="C83">
        <f t="array" ref="C83">IFERROR(INDEX(tblStock[Item code],SMALL(IF((tblStock[Zone]="BAG")*(tblStock[Item code]&lt;&gt;""),ROW(tblStock[Item code])-MIN(ROW(tblStock[Item code]))+1),ROWS(C$3:C83))),"")</f>
        <v/>
      </c>
      <c r="D83">
        <f t="array" ref="D83">IFERROR(INDEX(tblStock[Item code],SMALL(IF((tblStock[Zone]="FLM")*(tblStock[Item code]&lt;&gt;""),ROW(tblStock[Item code])-MIN(ROW(tblStock[Item code]))+1),ROWS(D$3:D83))),"")</f>
        <v/>
      </c>
      <c r="E83">
        <f t="array" ref="E83">IFERROR(INDEX(tblStock[Item code],SMALL(IF((tblStock[Zone]="LBL")*(tblStock[Item code]&lt;&gt;""),ROW(tblStock[Item code])-MIN(ROW(tblStock[Item code]))+1),ROWS(E$3:E83))),"")</f>
        <v/>
      </c>
    </row>
    <row r="84">
      <c r="A84">
        <f t="array" ref="A84">IFERROR(INDEX(tblStock[Item code],SMALL(IF(tblStock[Item code]&lt;&gt;"",ROW(tblStock[Item code])-MIN(ROW(tblStock[Item code]))+1),ROWS(A$3:A84))),"")</f>
        <v/>
      </c>
      <c r="B84">
        <f t="array" ref="B84">IFERROR(INDEX(tblStock[Item code],SMALL(IF((tblStock[Zone]="BOX")*(tblStock[Item code]&lt;&gt;""),ROW(tblStock[Item code])-MIN(ROW(tblStock[Item code]))+1),ROWS(B$3:B84))),"")</f>
        <v/>
      </c>
      <c r="C84">
        <f t="array" ref="C84">IFERROR(INDEX(tblStock[Item code],SMALL(IF((tblStock[Zone]="BAG")*(tblStock[Item code]&lt;&gt;""),ROW(tblStock[Item code])-MIN(ROW(tblStock[Item code]))+1),ROWS(C$3:C84))),"")</f>
        <v/>
      </c>
      <c r="D84">
        <f t="array" ref="D84">IFERROR(INDEX(tblStock[Item code],SMALL(IF((tblStock[Zone]="FLM")*(tblStock[Item code]&lt;&gt;""),ROW(tblStock[Item code])-MIN(ROW(tblStock[Item code]))+1),ROWS(D$3:D84))),"")</f>
        <v/>
      </c>
      <c r="E84">
        <f t="array" ref="E84">IFERROR(INDEX(tblStock[Item code],SMALL(IF((tblStock[Zone]="LBL")*(tblStock[Item code]&lt;&gt;""),ROW(tblStock[Item code])-MIN(ROW(tblStock[Item code]))+1),ROWS(E$3:E84))),"")</f>
        <v/>
      </c>
    </row>
    <row r="85">
      <c r="A85">
        <f t="array" ref="A85">IFERROR(INDEX(tblStock[Item code],SMALL(IF(tblStock[Item code]&lt;&gt;"",ROW(tblStock[Item code])-MIN(ROW(tblStock[Item code]))+1),ROWS(A$3:A85))),"")</f>
        <v/>
      </c>
      <c r="B85">
        <f t="array" ref="B85">IFERROR(INDEX(tblStock[Item code],SMALL(IF((tblStock[Zone]="BOX")*(tblStock[Item code]&lt;&gt;""),ROW(tblStock[Item code])-MIN(ROW(tblStock[Item code]))+1),ROWS(B$3:B85))),"")</f>
        <v/>
      </c>
      <c r="C85">
        <f t="array" ref="C85">IFERROR(INDEX(tblStock[Item code],SMALL(IF((tblStock[Zone]="BAG")*(tblStock[Item code]&lt;&gt;""),ROW(tblStock[Item code])-MIN(ROW(tblStock[Item code]))+1),ROWS(C$3:C85))),"")</f>
        <v/>
      </c>
      <c r="D85">
        <f t="array" ref="D85">IFERROR(INDEX(tblStock[Item code],SMALL(IF((tblStock[Zone]="FLM")*(tblStock[Item code]&lt;&gt;""),ROW(tblStock[Item code])-MIN(ROW(tblStock[Item code]))+1),ROWS(D$3:D85))),"")</f>
        <v/>
      </c>
      <c r="E85">
        <f t="array" ref="E85">IFERROR(INDEX(tblStock[Item code],SMALL(IF((tblStock[Zone]="LBL")*(tblStock[Item code]&lt;&gt;""),ROW(tblStock[Item code])-MIN(ROW(tblStock[Item code]))+1),ROWS(E$3:E85))),"")</f>
        <v/>
      </c>
    </row>
    <row r="86">
      <c r="A86">
        <f t="array" ref="A86">IFERROR(INDEX(tblStock[Item code],SMALL(IF(tblStock[Item code]&lt;&gt;"",ROW(tblStock[Item code])-MIN(ROW(tblStock[Item code]))+1),ROWS(A$3:A86))),"")</f>
        <v/>
      </c>
      <c r="B86">
        <f t="array" ref="B86">IFERROR(INDEX(tblStock[Item code],SMALL(IF((tblStock[Zone]="BOX")*(tblStock[Item code]&lt;&gt;""),ROW(tblStock[Item code])-MIN(ROW(tblStock[Item code]))+1),ROWS(B$3:B86))),"")</f>
        <v/>
      </c>
      <c r="C86">
        <f t="array" ref="C86">IFERROR(INDEX(tblStock[Item code],SMALL(IF((tblStock[Zone]="BAG")*(tblStock[Item code]&lt;&gt;""),ROW(tblStock[Item code])-MIN(ROW(tblStock[Item code]))+1),ROWS(C$3:C86))),"")</f>
        <v/>
      </c>
      <c r="D86">
        <f t="array" ref="D86">IFERROR(INDEX(tblStock[Item code],SMALL(IF((tblStock[Zone]="FLM")*(tblStock[Item code]&lt;&gt;""),ROW(tblStock[Item code])-MIN(ROW(tblStock[Item code]))+1),ROWS(D$3:D86))),"")</f>
        <v/>
      </c>
      <c r="E86">
        <f t="array" ref="E86">IFERROR(INDEX(tblStock[Item code],SMALL(IF((tblStock[Zone]="LBL")*(tblStock[Item code]&lt;&gt;""),ROW(tblStock[Item code])-MIN(ROW(tblStock[Item code]))+1),ROWS(E$3:E86))),"")</f>
        <v/>
      </c>
    </row>
    <row r="87">
      <c r="A87">
        <f t="array" ref="A87">IFERROR(INDEX(tblStock[Item code],SMALL(IF(tblStock[Item code]&lt;&gt;"",ROW(tblStock[Item code])-MIN(ROW(tblStock[Item code]))+1),ROWS(A$3:A87))),"")</f>
        <v/>
      </c>
      <c r="B87">
        <f t="array" ref="B87">IFERROR(INDEX(tblStock[Item code],SMALL(IF((tblStock[Zone]="BOX")*(tblStock[Item code]&lt;&gt;""),ROW(tblStock[Item code])-MIN(ROW(tblStock[Item code]))+1),ROWS(B$3:B87))),"")</f>
        <v/>
      </c>
      <c r="C87">
        <f t="array" ref="C87">IFERROR(INDEX(tblStock[Item code],SMALL(IF((tblStock[Zone]="BAG")*(tblStock[Item code]&lt;&gt;""),ROW(tblStock[Item code])-MIN(ROW(tblStock[Item code]))+1),ROWS(C$3:C87))),"")</f>
        <v/>
      </c>
      <c r="D87">
        <f t="array" ref="D87">IFERROR(INDEX(tblStock[Item code],SMALL(IF((tblStock[Zone]="FLM")*(tblStock[Item code]&lt;&gt;""),ROW(tblStock[Item code])-MIN(ROW(tblStock[Item code]))+1),ROWS(D$3:D87))),"")</f>
        <v/>
      </c>
      <c r="E87">
        <f t="array" ref="E87">IFERROR(INDEX(tblStock[Item code],SMALL(IF((tblStock[Zone]="LBL")*(tblStock[Item code]&lt;&gt;""),ROW(tblStock[Item code])-MIN(ROW(tblStock[Item code]))+1),ROWS(E$3:E87))),"")</f>
        <v/>
      </c>
    </row>
    <row r="88">
      <c r="A88">
        <f t="array" ref="A88">IFERROR(INDEX(tblStock[Item code],SMALL(IF(tblStock[Item code]&lt;&gt;"",ROW(tblStock[Item code])-MIN(ROW(tblStock[Item code]))+1),ROWS(A$3:A88))),"")</f>
        <v/>
      </c>
      <c r="B88">
        <f t="array" ref="B88">IFERROR(INDEX(tblStock[Item code],SMALL(IF((tblStock[Zone]="BOX")*(tblStock[Item code]&lt;&gt;""),ROW(tblStock[Item code])-MIN(ROW(tblStock[Item code]))+1),ROWS(B$3:B88))),"")</f>
        <v/>
      </c>
      <c r="C88">
        <f t="array" ref="C88">IFERROR(INDEX(tblStock[Item code],SMALL(IF((tblStock[Zone]="BAG")*(tblStock[Item code]&lt;&gt;""),ROW(tblStock[Item code])-MIN(ROW(tblStock[Item code]))+1),ROWS(C$3:C88))),"")</f>
        <v/>
      </c>
      <c r="D88">
        <f t="array" ref="D88">IFERROR(INDEX(tblStock[Item code],SMALL(IF((tblStock[Zone]="FLM")*(tblStock[Item code]&lt;&gt;""),ROW(tblStock[Item code])-MIN(ROW(tblStock[Item code]))+1),ROWS(D$3:D88))),"")</f>
        <v/>
      </c>
      <c r="E88">
        <f t="array" ref="E88">IFERROR(INDEX(tblStock[Item code],SMALL(IF((tblStock[Zone]="LBL")*(tblStock[Item code]&lt;&gt;""),ROW(tblStock[Item code])-MIN(ROW(tblStock[Item code]))+1),ROWS(E$3:E88))),"")</f>
        <v/>
      </c>
    </row>
    <row r="89">
      <c r="A89">
        <f t="array" ref="A89">IFERROR(INDEX(tblStock[Item code],SMALL(IF(tblStock[Item code]&lt;&gt;"",ROW(tblStock[Item code])-MIN(ROW(tblStock[Item code]))+1),ROWS(A$3:A89))),"")</f>
        <v/>
      </c>
      <c r="B89">
        <f t="array" ref="B89">IFERROR(INDEX(tblStock[Item code],SMALL(IF((tblStock[Zone]="BOX")*(tblStock[Item code]&lt;&gt;""),ROW(tblStock[Item code])-MIN(ROW(tblStock[Item code]))+1),ROWS(B$3:B89))),"")</f>
        <v/>
      </c>
      <c r="C89">
        <f t="array" ref="C89">IFERROR(INDEX(tblStock[Item code],SMALL(IF((tblStock[Zone]="BAG")*(tblStock[Item code]&lt;&gt;""),ROW(tblStock[Item code])-MIN(ROW(tblStock[Item code]))+1),ROWS(C$3:C89))),"")</f>
        <v/>
      </c>
      <c r="D89">
        <f t="array" ref="D89">IFERROR(INDEX(tblStock[Item code],SMALL(IF((tblStock[Zone]="FLM")*(tblStock[Item code]&lt;&gt;""),ROW(tblStock[Item code])-MIN(ROW(tblStock[Item code]))+1),ROWS(D$3:D89))),"")</f>
        <v/>
      </c>
      <c r="E89">
        <f t="array" ref="E89">IFERROR(INDEX(tblStock[Item code],SMALL(IF((tblStock[Zone]="LBL")*(tblStock[Item code]&lt;&gt;""),ROW(tblStock[Item code])-MIN(ROW(tblStock[Item code]))+1),ROWS(E$3:E89))),"")</f>
        <v/>
      </c>
    </row>
    <row r="90">
      <c r="A90">
        <f t="array" ref="A90">IFERROR(INDEX(tblStock[Item code],SMALL(IF(tblStock[Item code]&lt;&gt;"",ROW(tblStock[Item code])-MIN(ROW(tblStock[Item code]))+1),ROWS(A$3:A90))),"")</f>
        <v/>
      </c>
      <c r="B90">
        <f t="array" ref="B90">IFERROR(INDEX(tblStock[Item code],SMALL(IF((tblStock[Zone]="BOX")*(tblStock[Item code]&lt;&gt;""),ROW(tblStock[Item code])-MIN(ROW(tblStock[Item code]))+1),ROWS(B$3:B90))),"")</f>
        <v/>
      </c>
      <c r="C90">
        <f t="array" ref="C90">IFERROR(INDEX(tblStock[Item code],SMALL(IF((tblStock[Zone]="BAG")*(tblStock[Item code]&lt;&gt;""),ROW(tblStock[Item code])-MIN(ROW(tblStock[Item code]))+1),ROWS(C$3:C90))),"")</f>
        <v/>
      </c>
      <c r="D90">
        <f t="array" ref="D90">IFERROR(INDEX(tblStock[Item code],SMALL(IF((tblStock[Zone]="FLM")*(tblStock[Item code]&lt;&gt;""),ROW(tblStock[Item code])-MIN(ROW(tblStock[Item code]))+1),ROWS(D$3:D90))),"")</f>
        <v/>
      </c>
      <c r="E90">
        <f t="array" ref="E90">IFERROR(INDEX(tblStock[Item code],SMALL(IF((tblStock[Zone]="LBL")*(tblStock[Item code]&lt;&gt;""),ROW(tblStock[Item code])-MIN(ROW(tblStock[Item code]))+1),ROWS(E$3:E90))),"")</f>
        <v/>
      </c>
    </row>
    <row r="91">
      <c r="A91">
        <f t="array" ref="A91">IFERROR(INDEX(tblStock[Item code],SMALL(IF(tblStock[Item code]&lt;&gt;"",ROW(tblStock[Item code])-MIN(ROW(tblStock[Item code]))+1),ROWS(A$3:A91))),"")</f>
        <v/>
      </c>
      <c r="B91">
        <f t="array" ref="B91">IFERROR(INDEX(tblStock[Item code],SMALL(IF((tblStock[Zone]="BOX")*(tblStock[Item code]&lt;&gt;""),ROW(tblStock[Item code])-MIN(ROW(tblStock[Item code]))+1),ROWS(B$3:B91))),"")</f>
        <v/>
      </c>
      <c r="C91">
        <f t="array" ref="C91">IFERROR(INDEX(tblStock[Item code],SMALL(IF((tblStock[Zone]="BAG")*(tblStock[Item code]&lt;&gt;""),ROW(tblStock[Item code])-MIN(ROW(tblStock[Item code]))+1),ROWS(C$3:C91))),"")</f>
        <v/>
      </c>
      <c r="D91">
        <f t="array" ref="D91">IFERROR(INDEX(tblStock[Item code],SMALL(IF((tblStock[Zone]="FLM")*(tblStock[Item code]&lt;&gt;""),ROW(tblStock[Item code])-MIN(ROW(tblStock[Item code]))+1),ROWS(D$3:D91))),"")</f>
        <v/>
      </c>
      <c r="E91">
        <f t="array" ref="E91">IFERROR(INDEX(tblStock[Item code],SMALL(IF((tblStock[Zone]="LBL")*(tblStock[Item code]&lt;&gt;""),ROW(tblStock[Item code])-MIN(ROW(tblStock[Item code]))+1),ROWS(E$3:E91))),"")</f>
        <v/>
      </c>
    </row>
    <row r="92">
      <c r="A92">
        <f t="array" ref="A92">IFERROR(INDEX(tblStock[Item code],SMALL(IF(tblStock[Item code]&lt;&gt;"",ROW(tblStock[Item code])-MIN(ROW(tblStock[Item code]))+1),ROWS(A$3:A92))),"")</f>
        <v/>
      </c>
      <c r="B92">
        <f t="array" ref="B92">IFERROR(INDEX(tblStock[Item code],SMALL(IF((tblStock[Zone]="BOX")*(tblStock[Item code]&lt;&gt;""),ROW(tblStock[Item code])-MIN(ROW(tblStock[Item code]))+1),ROWS(B$3:B92))),"")</f>
        <v/>
      </c>
      <c r="C92">
        <f t="array" ref="C92">IFERROR(INDEX(tblStock[Item code],SMALL(IF((tblStock[Zone]="BAG")*(tblStock[Item code]&lt;&gt;""),ROW(tblStock[Item code])-MIN(ROW(tblStock[Item code]))+1),ROWS(C$3:C92))),"")</f>
        <v/>
      </c>
      <c r="D92">
        <f t="array" ref="D92">IFERROR(INDEX(tblStock[Item code],SMALL(IF((tblStock[Zone]="FLM")*(tblStock[Item code]&lt;&gt;""),ROW(tblStock[Item code])-MIN(ROW(tblStock[Item code]))+1),ROWS(D$3:D92))),"")</f>
        <v/>
      </c>
      <c r="E92">
        <f t="array" ref="E92">IFERROR(INDEX(tblStock[Item code],SMALL(IF((tblStock[Zone]="LBL")*(tblStock[Item code]&lt;&gt;""),ROW(tblStock[Item code])-MIN(ROW(tblStock[Item code]))+1),ROWS(E$3:E92))),"")</f>
        <v/>
      </c>
    </row>
    <row r="93">
      <c r="A93">
        <f t="array" ref="A93">IFERROR(INDEX(tblStock[Item code],SMALL(IF(tblStock[Item code]&lt;&gt;"",ROW(tblStock[Item code])-MIN(ROW(tblStock[Item code]))+1),ROWS(A$3:A93))),"")</f>
        <v/>
      </c>
      <c r="B93">
        <f t="array" ref="B93">IFERROR(INDEX(tblStock[Item code],SMALL(IF((tblStock[Zone]="BOX")*(tblStock[Item code]&lt;&gt;""),ROW(tblStock[Item code])-MIN(ROW(tblStock[Item code]))+1),ROWS(B$3:B93))),"")</f>
        <v/>
      </c>
      <c r="C93">
        <f t="array" ref="C93">IFERROR(INDEX(tblStock[Item code],SMALL(IF((tblStock[Zone]="BAG")*(tblStock[Item code]&lt;&gt;""),ROW(tblStock[Item code])-MIN(ROW(tblStock[Item code]))+1),ROWS(C$3:C93))),"")</f>
        <v/>
      </c>
      <c r="D93">
        <f t="array" ref="D93">IFERROR(INDEX(tblStock[Item code],SMALL(IF((tblStock[Zone]="FLM")*(tblStock[Item code]&lt;&gt;""),ROW(tblStock[Item code])-MIN(ROW(tblStock[Item code]))+1),ROWS(D$3:D93))),"")</f>
        <v/>
      </c>
      <c r="E93">
        <f t="array" ref="E93">IFERROR(INDEX(tblStock[Item code],SMALL(IF((tblStock[Zone]="LBL")*(tblStock[Item code]&lt;&gt;""),ROW(tblStock[Item code])-MIN(ROW(tblStock[Item code]))+1),ROWS(E$3:E93))),"")</f>
        <v/>
      </c>
    </row>
    <row r="94">
      <c r="A94">
        <f t="array" ref="A94">IFERROR(INDEX(tblStock[Item code],SMALL(IF(tblStock[Item code]&lt;&gt;"",ROW(tblStock[Item code])-MIN(ROW(tblStock[Item code]))+1),ROWS(A$3:A94))),"")</f>
        <v/>
      </c>
      <c r="B94">
        <f t="array" ref="B94">IFERROR(INDEX(tblStock[Item code],SMALL(IF((tblStock[Zone]="BOX")*(tblStock[Item code]&lt;&gt;""),ROW(tblStock[Item code])-MIN(ROW(tblStock[Item code]))+1),ROWS(B$3:B94))),"")</f>
        <v/>
      </c>
      <c r="C94">
        <f t="array" ref="C94">IFERROR(INDEX(tblStock[Item code],SMALL(IF((tblStock[Zone]="BAG")*(tblStock[Item code]&lt;&gt;""),ROW(tblStock[Item code])-MIN(ROW(tblStock[Item code]))+1),ROWS(C$3:C94))),"")</f>
        <v/>
      </c>
      <c r="D94">
        <f t="array" ref="D94">IFERROR(INDEX(tblStock[Item code],SMALL(IF((tblStock[Zone]="FLM")*(tblStock[Item code]&lt;&gt;""),ROW(tblStock[Item code])-MIN(ROW(tblStock[Item code]))+1),ROWS(D$3:D94))),"")</f>
        <v/>
      </c>
      <c r="E94">
        <f t="array" ref="E94">IFERROR(INDEX(tblStock[Item code],SMALL(IF((tblStock[Zone]="LBL")*(tblStock[Item code]&lt;&gt;""),ROW(tblStock[Item code])-MIN(ROW(tblStock[Item code]))+1),ROWS(E$3:E94))),"")</f>
        <v/>
      </c>
    </row>
    <row r="95">
      <c r="A95">
        <f t="array" ref="A95">IFERROR(INDEX(tblStock[Item code],SMALL(IF(tblStock[Item code]&lt;&gt;"",ROW(tblStock[Item code])-MIN(ROW(tblStock[Item code]))+1),ROWS(A$3:A95))),"")</f>
        <v/>
      </c>
      <c r="B95">
        <f t="array" ref="B95">IFERROR(INDEX(tblStock[Item code],SMALL(IF((tblStock[Zone]="BOX")*(tblStock[Item code]&lt;&gt;""),ROW(tblStock[Item code])-MIN(ROW(tblStock[Item code]))+1),ROWS(B$3:B95))),"")</f>
        <v/>
      </c>
      <c r="C95">
        <f t="array" ref="C95">IFERROR(INDEX(tblStock[Item code],SMALL(IF((tblStock[Zone]="BAG")*(tblStock[Item code]&lt;&gt;""),ROW(tblStock[Item code])-MIN(ROW(tblStock[Item code]))+1),ROWS(C$3:C95))),"")</f>
        <v/>
      </c>
      <c r="D95">
        <f t="array" ref="D95">IFERROR(INDEX(tblStock[Item code],SMALL(IF((tblStock[Zone]="FLM")*(tblStock[Item code]&lt;&gt;""),ROW(tblStock[Item code])-MIN(ROW(tblStock[Item code]))+1),ROWS(D$3:D95))),"")</f>
        <v/>
      </c>
      <c r="E95">
        <f t="array" ref="E95">IFERROR(INDEX(tblStock[Item code],SMALL(IF((tblStock[Zone]="LBL")*(tblStock[Item code]&lt;&gt;""),ROW(tblStock[Item code])-MIN(ROW(tblStock[Item code]))+1),ROWS(E$3:E95))),"")</f>
        <v/>
      </c>
    </row>
    <row r="96">
      <c r="A96">
        <f t="array" ref="A96">IFERROR(INDEX(tblStock[Item code],SMALL(IF(tblStock[Item code]&lt;&gt;"",ROW(tblStock[Item code])-MIN(ROW(tblStock[Item code]))+1),ROWS(A$3:A96))),"")</f>
        <v/>
      </c>
      <c r="B96">
        <f t="array" ref="B96">IFERROR(INDEX(tblStock[Item code],SMALL(IF((tblStock[Zone]="BOX")*(tblStock[Item code]&lt;&gt;""),ROW(tblStock[Item code])-MIN(ROW(tblStock[Item code]))+1),ROWS(B$3:B96))),"")</f>
        <v/>
      </c>
      <c r="C96">
        <f t="array" ref="C96">IFERROR(INDEX(tblStock[Item code],SMALL(IF((tblStock[Zone]="BAG")*(tblStock[Item code]&lt;&gt;""),ROW(tblStock[Item code])-MIN(ROW(tblStock[Item code]))+1),ROWS(C$3:C96))),"")</f>
        <v/>
      </c>
      <c r="D96">
        <f t="array" ref="D96">IFERROR(INDEX(tblStock[Item code],SMALL(IF((tblStock[Zone]="FLM")*(tblStock[Item code]&lt;&gt;""),ROW(tblStock[Item code])-MIN(ROW(tblStock[Item code]))+1),ROWS(D$3:D96))),"")</f>
        <v/>
      </c>
      <c r="E96">
        <f t="array" ref="E96">IFERROR(INDEX(tblStock[Item code],SMALL(IF((tblStock[Zone]="LBL")*(tblStock[Item code]&lt;&gt;""),ROW(tblStock[Item code])-MIN(ROW(tblStock[Item code]))+1),ROWS(E$3:E96))),"")</f>
        <v/>
      </c>
    </row>
    <row r="97">
      <c r="A97">
        <f t="array" ref="A97">IFERROR(INDEX(tblStock[Item code],SMALL(IF(tblStock[Item code]&lt;&gt;"",ROW(tblStock[Item code])-MIN(ROW(tblStock[Item code]))+1),ROWS(A$3:A97))),"")</f>
        <v/>
      </c>
      <c r="B97">
        <f t="array" ref="B97">IFERROR(INDEX(tblStock[Item code],SMALL(IF((tblStock[Zone]="BOX")*(tblStock[Item code]&lt;&gt;""),ROW(tblStock[Item code])-MIN(ROW(tblStock[Item code]))+1),ROWS(B$3:B97))),"")</f>
        <v/>
      </c>
      <c r="C97">
        <f t="array" ref="C97">IFERROR(INDEX(tblStock[Item code],SMALL(IF((tblStock[Zone]="BAG")*(tblStock[Item code]&lt;&gt;""),ROW(tblStock[Item code])-MIN(ROW(tblStock[Item code]))+1),ROWS(C$3:C97))),"")</f>
        <v/>
      </c>
      <c r="D97">
        <f t="array" ref="D97">IFERROR(INDEX(tblStock[Item code],SMALL(IF((tblStock[Zone]="FLM")*(tblStock[Item code]&lt;&gt;""),ROW(tblStock[Item code])-MIN(ROW(tblStock[Item code]))+1),ROWS(D$3:D97))),"")</f>
        <v/>
      </c>
      <c r="E97">
        <f t="array" ref="E97">IFERROR(INDEX(tblStock[Item code],SMALL(IF((tblStock[Zone]="LBL")*(tblStock[Item code]&lt;&gt;""),ROW(tblStock[Item code])-MIN(ROW(tblStock[Item code]))+1),ROWS(E$3:E97))),"")</f>
        <v/>
      </c>
    </row>
    <row r="98">
      <c r="A98">
        <f t="array" ref="A98">IFERROR(INDEX(tblStock[Item code],SMALL(IF(tblStock[Item code]&lt;&gt;"",ROW(tblStock[Item code])-MIN(ROW(tblStock[Item code]))+1),ROWS(A$3:A98))),"")</f>
        <v/>
      </c>
      <c r="B98">
        <f t="array" ref="B98">IFERROR(INDEX(tblStock[Item code],SMALL(IF((tblStock[Zone]="BOX")*(tblStock[Item code]&lt;&gt;""),ROW(tblStock[Item code])-MIN(ROW(tblStock[Item code]))+1),ROWS(B$3:B98))),"")</f>
        <v/>
      </c>
      <c r="C98">
        <f t="array" ref="C98">IFERROR(INDEX(tblStock[Item code],SMALL(IF((tblStock[Zone]="BAG")*(tblStock[Item code]&lt;&gt;""),ROW(tblStock[Item code])-MIN(ROW(tblStock[Item code]))+1),ROWS(C$3:C98))),"")</f>
        <v/>
      </c>
      <c r="D98">
        <f t="array" ref="D98">IFERROR(INDEX(tblStock[Item code],SMALL(IF((tblStock[Zone]="FLM")*(tblStock[Item code]&lt;&gt;""),ROW(tblStock[Item code])-MIN(ROW(tblStock[Item code]))+1),ROWS(D$3:D98))),"")</f>
        <v/>
      </c>
      <c r="E98">
        <f t="array" ref="E98">IFERROR(INDEX(tblStock[Item code],SMALL(IF((tblStock[Zone]="LBL")*(tblStock[Item code]&lt;&gt;""),ROW(tblStock[Item code])-MIN(ROW(tblStock[Item code]))+1),ROWS(E$3:E98))),"")</f>
        <v/>
      </c>
    </row>
    <row r="99">
      <c r="A99">
        <f t="array" ref="A99">IFERROR(INDEX(tblStock[Item code],SMALL(IF(tblStock[Item code]&lt;&gt;"",ROW(tblStock[Item code])-MIN(ROW(tblStock[Item code]))+1),ROWS(A$3:A99))),"")</f>
        <v/>
      </c>
      <c r="B99">
        <f t="array" ref="B99">IFERROR(INDEX(tblStock[Item code],SMALL(IF((tblStock[Zone]="BOX")*(tblStock[Item code]&lt;&gt;""),ROW(tblStock[Item code])-MIN(ROW(tblStock[Item code]))+1),ROWS(B$3:B99))),"")</f>
        <v/>
      </c>
      <c r="C99">
        <f t="array" ref="C99">IFERROR(INDEX(tblStock[Item code],SMALL(IF((tblStock[Zone]="BAG")*(tblStock[Item code]&lt;&gt;""),ROW(tblStock[Item code])-MIN(ROW(tblStock[Item code]))+1),ROWS(C$3:C99))),"")</f>
        <v/>
      </c>
      <c r="D99">
        <f t="array" ref="D99">IFERROR(INDEX(tblStock[Item code],SMALL(IF((tblStock[Zone]="FLM")*(tblStock[Item code]&lt;&gt;""),ROW(tblStock[Item code])-MIN(ROW(tblStock[Item code]))+1),ROWS(D$3:D99))),"")</f>
        <v/>
      </c>
      <c r="E99">
        <f t="array" ref="E99">IFERROR(INDEX(tblStock[Item code],SMALL(IF((tblStock[Zone]="LBL")*(tblStock[Item code]&lt;&gt;""),ROW(tblStock[Item code])-MIN(ROW(tblStock[Item code]))+1),ROWS(E$3:E99))),"")</f>
        <v/>
      </c>
    </row>
    <row r="100">
      <c r="A100">
        <f t="array" ref="A100">IFERROR(INDEX(tblStock[Item code],SMALL(IF(tblStock[Item code]&lt;&gt;"",ROW(tblStock[Item code])-MIN(ROW(tblStock[Item code]))+1),ROWS(A$3:A100))),"")</f>
        <v/>
      </c>
      <c r="B100">
        <f t="array" ref="B100">IFERROR(INDEX(tblStock[Item code],SMALL(IF((tblStock[Zone]="BOX")*(tblStock[Item code]&lt;&gt;""),ROW(tblStock[Item code])-MIN(ROW(tblStock[Item code]))+1),ROWS(B$3:B100))),"")</f>
        <v/>
      </c>
      <c r="C100">
        <f t="array" ref="C100">IFERROR(INDEX(tblStock[Item code],SMALL(IF((tblStock[Zone]="BAG")*(tblStock[Item code]&lt;&gt;""),ROW(tblStock[Item code])-MIN(ROW(tblStock[Item code]))+1),ROWS(C$3:C100))),"")</f>
        <v/>
      </c>
      <c r="D100">
        <f t="array" ref="D100">IFERROR(INDEX(tblStock[Item code],SMALL(IF((tblStock[Zone]="FLM")*(tblStock[Item code]&lt;&gt;""),ROW(tblStock[Item code])-MIN(ROW(tblStock[Item code]))+1),ROWS(D$3:D100))),"")</f>
        <v/>
      </c>
      <c r="E100">
        <f t="array" ref="E100">IFERROR(INDEX(tblStock[Item code],SMALL(IF((tblStock[Zone]="LBL")*(tblStock[Item code]&lt;&gt;""),ROW(tblStock[Item code])-MIN(ROW(tblStock[Item code]))+1),ROWS(E$3:E100))),"")</f>
        <v/>
      </c>
    </row>
    <row r="101">
      <c r="A101">
        <f t="array" ref="A101">IFERROR(INDEX(tblStock[Item code],SMALL(IF(tblStock[Item code]&lt;&gt;"",ROW(tblStock[Item code])-MIN(ROW(tblStock[Item code]))+1),ROWS(A$3:A101))),"")</f>
        <v/>
      </c>
      <c r="B101">
        <f t="array" ref="B101">IFERROR(INDEX(tblStock[Item code],SMALL(IF((tblStock[Zone]="BOX")*(tblStock[Item code]&lt;&gt;""),ROW(tblStock[Item code])-MIN(ROW(tblStock[Item code]))+1),ROWS(B$3:B101))),"")</f>
        <v/>
      </c>
      <c r="C101">
        <f t="array" ref="C101">IFERROR(INDEX(tblStock[Item code],SMALL(IF((tblStock[Zone]="BAG")*(tblStock[Item code]&lt;&gt;""),ROW(tblStock[Item code])-MIN(ROW(tblStock[Item code]))+1),ROWS(C$3:C101))),"")</f>
        <v/>
      </c>
      <c r="D101">
        <f t="array" ref="D101">IFERROR(INDEX(tblStock[Item code],SMALL(IF((tblStock[Zone]="FLM")*(tblStock[Item code]&lt;&gt;""),ROW(tblStock[Item code])-MIN(ROW(tblStock[Item code]))+1),ROWS(D$3:D101))),"")</f>
        <v/>
      </c>
      <c r="E101">
        <f t="array" ref="E101">IFERROR(INDEX(tblStock[Item code],SMALL(IF((tblStock[Zone]="LBL")*(tblStock[Item code]&lt;&gt;""),ROW(tblStock[Item code])-MIN(ROW(tblStock[Item code]))+1),ROWS(E$3:E101))),"")</f>
        <v/>
      </c>
    </row>
    <row r="102">
      <c r="A102">
        <f t="array" ref="A102">IFERROR(INDEX(tblStock[Item code],SMALL(IF(tblStock[Item code]&lt;&gt;"",ROW(tblStock[Item code])-MIN(ROW(tblStock[Item code]))+1),ROWS(A$3:A102))),"")</f>
        <v/>
      </c>
      <c r="B102">
        <f t="array" ref="B102">IFERROR(INDEX(tblStock[Item code],SMALL(IF((tblStock[Zone]="BOX")*(tblStock[Item code]&lt;&gt;""),ROW(tblStock[Item code])-MIN(ROW(tblStock[Item code]))+1),ROWS(B$3:B102))),"")</f>
        <v/>
      </c>
      <c r="C102">
        <f t="array" ref="C102">IFERROR(INDEX(tblStock[Item code],SMALL(IF((tblStock[Zone]="BAG")*(tblStock[Item code]&lt;&gt;""),ROW(tblStock[Item code])-MIN(ROW(tblStock[Item code]))+1),ROWS(C$3:C102))),"")</f>
        <v/>
      </c>
      <c r="D102">
        <f t="array" ref="D102">IFERROR(INDEX(tblStock[Item code],SMALL(IF((tblStock[Zone]="FLM")*(tblStock[Item code]&lt;&gt;""),ROW(tblStock[Item code])-MIN(ROW(tblStock[Item code]))+1),ROWS(D$3:D102))),"")</f>
        <v/>
      </c>
      <c r="E102">
        <f t="array" ref="E102">IFERROR(INDEX(tblStock[Item code],SMALL(IF((tblStock[Zone]="LBL")*(tblStock[Item code]&lt;&gt;""),ROW(tblStock[Item code])-MIN(ROW(tblStock[Item code]))+1),ROWS(E$3:E102))),"")</f>
        <v/>
      </c>
    </row>
    <row r="103">
      <c r="A103">
        <f t="array" ref="A103">IFERROR(INDEX(tblStock[Item code],SMALL(IF(tblStock[Item code]&lt;&gt;"",ROW(tblStock[Item code])-MIN(ROW(tblStock[Item code]))+1),ROWS(A$3:A103))),"")</f>
        <v/>
      </c>
      <c r="B103">
        <f t="array" ref="B103">IFERROR(INDEX(tblStock[Item code],SMALL(IF((tblStock[Zone]="BOX")*(tblStock[Item code]&lt;&gt;""),ROW(tblStock[Item code])-MIN(ROW(tblStock[Item code]))+1),ROWS(B$3:B103))),"")</f>
        <v/>
      </c>
      <c r="C103">
        <f t="array" ref="C103">IFERROR(INDEX(tblStock[Item code],SMALL(IF((tblStock[Zone]="BAG")*(tblStock[Item code]&lt;&gt;""),ROW(tblStock[Item code])-MIN(ROW(tblStock[Item code]))+1),ROWS(C$3:C103))),"")</f>
        <v/>
      </c>
      <c r="D103">
        <f t="array" ref="D103">IFERROR(INDEX(tblStock[Item code],SMALL(IF((tblStock[Zone]="FLM")*(tblStock[Item code]&lt;&gt;""),ROW(tblStock[Item code])-MIN(ROW(tblStock[Item code]))+1),ROWS(D$3:D103))),"")</f>
        <v/>
      </c>
      <c r="E103">
        <f t="array" ref="E103">IFERROR(INDEX(tblStock[Item code],SMALL(IF((tblStock[Zone]="LBL")*(tblStock[Item code]&lt;&gt;""),ROW(tblStock[Item code])-MIN(ROW(tblStock[Item code]))+1),ROWS(E$3:E103))),"")</f>
        <v/>
      </c>
    </row>
    <row r="104">
      <c r="A104">
        <f t="array" ref="A104">IFERROR(INDEX(tblStock[Item code],SMALL(IF(tblStock[Item code]&lt;&gt;"",ROW(tblStock[Item code])-MIN(ROW(tblStock[Item code]))+1),ROWS(A$3:A104))),"")</f>
        <v/>
      </c>
      <c r="B104">
        <f t="array" ref="B104">IFERROR(INDEX(tblStock[Item code],SMALL(IF((tblStock[Zone]="BOX")*(tblStock[Item code]&lt;&gt;""),ROW(tblStock[Item code])-MIN(ROW(tblStock[Item code]))+1),ROWS(B$3:B104))),"")</f>
        <v/>
      </c>
      <c r="C104">
        <f t="array" ref="C104">IFERROR(INDEX(tblStock[Item code],SMALL(IF((tblStock[Zone]="BAG")*(tblStock[Item code]&lt;&gt;""),ROW(tblStock[Item code])-MIN(ROW(tblStock[Item code]))+1),ROWS(C$3:C104))),"")</f>
        <v/>
      </c>
      <c r="D104">
        <f t="array" ref="D104">IFERROR(INDEX(tblStock[Item code],SMALL(IF((tblStock[Zone]="FLM")*(tblStock[Item code]&lt;&gt;""),ROW(tblStock[Item code])-MIN(ROW(tblStock[Item code]))+1),ROWS(D$3:D104))),"")</f>
        <v/>
      </c>
      <c r="E104">
        <f t="array" ref="E104">IFERROR(INDEX(tblStock[Item code],SMALL(IF((tblStock[Zone]="LBL")*(tblStock[Item code]&lt;&gt;""),ROW(tblStock[Item code])-MIN(ROW(tblStock[Item code]))+1),ROWS(E$3:E104))),"")</f>
        <v/>
      </c>
    </row>
    <row r="105">
      <c r="A105">
        <f t="array" ref="A105">IFERROR(INDEX(tblStock[Item code],SMALL(IF(tblStock[Item code]&lt;&gt;"",ROW(tblStock[Item code])-MIN(ROW(tblStock[Item code]))+1),ROWS(A$3:A105))),"")</f>
        <v/>
      </c>
      <c r="B105">
        <f t="array" ref="B105">IFERROR(INDEX(tblStock[Item code],SMALL(IF((tblStock[Zone]="BOX")*(tblStock[Item code]&lt;&gt;""),ROW(tblStock[Item code])-MIN(ROW(tblStock[Item code]))+1),ROWS(B$3:B105))),"")</f>
        <v/>
      </c>
      <c r="C105">
        <f t="array" ref="C105">IFERROR(INDEX(tblStock[Item code],SMALL(IF((tblStock[Zone]="BAG")*(tblStock[Item code]&lt;&gt;""),ROW(tblStock[Item code])-MIN(ROW(tblStock[Item code]))+1),ROWS(C$3:C105))),"")</f>
        <v/>
      </c>
      <c r="D105">
        <f t="array" ref="D105">IFERROR(INDEX(tblStock[Item code],SMALL(IF((tblStock[Zone]="FLM")*(tblStock[Item code]&lt;&gt;""),ROW(tblStock[Item code])-MIN(ROW(tblStock[Item code]))+1),ROWS(D$3:D105))),"")</f>
        <v/>
      </c>
      <c r="E105">
        <f t="array" ref="E105">IFERROR(INDEX(tblStock[Item code],SMALL(IF((tblStock[Zone]="LBL")*(tblStock[Item code]&lt;&gt;""),ROW(tblStock[Item code])-MIN(ROW(tblStock[Item code]))+1),ROWS(E$3:E105))),"")</f>
        <v/>
      </c>
    </row>
    <row r="106">
      <c r="A106">
        <f t="array" ref="A106">IFERROR(INDEX(tblStock[Item code],SMALL(IF(tblStock[Item code]&lt;&gt;"",ROW(tblStock[Item code])-MIN(ROW(tblStock[Item code]))+1),ROWS(A$3:A106))),"")</f>
        <v/>
      </c>
      <c r="B106">
        <f t="array" ref="B106">IFERROR(INDEX(tblStock[Item code],SMALL(IF((tblStock[Zone]="BOX")*(tblStock[Item code]&lt;&gt;""),ROW(tblStock[Item code])-MIN(ROW(tblStock[Item code]))+1),ROWS(B$3:B106))),"")</f>
        <v/>
      </c>
      <c r="C106">
        <f t="array" ref="C106">IFERROR(INDEX(tblStock[Item code],SMALL(IF((tblStock[Zone]="BAG")*(tblStock[Item code]&lt;&gt;""),ROW(tblStock[Item code])-MIN(ROW(tblStock[Item code]))+1),ROWS(C$3:C106))),"")</f>
        <v/>
      </c>
      <c r="D106">
        <f t="array" ref="D106">IFERROR(INDEX(tblStock[Item code],SMALL(IF((tblStock[Zone]="FLM")*(tblStock[Item code]&lt;&gt;""),ROW(tblStock[Item code])-MIN(ROW(tblStock[Item code]))+1),ROWS(D$3:D106))),"")</f>
        <v/>
      </c>
      <c r="E106">
        <f t="array" ref="E106">IFERROR(INDEX(tblStock[Item code],SMALL(IF((tblStock[Zone]="LBL")*(tblStock[Item code]&lt;&gt;""),ROW(tblStock[Item code])-MIN(ROW(tblStock[Item code]))+1),ROWS(E$3:E106))),"")</f>
        <v/>
      </c>
    </row>
    <row r="107">
      <c r="A107">
        <f t="array" ref="A107">IFERROR(INDEX(tblStock[Item code],SMALL(IF(tblStock[Item code]&lt;&gt;"",ROW(tblStock[Item code])-MIN(ROW(tblStock[Item code]))+1),ROWS(A$3:A107))),"")</f>
        <v/>
      </c>
      <c r="B107">
        <f t="array" ref="B107">IFERROR(INDEX(tblStock[Item code],SMALL(IF((tblStock[Zone]="BOX")*(tblStock[Item code]&lt;&gt;""),ROW(tblStock[Item code])-MIN(ROW(tblStock[Item code]))+1),ROWS(B$3:B107))),"")</f>
        <v/>
      </c>
      <c r="C107">
        <f t="array" ref="C107">IFERROR(INDEX(tblStock[Item code],SMALL(IF((tblStock[Zone]="BAG")*(tblStock[Item code]&lt;&gt;""),ROW(tblStock[Item code])-MIN(ROW(tblStock[Item code]))+1),ROWS(C$3:C107))),"")</f>
        <v/>
      </c>
      <c r="D107">
        <f t="array" ref="D107">IFERROR(INDEX(tblStock[Item code],SMALL(IF((tblStock[Zone]="FLM")*(tblStock[Item code]&lt;&gt;""),ROW(tblStock[Item code])-MIN(ROW(tblStock[Item code]))+1),ROWS(D$3:D107))),"")</f>
        <v/>
      </c>
      <c r="E107">
        <f t="array" ref="E107">IFERROR(INDEX(tblStock[Item code],SMALL(IF((tblStock[Zone]="LBL")*(tblStock[Item code]&lt;&gt;""),ROW(tblStock[Item code])-MIN(ROW(tblStock[Item code]))+1),ROWS(E$3:E107))),"")</f>
        <v/>
      </c>
    </row>
    <row r="108">
      <c r="A108">
        <f t="array" ref="A108">IFERROR(INDEX(tblStock[Item code],SMALL(IF(tblStock[Item code]&lt;&gt;"",ROW(tblStock[Item code])-MIN(ROW(tblStock[Item code]))+1),ROWS(A$3:A108))),"")</f>
        <v/>
      </c>
      <c r="B108">
        <f t="array" ref="B108">IFERROR(INDEX(tblStock[Item code],SMALL(IF((tblStock[Zone]="BOX")*(tblStock[Item code]&lt;&gt;""),ROW(tblStock[Item code])-MIN(ROW(tblStock[Item code]))+1),ROWS(B$3:B108))),"")</f>
        <v/>
      </c>
      <c r="C108">
        <f t="array" ref="C108">IFERROR(INDEX(tblStock[Item code],SMALL(IF((tblStock[Zone]="BAG")*(tblStock[Item code]&lt;&gt;""),ROW(tblStock[Item code])-MIN(ROW(tblStock[Item code]))+1),ROWS(C$3:C108))),"")</f>
        <v/>
      </c>
      <c r="D108">
        <f t="array" ref="D108">IFERROR(INDEX(tblStock[Item code],SMALL(IF((tblStock[Zone]="FLM")*(tblStock[Item code]&lt;&gt;""),ROW(tblStock[Item code])-MIN(ROW(tblStock[Item code]))+1),ROWS(D$3:D108))),"")</f>
        <v/>
      </c>
      <c r="E108">
        <f t="array" ref="E108">IFERROR(INDEX(tblStock[Item code],SMALL(IF((tblStock[Zone]="LBL")*(tblStock[Item code]&lt;&gt;""),ROW(tblStock[Item code])-MIN(ROW(tblStock[Item code]))+1),ROWS(E$3:E108))),"")</f>
        <v/>
      </c>
    </row>
    <row r="109">
      <c r="A109">
        <f t="array" ref="A109">IFERROR(INDEX(tblStock[Item code],SMALL(IF(tblStock[Item code]&lt;&gt;"",ROW(tblStock[Item code])-MIN(ROW(tblStock[Item code]))+1),ROWS(A$3:A109))),"")</f>
        <v/>
      </c>
      <c r="B109">
        <f t="array" ref="B109">IFERROR(INDEX(tblStock[Item code],SMALL(IF((tblStock[Zone]="BOX")*(tblStock[Item code]&lt;&gt;""),ROW(tblStock[Item code])-MIN(ROW(tblStock[Item code]))+1),ROWS(B$3:B109))),"")</f>
        <v/>
      </c>
      <c r="C109">
        <f t="array" ref="C109">IFERROR(INDEX(tblStock[Item code],SMALL(IF((tblStock[Zone]="BAG")*(tblStock[Item code]&lt;&gt;""),ROW(tblStock[Item code])-MIN(ROW(tblStock[Item code]))+1),ROWS(C$3:C109))),"")</f>
        <v/>
      </c>
      <c r="D109">
        <f t="array" ref="D109">IFERROR(INDEX(tblStock[Item code],SMALL(IF((tblStock[Zone]="FLM")*(tblStock[Item code]&lt;&gt;""),ROW(tblStock[Item code])-MIN(ROW(tblStock[Item code]))+1),ROWS(D$3:D109))),"")</f>
        <v/>
      </c>
      <c r="E109">
        <f t="array" ref="E109">IFERROR(INDEX(tblStock[Item code],SMALL(IF((tblStock[Zone]="LBL")*(tblStock[Item code]&lt;&gt;""),ROW(tblStock[Item code])-MIN(ROW(tblStock[Item code]))+1),ROWS(E$3:E109))),"")</f>
        <v/>
      </c>
    </row>
    <row r="110">
      <c r="A110">
        <f t="array" ref="A110">IFERROR(INDEX(tblStock[Item code],SMALL(IF(tblStock[Item code]&lt;&gt;"",ROW(tblStock[Item code])-MIN(ROW(tblStock[Item code]))+1),ROWS(A$3:A110))),"")</f>
        <v/>
      </c>
      <c r="B110">
        <f t="array" ref="B110">IFERROR(INDEX(tblStock[Item code],SMALL(IF((tblStock[Zone]="BOX")*(tblStock[Item code]&lt;&gt;""),ROW(tblStock[Item code])-MIN(ROW(tblStock[Item code]))+1),ROWS(B$3:B110))),"")</f>
        <v/>
      </c>
      <c r="C110">
        <f t="array" ref="C110">IFERROR(INDEX(tblStock[Item code],SMALL(IF((tblStock[Zone]="BAG")*(tblStock[Item code]&lt;&gt;""),ROW(tblStock[Item code])-MIN(ROW(tblStock[Item code]))+1),ROWS(C$3:C110))),"")</f>
        <v/>
      </c>
      <c r="D110">
        <f t="array" ref="D110">IFERROR(INDEX(tblStock[Item code],SMALL(IF((tblStock[Zone]="FLM")*(tblStock[Item code]&lt;&gt;""),ROW(tblStock[Item code])-MIN(ROW(tblStock[Item code]))+1),ROWS(D$3:D110))),"")</f>
        <v/>
      </c>
      <c r="E110">
        <f t="array" ref="E110">IFERROR(INDEX(tblStock[Item code],SMALL(IF((tblStock[Zone]="LBL")*(tblStock[Item code]&lt;&gt;""),ROW(tblStock[Item code])-MIN(ROW(tblStock[Item code]))+1),ROWS(E$3:E110))),"")</f>
        <v/>
      </c>
    </row>
    <row r="111">
      <c r="A111">
        <f t="array" ref="A111">IFERROR(INDEX(tblStock[Item code],SMALL(IF(tblStock[Item code]&lt;&gt;"",ROW(tblStock[Item code])-MIN(ROW(tblStock[Item code]))+1),ROWS(A$3:A111))),"")</f>
        <v/>
      </c>
      <c r="B111">
        <f t="array" ref="B111">IFERROR(INDEX(tblStock[Item code],SMALL(IF((tblStock[Zone]="BOX")*(tblStock[Item code]&lt;&gt;""),ROW(tblStock[Item code])-MIN(ROW(tblStock[Item code]))+1),ROWS(B$3:B111))),"")</f>
        <v/>
      </c>
      <c r="C111">
        <f t="array" ref="C111">IFERROR(INDEX(tblStock[Item code],SMALL(IF((tblStock[Zone]="BAG")*(tblStock[Item code]&lt;&gt;""),ROW(tblStock[Item code])-MIN(ROW(tblStock[Item code]))+1),ROWS(C$3:C111))),"")</f>
        <v/>
      </c>
      <c r="D111">
        <f t="array" ref="D111">IFERROR(INDEX(tblStock[Item code],SMALL(IF((tblStock[Zone]="FLM")*(tblStock[Item code]&lt;&gt;""),ROW(tblStock[Item code])-MIN(ROW(tblStock[Item code]))+1),ROWS(D$3:D111))),"")</f>
        <v/>
      </c>
      <c r="E111">
        <f t="array" ref="E111">IFERROR(INDEX(tblStock[Item code],SMALL(IF((tblStock[Zone]="LBL")*(tblStock[Item code]&lt;&gt;""),ROW(tblStock[Item code])-MIN(ROW(tblStock[Item code]))+1),ROWS(E$3:E111))),"")</f>
        <v/>
      </c>
    </row>
    <row r="112">
      <c r="A112">
        <f t="array" ref="A112">IFERROR(INDEX(tblStock[Item code],SMALL(IF(tblStock[Item code]&lt;&gt;"",ROW(tblStock[Item code])-MIN(ROW(tblStock[Item code]))+1),ROWS(A$3:A112))),"")</f>
        <v/>
      </c>
      <c r="B112">
        <f t="array" ref="B112">IFERROR(INDEX(tblStock[Item code],SMALL(IF((tblStock[Zone]="BOX")*(tblStock[Item code]&lt;&gt;""),ROW(tblStock[Item code])-MIN(ROW(tblStock[Item code]))+1),ROWS(B$3:B112))),"")</f>
        <v/>
      </c>
      <c r="C112">
        <f t="array" ref="C112">IFERROR(INDEX(tblStock[Item code],SMALL(IF((tblStock[Zone]="BAG")*(tblStock[Item code]&lt;&gt;""),ROW(tblStock[Item code])-MIN(ROW(tblStock[Item code]))+1),ROWS(C$3:C112))),"")</f>
        <v/>
      </c>
      <c r="D112">
        <f t="array" ref="D112">IFERROR(INDEX(tblStock[Item code],SMALL(IF((tblStock[Zone]="FLM")*(tblStock[Item code]&lt;&gt;""),ROW(tblStock[Item code])-MIN(ROW(tblStock[Item code]))+1),ROWS(D$3:D112))),"")</f>
        <v/>
      </c>
      <c r="E112">
        <f t="array" ref="E112">IFERROR(INDEX(tblStock[Item code],SMALL(IF((tblStock[Zone]="LBL")*(tblStock[Item code]&lt;&gt;""),ROW(tblStock[Item code])-MIN(ROW(tblStock[Item code]))+1),ROWS(E$3:E112))),"")</f>
        <v/>
      </c>
    </row>
    <row r="113">
      <c r="A113">
        <f t="array" ref="A113">IFERROR(INDEX(tblStock[Item code],SMALL(IF(tblStock[Item code]&lt;&gt;"",ROW(tblStock[Item code])-MIN(ROW(tblStock[Item code]))+1),ROWS(A$3:A113))),"")</f>
        <v/>
      </c>
      <c r="B113">
        <f t="array" ref="B113">IFERROR(INDEX(tblStock[Item code],SMALL(IF((tblStock[Zone]="BOX")*(tblStock[Item code]&lt;&gt;""),ROW(tblStock[Item code])-MIN(ROW(tblStock[Item code]))+1),ROWS(B$3:B113))),"")</f>
        <v/>
      </c>
      <c r="C113">
        <f t="array" ref="C113">IFERROR(INDEX(tblStock[Item code],SMALL(IF((tblStock[Zone]="BAG")*(tblStock[Item code]&lt;&gt;""),ROW(tblStock[Item code])-MIN(ROW(tblStock[Item code]))+1),ROWS(C$3:C113))),"")</f>
        <v/>
      </c>
      <c r="D113">
        <f t="array" ref="D113">IFERROR(INDEX(tblStock[Item code],SMALL(IF((tblStock[Zone]="FLM")*(tblStock[Item code]&lt;&gt;""),ROW(tblStock[Item code])-MIN(ROW(tblStock[Item code]))+1),ROWS(D$3:D113))),"")</f>
        <v/>
      </c>
      <c r="E113">
        <f t="array" ref="E113">IFERROR(INDEX(tblStock[Item code],SMALL(IF((tblStock[Zone]="LBL")*(tblStock[Item code]&lt;&gt;""),ROW(tblStock[Item code])-MIN(ROW(tblStock[Item code]))+1),ROWS(E$3:E113))),"")</f>
        <v/>
      </c>
    </row>
    <row r="114">
      <c r="A114">
        <f t="array" ref="A114">IFERROR(INDEX(tblStock[Item code],SMALL(IF(tblStock[Item code]&lt;&gt;"",ROW(tblStock[Item code])-MIN(ROW(tblStock[Item code]))+1),ROWS(A$3:A114))),"")</f>
        <v/>
      </c>
      <c r="B114">
        <f t="array" ref="B114">IFERROR(INDEX(tblStock[Item code],SMALL(IF((tblStock[Zone]="BOX")*(tblStock[Item code]&lt;&gt;""),ROW(tblStock[Item code])-MIN(ROW(tblStock[Item code]))+1),ROWS(B$3:B114))),"")</f>
        <v/>
      </c>
      <c r="C114">
        <f t="array" ref="C114">IFERROR(INDEX(tblStock[Item code],SMALL(IF((tblStock[Zone]="BAG")*(tblStock[Item code]&lt;&gt;""),ROW(tblStock[Item code])-MIN(ROW(tblStock[Item code]))+1),ROWS(C$3:C114))),"")</f>
        <v/>
      </c>
      <c r="D114">
        <f t="array" ref="D114">IFERROR(INDEX(tblStock[Item code],SMALL(IF((tblStock[Zone]="FLM")*(tblStock[Item code]&lt;&gt;""),ROW(tblStock[Item code])-MIN(ROW(tblStock[Item code]))+1),ROWS(D$3:D114))),"")</f>
        <v/>
      </c>
      <c r="E114">
        <f t="array" ref="E114">IFERROR(INDEX(tblStock[Item code],SMALL(IF((tblStock[Zone]="LBL")*(tblStock[Item code]&lt;&gt;""),ROW(tblStock[Item code])-MIN(ROW(tblStock[Item code]))+1),ROWS(E$3:E114))),"")</f>
        <v/>
      </c>
    </row>
    <row r="115">
      <c r="A115">
        <f t="array" ref="A115">IFERROR(INDEX(tblStock[Item code],SMALL(IF(tblStock[Item code]&lt;&gt;"",ROW(tblStock[Item code])-MIN(ROW(tblStock[Item code]))+1),ROWS(A$3:A115))),"")</f>
        <v/>
      </c>
      <c r="B115">
        <f t="array" ref="B115">IFERROR(INDEX(tblStock[Item code],SMALL(IF((tblStock[Zone]="BOX")*(tblStock[Item code]&lt;&gt;""),ROW(tblStock[Item code])-MIN(ROW(tblStock[Item code]))+1),ROWS(B$3:B115))),"")</f>
        <v/>
      </c>
      <c r="C115">
        <f t="array" ref="C115">IFERROR(INDEX(tblStock[Item code],SMALL(IF((tblStock[Zone]="BAG")*(tblStock[Item code]&lt;&gt;""),ROW(tblStock[Item code])-MIN(ROW(tblStock[Item code]))+1),ROWS(C$3:C115))),"")</f>
        <v/>
      </c>
      <c r="D115">
        <f t="array" ref="D115">IFERROR(INDEX(tblStock[Item code],SMALL(IF((tblStock[Zone]="FLM")*(tblStock[Item code]&lt;&gt;""),ROW(tblStock[Item code])-MIN(ROW(tblStock[Item code]))+1),ROWS(D$3:D115))),"")</f>
        <v/>
      </c>
      <c r="E115">
        <f t="array" ref="E115">IFERROR(INDEX(tblStock[Item code],SMALL(IF((tblStock[Zone]="LBL")*(tblStock[Item code]&lt;&gt;""),ROW(tblStock[Item code])-MIN(ROW(tblStock[Item code]))+1),ROWS(E$3:E115))),"")</f>
        <v/>
      </c>
    </row>
    <row r="116">
      <c r="A116">
        <f t="array" ref="A116">IFERROR(INDEX(tblStock[Item code],SMALL(IF(tblStock[Item code]&lt;&gt;"",ROW(tblStock[Item code])-MIN(ROW(tblStock[Item code]))+1),ROWS(A$3:A116))),"")</f>
        <v/>
      </c>
      <c r="B116">
        <f t="array" ref="B116">IFERROR(INDEX(tblStock[Item code],SMALL(IF((tblStock[Zone]="BOX")*(tblStock[Item code]&lt;&gt;""),ROW(tblStock[Item code])-MIN(ROW(tblStock[Item code]))+1),ROWS(B$3:B116))),"")</f>
        <v/>
      </c>
      <c r="C116">
        <f t="array" ref="C116">IFERROR(INDEX(tblStock[Item code],SMALL(IF((tblStock[Zone]="BAG")*(tblStock[Item code]&lt;&gt;""),ROW(tblStock[Item code])-MIN(ROW(tblStock[Item code]))+1),ROWS(C$3:C116))),"")</f>
        <v/>
      </c>
      <c r="D116">
        <f t="array" ref="D116">IFERROR(INDEX(tblStock[Item code],SMALL(IF((tblStock[Zone]="FLM")*(tblStock[Item code]&lt;&gt;""),ROW(tblStock[Item code])-MIN(ROW(tblStock[Item code]))+1),ROWS(D$3:D116))),"")</f>
        <v/>
      </c>
      <c r="E116">
        <f t="array" ref="E116">IFERROR(INDEX(tblStock[Item code],SMALL(IF((tblStock[Zone]="LBL")*(tblStock[Item code]&lt;&gt;""),ROW(tblStock[Item code])-MIN(ROW(tblStock[Item code]))+1),ROWS(E$3:E116))),"")</f>
        <v/>
      </c>
    </row>
    <row r="117">
      <c r="A117">
        <f t="array" ref="A117">IFERROR(INDEX(tblStock[Item code],SMALL(IF(tblStock[Item code]&lt;&gt;"",ROW(tblStock[Item code])-MIN(ROW(tblStock[Item code]))+1),ROWS(A$3:A117))),"")</f>
        <v/>
      </c>
      <c r="B117">
        <f t="array" ref="B117">IFERROR(INDEX(tblStock[Item code],SMALL(IF((tblStock[Zone]="BOX")*(tblStock[Item code]&lt;&gt;""),ROW(tblStock[Item code])-MIN(ROW(tblStock[Item code]))+1),ROWS(B$3:B117))),"")</f>
        <v/>
      </c>
      <c r="C117">
        <f t="array" ref="C117">IFERROR(INDEX(tblStock[Item code],SMALL(IF((tblStock[Zone]="BAG")*(tblStock[Item code]&lt;&gt;""),ROW(tblStock[Item code])-MIN(ROW(tblStock[Item code]))+1),ROWS(C$3:C117))),"")</f>
        <v/>
      </c>
      <c r="D117">
        <f t="array" ref="D117">IFERROR(INDEX(tblStock[Item code],SMALL(IF((tblStock[Zone]="FLM")*(tblStock[Item code]&lt;&gt;""),ROW(tblStock[Item code])-MIN(ROW(tblStock[Item code]))+1),ROWS(D$3:D117))),"")</f>
        <v/>
      </c>
      <c r="E117">
        <f t="array" ref="E117">IFERROR(INDEX(tblStock[Item code],SMALL(IF((tblStock[Zone]="LBL")*(tblStock[Item code]&lt;&gt;""),ROW(tblStock[Item code])-MIN(ROW(tblStock[Item code]))+1),ROWS(E$3:E117))),"")</f>
        <v/>
      </c>
    </row>
    <row r="118">
      <c r="A118">
        <f t="array" ref="A118">IFERROR(INDEX(tblStock[Item code],SMALL(IF(tblStock[Item code]&lt;&gt;"",ROW(tblStock[Item code])-MIN(ROW(tblStock[Item code]))+1),ROWS(A$3:A118))),"")</f>
        <v/>
      </c>
      <c r="B118">
        <f t="array" ref="B118">IFERROR(INDEX(tblStock[Item code],SMALL(IF((tblStock[Zone]="BOX")*(tblStock[Item code]&lt;&gt;""),ROW(tblStock[Item code])-MIN(ROW(tblStock[Item code]))+1),ROWS(B$3:B118))),"")</f>
        <v/>
      </c>
      <c r="C118">
        <f t="array" ref="C118">IFERROR(INDEX(tblStock[Item code],SMALL(IF((tblStock[Zone]="BAG")*(tblStock[Item code]&lt;&gt;""),ROW(tblStock[Item code])-MIN(ROW(tblStock[Item code]))+1),ROWS(C$3:C118))),"")</f>
        <v/>
      </c>
      <c r="D118">
        <f t="array" ref="D118">IFERROR(INDEX(tblStock[Item code],SMALL(IF((tblStock[Zone]="FLM")*(tblStock[Item code]&lt;&gt;""),ROW(tblStock[Item code])-MIN(ROW(tblStock[Item code]))+1),ROWS(D$3:D118))),"")</f>
        <v/>
      </c>
      <c r="E118">
        <f t="array" ref="E118">IFERROR(INDEX(tblStock[Item code],SMALL(IF((tblStock[Zone]="LBL")*(tblStock[Item code]&lt;&gt;""),ROW(tblStock[Item code])-MIN(ROW(tblStock[Item code]))+1),ROWS(E$3:E118))),"")</f>
        <v/>
      </c>
    </row>
    <row r="119">
      <c r="A119">
        <f t="array" ref="A119">IFERROR(INDEX(tblStock[Item code],SMALL(IF(tblStock[Item code]&lt;&gt;"",ROW(tblStock[Item code])-MIN(ROW(tblStock[Item code]))+1),ROWS(A$3:A119))),"")</f>
        <v/>
      </c>
      <c r="B119">
        <f t="array" ref="B119">IFERROR(INDEX(tblStock[Item code],SMALL(IF((tblStock[Zone]="BOX")*(tblStock[Item code]&lt;&gt;""),ROW(tblStock[Item code])-MIN(ROW(tblStock[Item code]))+1),ROWS(B$3:B119))),"")</f>
        <v/>
      </c>
      <c r="C119">
        <f t="array" ref="C119">IFERROR(INDEX(tblStock[Item code],SMALL(IF((tblStock[Zone]="BAG")*(tblStock[Item code]&lt;&gt;""),ROW(tblStock[Item code])-MIN(ROW(tblStock[Item code]))+1),ROWS(C$3:C119))),"")</f>
        <v/>
      </c>
      <c r="D119">
        <f t="array" ref="D119">IFERROR(INDEX(tblStock[Item code],SMALL(IF((tblStock[Zone]="FLM")*(tblStock[Item code]&lt;&gt;""),ROW(tblStock[Item code])-MIN(ROW(tblStock[Item code]))+1),ROWS(D$3:D119))),"")</f>
        <v/>
      </c>
      <c r="E119">
        <f t="array" ref="E119">IFERROR(INDEX(tblStock[Item code],SMALL(IF((tblStock[Zone]="LBL")*(tblStock[Item code]&lt;&gt;""),ROW(tblStock[Item code])-MIN(ROW(tblStock[Item code]))+1),ROWS(E$3:E119))),"")</f>
        <v/>
      </c>
    </row>
    <row r="120">
      <c r="A120">
        <f t="array" ref="A120">IFERROR(INDEX(tblStock[Item code],SMALL(IF(tblStock[Item code]&lt;&gt;"",ROW(tblStock[Item code])-MIN(ROW(tblStock[Item code]))+1),ROWS(A$3:A120))),"")</f>
        <v/>
      </c>
      <c r="B120">
        <f t="array" ref="B120">IFERROR(INDEX(tblStock[Item code],SMALL(IF((tblStock[Zone]="BOX")*(tblStock[Item code]&lt;&gt;""),ROW(tblStock[Item code])-MIN(ROW(tblStock[Item code]))+1),ROWS(B$3:B120))),"")</f>
        <v/>
      </c>
      <c r="C120">
        <f t="array" ref="C120">IFERROR(INDEX(tblStock[Item code],SMALL(IF((tblStock[Zone]="BAG")*(tblStock[Item code]&lt;&gt;""),ROW(tblStock[Item code])-MIN(ROW(tblStock[Item code]))+1),ROWS(C$3:C120))),"")</f>
        <v/>
      </c>
      <c r="D120">
        <f t="array" ref="D120">IFERROR(INDEX(tblStock[Item code],SMALL(IF((tblStock[Zone]="FLM")*(tblStock[Item code]&lt;&gt;""),ROW(tblStock[Item code])-MIN(ROW(tblStock[Item code]))+1),ROWS(D$3:D120))),"")</f>
        <v/>
      </c>
      <c r="E120">
        <f t="array" ref="E120">IFERROR(INDEX(tblStock[Item code],SMALL(IF((tblStock[Zone]="LBL")*(tblStock[Item code]&lt;&gt;""),ROW(tblStock[Item code])-MIN(ROW(tblStock[Item code]))+1),ROWS(E$3:E120))),"")</f>
        <v/>
      </c>
    </row>
    <row r="121">
      <c r="A121">
        <f t="array" ref="A121">IFERROR(INDEX(tblStock[Item code],SMALL(IF(tblStock[Item code]&lt;&gt;"",ROW(tblStock[Item code])-MIN(ROW(tblStock[Item code]))+1),ROWS(A$3:A121))),"")</f>
        <v/>
      </c>
      <c r="B121">
        <f t="array" ref="B121">IFERROR(INDEX(tblStock[Item code],SMALL(IF((tblStock[Zone]="BOX")*(tblStock[Item code]&lt;&gt;""),ROW(tblStock[Item code])-MIN(ROW(tblStock[Item code]))+1),ROWS(B$3:B121))),"")</f>
        <v/>
      </c>
      <c r="C121">
        <f t="array" ref="C121">IFERROR(INDEX(tblStock[Item code],SMALL(IF((tblStock[Zone]="BAG")*(tblStock[Item code]&lt;&gt;""),ROW(tblStock[Item code])-MIN(ROW(tblStock[Item code]))+1),ROWS(C$3:C121))),"")</f>
        <v/>
      </c>
      <c r="D121">
        <f t="array" ref="D121">IFERROR(INDEX(tblStock[Item code],SMALL(IF((tblStock[Zone]="FLM")*(tblStock[Item code]&lt;&gt;""),ROW(tblStock[Item code])-MIN(ROW(tblStock[Item code]))+1),ROWS(D$3:D121))),"")</f>
        <v/>
      </c>
      <c r="E121">
        <f t="array" ref="E121">IFERROR(INDEX(tblStock[Item code],SMALL(IF((tblStock[Zone]="LBL")*(tblStock[Item code]&lt;&gt;""),ROW(tblStock[Item code])-MIN(ROW(tblStock[Item code]))+1),ROWS(E$3:E121))),"")</f>
        <v/>
      </c>
    </row>
    <row r="122">
      <c r="A122">
        <f t="array" ref="A122">IFERROR(INDEX(tblStock[Item code],SMALL(IF(tblStock[Item code]&lt;&gt;"",ROW(tblStock[Item code])-MIN(ROW(tblStock[Item code]))+1),ROWS(A$3:A122))),"")</f>
        <v/>
      </c>
      <c r="B122">
        <f t="array" ref="B122">IFERROR(INDEX(tblStock[Item code],SMALL(IF((tblStock[Zone]="BOX")*(tblStock[Item code]&lt;&gt;""),ROW(tblStock[Item code])-MIN(ROW(tblStock[Item code]))+1),ROWS(B$3:B122))),"")</f>
        <v/>
      </c>
      <c r="C122">
        <f t="array" ref="C122">IFERROR(INDEX(tblStock[Item code],SMALL(IF((tblStock[Zone]="BAG")*(tblStock[Item code]&lt;&gt;""),ROW(tblStock[Item code])-MIN(ROW(tblStock[Item code]))+1),ROWS(C$3:C122))),"")</f>
        <v/>
      </c>
      <c r="D122">
        <f t="array" ref="D122">IFERROR(INDEX(tblStock[Item code],SMALL(IF((tblStock[Zone]="FLM")*(tblStock[Item code]&lt;&gt;""),ROW(tblStock[Item code])-MIN(ROW(tblStock[Item code]))+1),ROWS(D$3:D122))),"")</f>
        <v/>
      </c>
      <c r="E122">
        <f t="array" ref="E122">IFERROR(INDEX(tblStock[Item code],SMALL(IF((tblStock[Zone]="LBL")*(tblStock[Item code]&lt;&gt;""),ROW(tblStock[Item code])-MIN(ROW(tblStock[Item code]))+1),ROWS(E$3:E122))),"")</f>
        <v/>
      </c>
    </row>
    <row r="123">
      <c r="A123">
        <f t="array" ref="A123">IFERROR(INDEX(tblStock[Item code],SMALL(IF(tblStock[Item code]&lt;&gt;"",ROW(tblStock[Item code])-MIN(ROW(tblStock[Item code]))+1),ROWS(A$3:A123))),"")</f>
        <v/>
      </c>
      <c r="B123">
        <f t="array" ref="B123">IFERROR(INDEX(tblStock[Item code],SMALL(IF((tblStock[Zone]="BOX")*(tblStock[Item code]&lt;&gt;""),ROW(tblStock[Item code])-MIN(ROW(tblStock[Item code]))+1),ROWS(B$3:B123))),"")</f>
        <v/>
      </c>
      <c r="C123">
        <f t="array" ref="C123">IFERROR(INDEX(tblStock[Item code],SMALL(IF((tblStock[Zone]="BAG")*(tblStock[Item code]&lt;&gt;""),ROW(tblStock[Item code])-MIN(ROW(tblStock[Item code]))+1),ROWS(C$3:C123))),"")</f>
        <v/>
      </c>
      <c r="D123">
        <f t="array" ref="D123">IFERROR(INDEX(tblStock[Item code],SMALL(IF((tblStock[Zone]="FLM")*(tblStock[Item code]&lt;&gt;""),ROW(tblStock[Item code])-MIN(ROW(tblStock[Item code]))+1),ROWS(D$3:D123))),"")</f>
        <v/>
      </c>
      <c r="E123">
        <f t="array" ref="E123">IFERROR(INDEX(tblStock[Item code],SMALL(IF((tblStock[Zone]="LBL")*(tblStock[Item code]&lt;&gt;""),ROW(tblStock[Item code])-MIN(ROW(tblStock[Item code]))+1),ROWS(E$3:E123))),"")</f>
        <v/>
      </c>
    </row>
    <row r="124">
      <c r="A124">
        <f t="array" ref="A124">IFERROR(INDEX(tblStock[Item code],SMALL(IF(tblStock[Item code]&lt;&gt;"",ROW(tblStock[Item code])-MIN(ROW(tblStock[Item code]))+1),ROWS(A$3:A124))),"")</f>
        <v/>
      </c>
      <c r="B124">
        <f t="array" ref="B124">IFERROR(INDEX(tblStock[Item code],SMALL(IF((tblStock[Zone]="BOX")*(tblStock[Item code]&lt;&gt;""),ROW(tblStock[Item code])-MIN(ROW(tblStock[Item code]))+1),ROWS(B$3:B124))),"")</f>
        <v/>
      </c>
      <c r="C124">
        <f t="array" ref="C124">IFERROR(INDEX(tblStock[Item code],SMALL(IF((tblStock[Zone]="BAG")*(tblStock[Item code]&lt;&gt;""),ROW(tblStock[Item code])-MIN(ROW(tblStock[Item code]))+1),ROWS(C$3:C124))),"")</f>
        <v/>
      </c>
      <c r="D124">
        <f t="array" ref="D124">IFERROR(INDEX(tblStock[Item code],SMALL(IF((tblStock[Zone]="FLM")*(tblStock[Item code]&lt;&gt;""),ROW(tblStock[Item code])-MIN(ROW(tblStock[Item code]))+1),ROWS(D$3:D124))),"")</f>
        <v/>
      </c>
      <c r="E124">
        <f t="array" ref="E124">IFERROR(INDEX(tblStock[Item code],SMALL(IF((tblStock[Zone]="LBL")*(tblStock[Item code]&lt;&gt;""),ROW(tblStock[Item code])-MIN(ROW(tblStock[Item code]))+1),ROWS(E$3:E124))),"")</f>
        <v/>
      </c>
    </row>
    <row r="125">
      <c r="A125">
        <f t="array" ref="A125">IFERROR(INDEX(tblStock[Item code],SMALL(IF(tblStock[Item code]&lt;&gt;"",ROW(tblStock[Item code])-MIN(ROW(tblStock[Item code]))+1),ROWS(A$3:A125))),"")</f>
        <v/>
      </c>
      <c r="B125">
        <f t="array" ref="B125">IFERROR(INDEX(tblStock[Item code],SMALL(IF((tblStock[Zone]="BOX")*(tblStock[Item code]&lt;&gt;""),ROW(tblStock[Item code])-MIN(ROW(tblStock[Item code]))+1),ROWS(B$3:B125))),"")</f>
        <v/>
      </c>
      <c r="C125">
        <f t="array" ref="C125">IFERROR(INDEX(tblStock[Item code],SMALL(IF((tblStock[Zone]="BAG")*(tblStock[Item code]&lt;&gt;""),ROW(tblStock[Item code])-MIN(ROW(tblStock[Item code]))+1),ROWS(C$3:C125))),"")</f>
        <v/>
      </c>
      <c r="D125">
        <f t="array" ref="D125">IFERROR(INDEX(tblStock[Item code],SMALL(IF((tblStock[Zone]="FLM")*(tblStock[Item code]&lt;&gt;""),ROW(tblStock[Item code])-MIN(ROW(tblStock[Item code]))+1),ROWS(D$3:D125))),"")</f>
        <v/>
      </c>
      <c r="E125">
        <f t="array" ref="E125">IFERROR(INDEX(tblStock[Item code],SMALL(IF((tblStock[Zone]="LBL")*(tblStock[Item code]&lt;&gt;""),ROW(tblStock[Item code])-MIN(ROW(tblStock[Item code]))+1),ROWS(E$3:E125))),"")</f>
        <v/>
      </c>
    </row>
    <row r="126">
      <c r="A126">
        <f t="array" ref="A126">IFERROR(INDEX(tblStock[Item code],SMALL(IF(tblStock[Item code]&lt;&gt;"",ROW(tblStock[Item code])-MIN(ROW(tblStock[Item code]))+1),ROWS(A$3:A126))),"")</f>
        <v/>
      </c>
      <c r="B126">
        <f t="array" ref="B126">IFERROR(INDEX(tblStock[Item code],SMALL(IF((tblStock[Zone]="BOX")*(tblStock[Item code]&lt;&gt;""),ROW(tblStock[Item code])-MIN(ROW(tblStock[Item code]))+1),ROWS(B$3:B126))),"")</f>
        <v/>
      </c>
      <c r="C126">
        <f t="array" ref="C126">IFERROR(INDEX(tblStock[Item code],SMALL(IF((tblStock[Zone]="BAG")*(tblStock[Item code]&lt;&gt;""),ROW(tblStock[Item code])-MIN(ROW(tblStock[Item code]))+1),ROWS(C$3:C126))),"")</f>
        <v/>
      </c>
      <c r="D126">
        <f t="array" ref="D126">IFERROR(INDEX(tblStock[Item code],SMALL(IF((tblStock[Zone]="FLM")*(tblStock[Item code]&lt;&gt;""),ROW(tblStock[Item code])-MIN(ROW(tblStock[Item code]))+1),ROWS(D$3:D126))),"")</f>
        <v/>
      </c>
      <c r="E126">
        <f t="array" ref="E126">IFERROR(INDEX(tblStock[Item code],SMALL(IF((tblStock[Zone]="LBL")*(tblStock[Item code]&lt;&gt;""),ROW(tblStock[Item code])-MIN(ROW(tblStock[Item code]))+1),ROWS(E$3:E126))),"")</f>
        <v/>
      </c>
    </row>
    <row r="127">
      <c r="A127">
        <f t="array" ref="A127">IFERROR(INDEX(tblStock[Item code],SMALL(IF(tblStock[Item code]&lt;&gt;"",ROW(tblStock[Item code])-MIN(ROW(tblStock[Item code]))+1),ROWS(A$3:A127))),"")</f>
        <v/>
      </c>
      <c r="B127">
        <f t="array" ref="B127">IFERROR(INDEX(tblStock[Item code],SMALL(IF((tblStock[Zone]="BOX")*(tblStock[Item code]&lt;&gt;""),ROW(tblStock[Item code])-MIN(ROW(tblStock[Item code]))+1),ROWS(B$3:B127))),"")</f>
        <v/>
      </c>
      <c r="C127">
        <f t="array" ref="C127">IFERROR(INDEX(tblStock[Item code],SMALL(IF((tblStock[Zone]="BAG")*(tblStock[Item code]&lt;&gt;""),ROW(tblStock[Item code])-MIN(ROW(tblStock[Item code]))+1),ROWS(C$3:C127))),"")</f>
        <v/>
      </c>
      <c r="D127">
        <f t="array" ref="D127">IFERROR(INDEX(tblStock[Item code],SMALL(IF((tblStock[Zone]="FLM")*(tblStock[Item code]&lt;&gt;""),ROW(tblStock[Item code])-MIN(ROW(tblStock[Item code]))+1),ROWS(D$3:D127))),"")</f>
        <v/>
      </c>
      <c r="E127">
        <f t="array" ref="E127">IFERROR(INDEX(tblStock[Item code],SMALL(IF((tblStock[Zone]="LBL")*(tblStock[Item code]&lt;&gt;""),ROW(tblStock[Item code])-MIN(ROW(tblStock[Item code]))+1),ROWS(E$3:E127))),"")</f>
        <v/>
      </c>
    </row>
    <row r="128">
      <c r="A128">
        <f t="array" ref="A128">IFERROR(INDEX(tblStock[Item code],SMALL(IF(tblStock[Item code]&lt;&gt;"",ROW(tblStock[Item code])-MIN(ROW(tblStock[Item code]))+1),ROWS(A$3:A128))),"")</f>
        <v/>
      </c>
      <c r="B128">
        <f t="array" ref="B128">IFERROR(INDEX(tblStock[Item code],SMALL(IF((tblStock[Zone]="BOX")*(tblStock[Item code]&lt;&gt;""),ROW(tblStock[Item code])-MIN(ROW(tblStock[Item code]))+1),ROWS(B$3:B128))),"")</f>
        <v/>
      </c>
      <c r="C128">
        <f t="array" ref="C128">IFERROR(INDEX(tblStock[Item code],SMALL(IF((tblStock[Zone]="BAG")*(tblStock[Item code]&lt;&gt;""),ROW(tblStock[Item code])-MIN(ROW(tblStock[Item code]))+1),ROWS(C$3:C128))),"")</f>
        <v/>
      </c>
      <c r="D128">
        <f t="array" ref="D128">IFERROR(INDEX(tblStock[Item code],SMALL(IF((tblStock[Zone]="FLM")*(tblStock[Item code]&lt;&gt;""),ROW(tblStock[Item code])-MIN(ROW(tblStock[Item code]))+1),ROWS(D$3:D128))),"")</f>
        <v/>
      </c>
      <c r="E128">
        <f t="array" ref="E128">IFERROR(INDEX(tblStock[Item code],SMALL(IF((tblStock[Zone]="LBL")*(tblStock[Item code]&lt;&gt;""),ROW(tblStock[Item code])-MIN(ROW(tblStock[Item code]))+1),ROWS(E$3:E128))),"")</f>
        <v/>
      </c>
    </row>
    <row r="129">
      <c r="A129">
        <f t="array" ref="A129">IFERROR(INDEX(tblStock[Item code],SMALL(IF(tblStock[Item code]&lt;&gt;"",ROW(tblStock[Item code])-MIN(ROW(tblStock[Item code]))+1),ROWS(A$3:A129))),"")</f>
        <v/>
      </c>
      <c r="B129">
        <f t="array" ref="B129">IFERROR(INDEX(tblStock[Item code],SMALL(IF((tblStock[Zone]="BOX")*(tblStock[Item code]&lt;&gt;""),ROW(tblStock[Item code])-MIN(ROW(tblStock[Item code]))+1),ROWS(B$3:B129))),"")</f>
        <v/>
      </c>
      <c r="C129">
        <f t="array" ref="C129">IFERROR(INDEX(tblStock[Item code],SMALL(IF((tblStock[Zone]="BAG")*(tblStock[Item code]&lt;&gt;""),ROW(tblStock[Item code])-MIN(ROW(tblStock[Item code]))+1),ROWS(C$3:C129))),"")</f>
        <v/>
      </c>
      <c r="D129">
        <f t="array" ref="D129">IFERROR(INDEX(tblStock[Item code],SMALL(IF((tblStock[Zone]="FLM")*(tblStock[Item code]&lt;&gt;""),ROW(tblStock[Item code])-MIN(ROW(tblStock[Item code]))+1),ROWS(D$3:D129))),"")</f>
        <v/>
      </c>
      <c r="E129">
        <f t="array" ref="E129">IFERROR(INDEX(tblStock[Item code],SMALL(IF((tblStock[Zone]="LBL")*(tblStock[Item code]&lt;&gt;""),ROW(tblStock[Item code])-MIN(ROW(tblStock[Item code]))+1),ROWS(E$3:E129))),"")</f>
        <v/>
      </c>
    </row>
    <row r="130">
      <c r="A130">
        <f t="array" ref="A130">IFERROR(INDEX(tblStock[Item code],SMALL(IF(tblStock[Item code]&lt;&gt;"",ROW(tblStock[Item code])-MIN(ROW(tblStock[Item code]))+1),ROWS(A$3:A130))),"")</f>
        <v/>
      </c>
      <c r="B130">
        <f t="array" ref="B130">IFERROR(INDEX(tblStock[Item code],SMALL(IF((tblStock[Zone]="BOX")*(tblStock[Item code]&lt;&gt;""),ROW(tblStock[Item code])-MIN(ROW(tblStock[Item code]))+1),ROWS(B$3:B130))),"")</f>
        <v/>
      </c>
      <c r="C130">
        <f t="array" ref="C130">IFERROR(INDEX(tblStock[Item code],SMALL(IF((tblStock[Zone]="BAG")*(tblStock[Item code]&lt;&gt;""),ROW(tblStock[Item code])-MIN(ROW(tblStock[Item code]))+1),ROWS(C$3:C130))),"")</f>
        <v/>
      </c>
      <c r="D130">
        <f t="array" ref="D130">IFERROR(INDEX(tblStock[Item code],SMALL(IF((tblStock[Zone]="FLM")*(tblStock[Item code]&lt;&gt;""),ROW(tblStock[Item code])-MIN(ROW(tblStock[Item code]))+1),ROWS(D$3:D130))),"")</f>
        <v/>
      </c>
      <c r="E130">
        <f t="array" ref="E130">IFERROR(INDEX(tblStock[Item code],SMALL(IF((tblStock[Zone]="LBL")*(tblStock[Item code]&lt;&gt;""),ROW(tblStock[Item code])-MIN(ROW(tblStock[Item code]))+1),ROWS(E$3:E130))),"")</f>
        <v/>
      </c>
    </row>
    <row r="131">
      <c r="A131">
        <f t="array" ref="A131">IFERROR(INDEX(tblStock[Item code],SMALL(IF(tblStock[Item code]&lt;&gt;"",ROW(tblStock[Item code])-MIN(ROW(tblStock[Item code]))+1),ROWS(A$3:A131))),"")</f>
        <v/>
      </c>
      <c r="B131">
        <f t="array" ref="B131">IFERROR(INDEX(tblStock[Item code],SMALL(IF((tblStock[Zone]="BOX")*(tblStock[Item code]&lt;&gt;""),ROW(tblStock[Item code])-MIN(ROW(tblStock[Item code]))+1),ROWS(B$3:B131))),"")</f>
        <v/>
      </c>
      <c r="C131">
        <f t="array" ref="C131">IFERROR(INDEX(tblStock[Item code],SMALL(IF((tblStock[Zone]="BAG")*(tblStock[Item code]&lt;&gt;""),ROW(tblStock[Item code])-MIN(ROW(tblStock[Item code]))+1),ROWS(C$3:C131))),"")</f>
        <v/>
      </c>
      <c r="D131">
        <f t="array" ref="D131">IFERROR(INDEX(tblStock[Item code],SMALL(IF((tblStock[Zone]="FLM")*(tblStock[Item code]&lt;&gt;""),ROW(tblStock[Item code])-MIN(ROW(tblStock[Item code]))+1),ROWS(D$3:D131))),"")</f>
        <v/>
      </c>
      <c r="E131">
        <f t="array" ref="E131">IFERROR(INDEX(tblStock[Item code],SMALL(IF((tblStock[Zone]="LBL")*(tblStock[Item code]&lt;&gt;""),ROW(tblStock[Item code])-MIN(ROW(tblStock[Item code]))+1),ROWS(E$3:E131))),"")</f>
        <v/>
      </c>
    </row>
    <row r="132">
      <c r="A132">
        <f t="array" ref="A132">IFERROR(INDEX(tblStock[Item code],SMALL(IF(tblStock[Item code]&lt;&gt;"",ROW(tblStock[Item code])-MIN(ROW(tblStock[Item code]))+1),ROWS(A$3:A132))),"")</f>
        <v/>
      </c>
      <c r="B132">
        <f t="array" ref="B132">IFERROR(INDEX(tblStock[Item code],SMALL(IF((tblStock[Zone]="BOX")*(tblStock[Item code]&lt;&gt;""),ROW(tblStock[Item code])-MIN(ROW(tblStock[Item code]))+1),ROWS(B$3:B132))),"")</f>
        <v/>
      </c>
      <c r="C132">
        <f t="array" ref="C132">IFERROR(INDEX(tblStock[Item code],SMALL(IF((tblStock[Zone]="BAG")*(tblStock[Item code]&lt;&gt;""),ROW(tblStock[Item code])-MIN(ROW(tblStock[Item code]))+1),ROWS(C$3:C132))),"")</f>
        <v/>
      </c>
      <c r="D132">
        <f t="array" ref="D132">IFERROR(INDEX(tblStock[Item code],SMALL(IF((tblStock[Zone]="FLM")*(tblStock[Item code]&lt;&gt;""),ROW(tblStock[Item code])-MIN(ROW(tblStock[Item code]))+1),ROWS(D$3:D132))),"")</f>
        <v/>
      </c>
      <c r="E132">
        <f t="array" ref="E132">IFERROR(INDEX(tblStock[Item code],SMALL(IF((tblStock[Zone]="LBL")*(tblStock[Item code]&lt;&gt;""),ROW(tblStock[Item code])-MIN(ROW(tblStock[Item code]))+1),ROWS(E$3:E132))),"")</f>
        <v/>
      </c>
    </row>
    <row r="133">
      <c r="A133">
        <f t="array" ref="A133">IFERROR(INDEX(tblStock[Item code],SMALL(IF(tblStock[Item code]&lt;&gt;"",ROW(tblStock[Item code])-MIN(ROW(tblStock[Item code]))+1),ROWS(A$3:A133))),"")</f>
        <v/>
      </c>
      <c r="B133">
        <f t="array" ref="B133">IFERROR(INDEX(tblStock[Item code],SMALL(IF((tblStock[Zone]="BOX")*(tblStock[Item code]&lt;&gt;""),ROW(tblStock[Item code])-MIN(ROW(tblStock[Item code]))+1),ROWS(B$3:B133))),"")</f>
        <v/>
      </c>
      <c r="C133">
        <f t="array" ref="C133">IFERROR(INDEX(tblStock[Item code],SMALL(IF((tblStock[Zone]="BAG")*(tblStock[Item code]&lt;&gt;""),ROW(tblStock[Item code])-MIN(ROW(tblStock[Item code]))+1),ROWS(C$3:C133))),"")</f>
        <v/>
      </c>
      <c r="D133">
        <f t="array" ref="D133">IFERROR(INDEX(tblStock[Item code],SMALL(IF((tblStock[Zone]="FLM")*(tblStock[Item code]&lt;&gt;""),ROW(tblStock[Item code])-MIN(ROW(tblStock[Item code]))+1),ROWS(D$3:D133))),"")</f>
        <v/>
      </c>
      <c r="E133">
        <f t="array" ref="E133">IFERROR(INDEX(tblStock[Item code],SMALL(IF((tblStock[Zone]="LBL")*(tblStock[Item code]&lt;&gt;""),ROW(tblStock[Item code])-MIN(ROW(tblStock[Item code]))+1),ROWS(E$3:E133))),"")</f>
        <v/>
      </c>
    </row>
    <row r="134">
      <c r="A134">
        <f t="array" ref="A134">IFERROR(INDEX(tblStock[Item code],SMALL(IF(tblStock[Item code]&lt;&gt;"",ROW(tblStock[Item code])-MIN(ROW(tblStock[Item code]))+1),ROWS(A$3:A134))),"")</f>
        <v/>
      </c>
      <c r="B134">
        <f t="array" ref="B134">IFERROR(INDEX(tblStock[Item code],SMALL(IF((tblStock[Zone]="BOX")*(tblStock[Item code]&lt;&gt;""),ROW(tblStock[Item code])-MIN(ROW(tblStock[Item code]))+1),ROWS(B$3:B134))),"")</f>
        <v/>
      </c>
      <c r="C134">
        <f t="array" ref="C134">IFERROR(INDEX(tblStock[Item code],SMALL(IF((tblStock[Zone]="BAG")*(tblStock[Item code]&lt;&gt;""),ROW(tblStock[Item code])-MIN(ROW(tblStock[Item code]))+1),ROWS(C$3:C134))),"")</f>
        <v/>
      </c>
      <c r="D134">
        <f t="array" ref="D134">IFERROR(INDEX(tblStock[Item code],SMALL(IF((tblStock[Zone]="FLM")*(tblStock[Item code]&lt;&gt;""),ROW(tblStock[Item code])-MIN(ROW(tblStock[Item code]))+1),ROWS(D$3:D134))),"")</f>
        <v/>
      </c>
      <c r="E134">
        <f t="array" ref="E134">IFERROR(INDEX(tblStock[Item code],SMALL(IF((tblStock[Zone]="LBL")*(tblStock[Item code]&lt;&gt;""),ROW(tblStock[Item code])-MIN(ROW(tblStock[Item code]))+1),ROWS(E$3:E134))),"")</f>
        <v/>
      </c>
    </row>
    <row r="135">
      <c r="A135">
        <f t="array" ref="A135">IFERROR(INDEX(tblStock[Item code],SMALL(IF(tblStock[Item code]&lt;&gt;"",ROW(tblStock[Item code])-MIN(ROW(tblStock[Item code]))+1),ROWS(A$3:A135))),"")</f>
        <v/>
      </c>
      <c r="B135">
        <f t="array" ref="B135">IFERROR(INDEX(tblStock[Item code],SMALL(IF((tblStock[Zone]="BOX")*(tblStock[Item code]&lt;&gt;""),ROW(tblStock[Item code])-MIN(ROW(tblStock[Item code]))+1),ROWS(B$3:B135))),"")</f>
        <v/>
      </c>
      <c r="C135">
        <f t="array" ref="C135">IFERROR(INDEX(tblStock[Item code],SMALL(IF((tblStock[Zone]="BAG")*(tblStock[Item code]&lt;&gt;""),ROW(tblStock[Item code])-MIN(ROW(tblStock[Item code]))+1),ROWS(C$3:C135))),"")</f>
        <v/>
      </c>
      <c r="D135">
        <f t="array" ref="D135">IFERROR(INDEX(tblStock[Item code],SMALL(IF((tblStock[Zone]="FLM")*(tblStock[Item code]&lt;&gt;""),ROW(tblStock[Item code])-MIN(ROW(tblStock[Item code]))+1),ROWS(D$3:D135))),"")</f>
        <v/>
      </c>
      <c r="E135">
        <f t="array" ref="E135">IFERROR(INDEX(tblStock[Item code],SMALL(IF((tblStock[Zone]="LBL")*(tblStock[Item code]&lt;&gt;""),ROW(tblStock[Item code])-MIN(ROW(tblStock[Item code]))+1),ROWS(E$3:E135))),"")</f>
        <v/>
      </c>
    </row>
    <row r="136">
      <c r="A136">
        <f t="array" ref="A136">IFERROR(INDEX(tblStock[Item code],SMALL(IF(tblStock[Item code]&lt;&gt;"",ROW(tblStock[Item code])-MIN(ROW(tblStock[Item code]))+1),ROWS(A$3:A136))),"")</f>
        <v/>
      </c>
      <c r="B136">
        <f t="array" ref="B136">IFERROR(INDEX(tblStock[Item code],SMALL(IF((tblStock[Zone]="BOX")*(tblStock[Item code]&lt;&gt;""),ROW(tblStock[Item code])-MIN(ROW(tblStock[Item code]))+1),ROWS(B$3:B136))),"")</f>
        <v/>
      </c>
      <c r="C136">
        <f t="array" ref="C136">IFERROR(INDEX(tblStock[Item code],SMALL(IF((tblStock[Zone]="BAG")*(tblStock[Item code]&lt;&gt;""),ROW(tblStock[Item code])-MIN(ROW(tblStock[Item code]))+1),ROWS(C$3:C136))),"")</f>
        <v/>
      </c>
      <c r="D136">
        <f t="array" ref="D136">IFERROR(INDEX(tblStock[Item code],SMALL(IF((tblStock[Zone]="FLM")*(tblStock[Item code]&lt;&gt;""),ROW(tblStock[Item code])-MIN(ROW(tblStock[Item code]))+1),ROWS(D$3:D136))),"")</f>
        <v/>
      </c>
      <c r="E136">
        <f t="array" ref="E136">IFERROR(INDEX(tblStock[Item code],SMALL(IF((tblStock[Zone]="LBL")*(tblStock[Item code]&lt;&gt;""),ROW(tblStock[Item code])-MIN(ROW(tblStock[Item code]))+1),ROWS(E$3:E136))),"")</f>
        <v/>
      </c>
    </row>
    <row r="137">
      <c r="A137">
        <f t="array" ref="A137">IFERROR(INDEX(tblStock[Item code],SMALL(IF(tblStock[Item code]&lt;&gt;"",ROW(tblStock[Item code])-MIN(ROW(tblStock[Item code]))+1),ROWS(A$3:A137))),"")</f>
        <v/>
      </c>
      <c r="B137">
        <f t="array" ref="B137">IFERROR(INDEX(tblStock[Item code],SMALL(IF((tblStock[Zone]="BOX")*(tblStock[Item code]&lt;&gt;""),ROW(tblStock[Item code])-MIN(ROW(tblStock[Item code]))+1),ROWS(B$3:B137))),"")</f>
        <v/>
      </c>
      <c r="C137">
        <f t="array" ref="C137">IFERROR(INDEX(tblStock[Item code],SMALL(IF((tblStock[Zone]="BAG")*(tblStock[Item code]&lt;&gt;""),ROW(tblStock[Item code])-MIN(ROW(tblStock[Item code]))+1),ROWS(C$3:C137))),"")</f>
        <v/>
      </c>
      <c r="D137">
        <f t="array" ref="D137">IFERROR(INDEX(tblStock[Item code],SMALL(IF((tblStock[Zone]="FLM")*(tblStock[Item code]&lt;&gt;""),ROW(tblStock[Item code])-MIN(ROW(tblStock[Item code]))+1),ROWS(D$3:D137))),"")</f>
        <v/>
      </c>
      <c r="E137">
        <f t="array" ref="E137">IFERROR(INDEX(tblStock[Item code],SMALL(IF((tblStock[Zone]="LBL")*(tblStock[Item code]&lt;&gt;""),ROW(tblStock[Item code])-MIN(ROW(tblStock[Item code]))+1),ROWS(E$3:E137))),"")</f>
        <v/>
      </c>
    </row>
    <row r="138">
      <c r="A138">
        <f t="array" ref="A138">IFERROR(INDEX(tblStock[Item code],SMALL(IF(tblStock[Item code]&lt;&gt;"",ROW(tblStock[Item code])-MIN(ROW(tblStock[Item code]))+1),ROWS(A$3:A138))),"")</f>
        <v/>
      </c>
      <c r="B138">
        <f t="array" ref="B138">IFERROR(INDEX(tblStock[Item code],SMALL(IF((tblStock[Zone]="BOX")*(tblStock[Item code]&lt;&gt;""),ROW(tblStock[Item code])-MIN(ROW(tblStock[Item code]))+1),ROWS(B$3:B138))),"")</f>
        <v/>
      </c>
      <c r="C138">
        <f t="array" ref="C138">IFERROR(INDEX(tblStock[Item code],SMALL(IF((tblStock[Zone]="BAG")*(tblStock[Item code]&lt;&gt;""),ROW(tblStock[Item code])-MIN(ROW(tblStock[Item code]))+1),ROWS(C$3:C138))),"")</f>
        <v/>
      </c>
      <c r="D138">
        <f t="array" ref="D138">IFERROR(INDEX(tblStock[Item code],SMALL(IF((tblStock[Zone]="FLM")*(tblStock[Item code]&lt;&gt;""),ROW(tblStock[Item code])-MIN(ROW(tblStock[Item code]))+1),ROWS(D$3:D138))),"")</f>
        <v/>
      </c>
      <c r="E138">
        <f t="array" ref="E138">IFERROR(INDEX(tblStock[Item code],SMALL(IF((tblStock[Zone]="LBL")*(tblStock[Item code]&lt;&gt;""),ROW(tblStock[Item code])-MIN(ROW(tblStock[Item code]))+1),ROWS(E$3:E138))),"")</f>
        <v/>
      </c>
    </row>
    <row r="139">
      <c r="A139">
        <f t="array" ref="A139">IFERROR(INDEX(tblStock[Item code],SMALL(IF(tblStock[Item code]&lt;&gt;"",ROW(tblStock[Item code])-MIN(ROW(tblStock[Item code]))+1),ROWS(A$3:A139))),"")</f>
        <v/>
      </c>
      <c r="B139">
        <f t="array" ref="B139">IFERROR(INDEX(tblStock[Item code],SMALL(IF((tblStock[Zone]="BOX")*(tblStock[Item code]&lt;&gt;""),ROW(tblStock[Item code])-MIN(ROW(tblStock[Item code]))+1),ROWS(B$3:B139))),"")</f>
        <v/>
      </c>
      <c r="C139">
        <f t="array" ref="C139">IFERROR(INDEX(tblStock[Item code],SMALL(IF((tblStock[Zone]="BAG")*(tblStock[Item code]&lt;&gt;""),ROW(tblStock[Item code])-MIN(ROW(tblStock[Item code]))+1),ROWS(C$3:C139))),"")</f>
        <v/>
      </c>
      <c r="D139">
        <f t="array" ref="D139">IFERROR(INDEX(tblStock[Item code],SMALL(IF((tblStock[Zone]="FLM")*(tblStock[Item code]&lt;&gt;""),ROW(tblStock[Item code])-MIN(ROW(tblStock[Item code]))+1),ROWS(D$3:D139))),"")</f>
        <v/>
      </c>
      <c r="E139">
        <f t="array" ref="E139">IFERROR(INDEX(tblStock[Item code],SMALL(IF((tblStock[Zone]="LBL")*(tblStock[Item code]&lt;&gt;""),ROW(tblStock[Item code])-MIN(ROW(tblStock[Item code]))+1),ROWS(E$3:E139))),"")</f>
        <v/>
      </c>
    </row>
    <row r="140">
      <c r="A140">
        <f t="array" ref="A140">IFERROR(INDEX(tblStock[Item code],SMALL(IF(tblStock[Item code]&lt;&gt;"",ROW(tblStock[Item code])-MIN(ROW(tblStock[Item code]))+1),ROWS(A$3:A140))),"")</f>
        <v/>
      </c>
      <c r="B140">
        <f t="array" ref="B140">IFERROR(INDEX(tblStock[Item code],SMALL(IF((tblStock[Zone]="BOX")*(tblStock[Item code]&lt;&gt;""),ROW(tblStock[Item code])-MIN(ROW(tblStock[Item code]))+1),ROWS(B$3:B140))),"")</f>
        <v/>
      </c>
      <c r="C140">
        <f t="array" ref="C140">IFERROR(INDEX(tblStock[Item code],SMALL(IF((tblStock[Zone]="BAG")*(tblStock[Item code]&lt;&gt;""),ROW(tblStock[Item code])-MIN(ROW(tblStock[Item code]))+1),ROWS(C$3:C140))),"")</f>
        <v/>
      </c>
      <c r="D140">
        <f t="array" ref="D140">IFERROR(INDEX(tblStock[Item code],SMALL(IF((tblStock[Zone]="FLM")*(tblStock[Item code]&lt;&gt;""),ROW(tblStock[Item code])-MIN(ROW(tblStock[Item code]))+1),ROWS(D$3:D140))),"")</f>
        <v/>
      </c>
      <c r="E140">
        <f t="array" ref="E140">IFERROR(INDEX(tblStock[Item code],SMALL(IF((tblStock[Zone]="LBL")*(tblStock[Item code]&lt;&gt;""),ROW(tblStock[Item code])-MIN(ROW(tblStock[Item code]))+1),ROWS(E$3:E140))),"")</f>
        <v/>
      </c>
    </row>
    <row r="141">
      <c r="A141">
        <f t="array" ref="A141">IFERROR(INDEX(tblStock[Item code],SMALL(IF(tblStock[Item code]&lt;&gt;"",ROW(tblStock[Item code])-MIN(ROW(tblStock[Item code]))+1),ROWS(A$3:A141))),"")</f>
        <v/>
      </c>
      <c r="B141">
        <f t="array" ref="B141">IFERROR(INDEX(tblStock[Item code],SMALL(IF((tblStock[Zone]="BOX")*(tblStock[Item code]&lt;&gt;""),ROW(tblStock[Item code])-MIN(ROW(tblStock[Item code]))+1),ROWS(B$3:B141))),"")</f>
        <v/>
      </c>
      <c r="C141">
        <f t="array" ref="C141">IFERROR(INDEX(tblStock[Item code],SMALL(IF((tblStock[Zone]="BAG")*(tblStock[Item code]&lt;&gt;""),ROW(tblStock[Item code])-MIN(ROW(tblStock[Item code]))+1),ROWS(C$3:C141))),"")</f>
        <v/>
      </c>
      <c r="D141">
        <f t="array" ref="D141">IFERROR(INDEX(tblStock[Item code],SMALL(IF((tblStock[Zone]="FLM")*(tblStock[Item code]&lt;&gt;""),ROW(tblStock[Item code])-MIN(ROW(tblStock[Item code]))+1),ROWS(D$3:D141))),"")</f>
        <v/>
      </c>
      <c r="E141">
        <f t="array" ref="E141">IFERROR(INDEX(tblStock[Item code],SMALL(IF((tblStock[Zone]="LBL")*(tblStock[Item code]&lt;&gt;""),ROW(tblStock[Item code])-MIN(ROW(tblStock[Item code]))+1),ROWS(E$3:E141))),"")</f>
        <v/>
      </c>
    </row>
    <row r="142">
      <c r="A142">
        <f t="array" ref="A142">IFERROR(INDEX(tblStock[Item code],SMALL(IF(tblStock[Item code]&lt;&gt;"",ROW(tblStock[Item code])-MIN(ROW(tblStock[Item code]))+1),ROWS(A$3:A142))),"")</f>
        <v/>
      </c>
      <c r="B142">
        <f t="array" ref="B142">IFERROR(INDEX(tblStock[Item code],SMALL(IF((tblStock[Zone]="BOX")*(tblStock[Item code]&lt;&gt;""),ROW(tblStock[Item code])-MIN(ROW(tblStock[Item code]))+1),ROWS(B$3:B142))),"")</f>
        <v/>
      </c>
      <c r="C142">
        <f t="array" ref="C142">IFERROR(INDEX(tblStock[Item code],SMALL(IF((tblStock[Zone]="BAG")*(tblStock[Item code]&lt;&gt;""),ROW(tblStock[Item code])-MIN(ROW(tblStock[Item code]))+1),ROWS(C$3:C142))),"")</f>
        <v/>
      </c>
      <c r="D142">
        <f t="array" ref="D142">IFERROR(INDEX(tblStock[Item code],SMALL(IF((tblStock[Zone]="FLM")*(tblStock[Item code]&lt;&gt;""),ROW(tblStock[Item code])-MIN(ROW(tblStock[Item code]))+1),ROWS(D$3:D142))),"")</f>
        <v/>
      </c>
      <c r="E142">
        <f t="array" ref="E142">IFERROR(INDEX(tblStock[Item code],SMALL(IF((tblStock[Zone]="LBL")*(tblStock[Item code]&lt;&gt;""),ROW(tblStock[Item code])-MIN(ROW(tblStock[Item code]))+1),ROWS(E$3:E142))),"")</f>
        <v/>
      </c>
    </row>
    <row r="143">
      <c r="A143">
        <f t="array" ref="A143">IFERROR(INDEX(tblStock[Item code],SMALL(IF(tblStock[Item code]&lt;&gt;"",ROW(tblStock[Item code])-MIN(ROW(tblStock[Item code]))+1),ROWS(A$3:A143))),"")</f>
        <v/>
      </c>
      <c r="B143">
        <f t="array" ref="B143">IFERROR(INDEX(tblStock[Item code],SMALL(IF((tblStock[Zone]="BOX")*(tblStock[Item code]&lt;&gt;""),ROW(tblStock[Item code])-MIN(ROW(tblStock[Item code]))+1),ROWS(B$3:B143))),"")</f>
        <v/>
      </c>
      <c r="C143">
        <f t="array" ref="C143">IFERROR(INDEX(tblStock[Item code],SMALL(IF((tblStock[Zone]="BAG")*(tblStock[Item code]&lt;&gt;""),ROW(tblStock[Item code])-MIN(ROW(tblStock[Item code]))+1),ROWS(C$3:C143))),"")</f>
        <v/>
      </c>
      <c r="D143">
        <f t="array" ref="D143">IFERROR(INDEX(tblStock[Item code],SMALL(IF((tblStock[Zone]="FLM")*(tblStock[Item code]&lt;&gt;""),ROW(tblStock[Item code])-MIN(ROW(tblStock[Item code]))+1),ROWS(D$3:D143))),"")</f>
        <v/>
      </c>
      <c r="E143">
        <f t="array" ref="E143">IFERROR(INDEX(tblStock[Item code],SMALL(IF((tblStock[Zone]="LBL")*(tblStock[Item code]&lt;&gt;""),ROW(tblStock[Item code])-MIN(ROW(tblStock[Item code]))+1),ROWS(E$3:E143))),"")</f>
        <v/>
      </c>
    </row>
    <row r="144">
      <c r="A144">
        <f t="array" ref="A144">IFERROR(INDEX(tblStock[Item code],SMALL(IF(tblStock[Item code]&lt;&gt;"",ROW(tblStock[Item code])-MIN(ROW(tblStock[Item code]))+1),ROWS(A$3:A144))),"")</f>
        <v/>
      </c>
      <c r="B144">
        <f t="array" ref="B144">IFERROR(INDEX(tblStock[Item code],SMALL(IF((tblStock[Zone]="BOX")*(tblStock[Item code]&lt;&gt;""),ROW(tblStock[Item code])-MIN(ROW(tblStock[Item code]))+1),ROWS(B$3:B144))),"")</f>
        <v/>
      </c>
      <c r="C144">
        <f t="array" ref="C144">IFERROR(INDEX(tblStock[Item code],SMALL(IF((tblStock[Zone]="BAG")*(tblStock[Item code]&lt;&gt;""),ROW(tblStock[Item code])-MIN(ROW(tblStock[Item code]))+1),ROWS(C$3:C144))),"")</f>
        <v/>
      </c>
      <c r="D144">
        <f t="array" ref="D144">IFERROR(INDEX(tblStock[Item code],SMALL(IF((tblStock[Zone]="FLM")*(tblStock[Item code]&lt;&gt;""),ROW(tblStock[Item code])-MIN(ROW(tblStock[Item code]))+1),ROWS(D$3:D144))),"")</f>
        <v/>
      </c>
      <c r="E144">
        <f t="array" ref="E144">IFERROR(INDEX(tblStock[Item code],SMALL(IF((tblStock[Zone]="LBL")*(tblStock[Item code]&lt;&gt;""),ROW(tblStock[Item code])-MIN(ROW(tblStock[Item code]))+1),ROWS(E$3:E144))),"")</f>
        <v/>
      </c>
    </row>
    <row r="145">
      <c r="A145">
        <f t="array" ref="A145">IFERROR(INDEX(tblStock[Item code],SMALL(IF(tblStock[Item code]&lt;&gt;"",ROW(tblStock[Item code])-MIN(ROW(tblStock[Item code]))+1),ROWS(A$3:A145))),"")</f>
        <v/>
      </c>
      <c r="B145">
        <f t="array" ref="B145">IFERROR(INDEX(tblStock[Item code],SMALL(IF((tblStock[Zone]="BOX")*(tblStock[Item code]&lt;&gt;""),ROW(tblStock[Item code])-MIN(ROW(tblStock[Item code]))+1),ROWS(B$3:B145))),"")</f>
        <v/>
      </c>
      <c r="C145">
        <f t="array" ref="C145">IFERROR(INDEX(tblStock[Item code],SMALL(IF((tblStock[Zone]="BAG")*(tblStock[Item code]&lt;&gt;""),ROW(tblStock[Item code])-MIN(ROW(tblStock[Item code]))+1),ROWS(C$3:C145))),"")</f>
        <v/>
      </c>
      <c r="D145">
        <f t="array" ref="D145">IFERROR(INDEX(tblStock[Item code],SMALL(IF((tblStock[Zone]="FLM")*(tblStock[Item code]&lt;&gt;""),ROW(tblStock[Item code])-MIN(ROW(tblStock[Item code]))+1),ROWS(D$3:D145))),"")</f>
        <v/>
      </c>
      <c r="E145">
        <f t="array" ref="E145">IFERROR(INDEX(tblStock[Item code],SMALL(IF((tblStock[Zone]="LBL")*(tblStock[Item code]&lt;&gt;""),ROW(tblStock[Item code])-MIN(ROW(tblStock[Item code]))+1),ROWS(E$3:E145))),"")</f>
        <v/>
      </c>
    </row>
    <row r="146">
      <c r="A146">
        <f t="array" ref="A146">IFERROR(INDEX(tblStock[Item code],SMALL(IF(tblStock[Item code]&lt;&gt;"",ROW(tblStock[Item code])-MIN(ROW(tblStock[Item code]))+1),ROWS(A$3:A146))),"")</f>
        <v/>
      </c>
      <c r="B146">
        <f t="array" ref="B146">IFERROR(INDEX(tblStock[Item code],SMALL(IF((tblStock[Zone]="BOX")*(tblStock[Item code]&lt;&gt;""),ROW(tblStock[Item code])-MIN(ROW(tblStock[Item code]))+1),ROWS(B$3:B146))),"")</f>
        <v/>
      </c>
      <c r="C146">
        <f t="array" ref="C146">IFERROR(INDEX(tblStock[Item code],SMALL(IF((tblStock[Zone]="BAG")*(tblStock[Item code]&lt;&gt;""),ROW(tblStock[Item code])-MIN(ROW(tblStock[Item code]))+1),ROWS(C$3:C146))),"")</f>
        <v/>
      </c>
      <c r="D146">
        <f t="array" ref="D146">IFERROR(INDEX(tblStock[Item code],SMALL(IF((tblStock[Zone]="FLM")*(tblStock[Item code]&lt;&gt;""),ROW(tblStock[Item code])-MIN(ROW(tblStock[Item code]))+1),ROWS(D$3:D146))),"")</f>
        <v/>
      </c>
      <c r="E146">
        <f t="array" ref="E146">IFERROR(INDEX(tblStock[Item code],SMALL(IF((tblStock[Zone]="LBL")*(tblStock[Item code]&lt;&gt;""),ROW(tblStock[Item code])-MIN(ROW(tblStock[Item code]))+1),ROWS(E$3:E146))),"")</f>
        <v/>
      </c>
    </row>
    <row r="147">
      <c r="A147">
        <f t="array" ref="A147">IFERROR(INDEX(tblStock[Item code],SMALL(IF(tblStock[Item code]&lt;&gt;"",ROW(tblStock[Item code])-MIN(ROW(tblStock[Item code]))+1),ROWS(A$3:A147))),"")</f>
        <v/>
      </c>
      <c r="B147">
        <f t="array" ref="B147">IFERROR(INDEX(tblStock[Item code],SMALL(IF((tblStock[Zone]="BOX")*(tblStock[Item code]&lt;&gt;""),ROW(tblStock[Item code])-MIN(ROW(tblStock[Item code]))+1),ROWS(B$3:B147))),"")</f>
        <v/>
      </c>
      <c r="C147">
        <f t="array" ref="C147">IFERROR(INDEX(tblStock[Item code],SMALL(IF((tblStock[Zone]="BAG")*(tblStock[Item code]&lt;&gt;""),ROW(tblStock[Item code])-MIN(ROW(tblStock[Item code]))+1),ROWS(C$3:C147))),"")</f>
        <v/>
      </c>
      <c r="D147">
        <f t="array" ref="D147">IFERROR(INDEX(tblStock[Item code],SMALL(IF((tblStock[Zone]="FLM")*(tblStock[Item code]&lt;&gt;""),ROW(tblStock[Item code])-MIN(ROW(tblStock[Item code]))+1),ROWS(D$3:D147))),"")</f>
        <v/>
      </c>
      <c r="E147">
        <f t="array" ref="E147">IFERROR(INDEX(tblStock[Item code],SMALL(IF((tblStock[Zone]="LBL")*(tblStock[Item code]&lt;&gt;""),ROW(tblStock[Item code])-MIN(ROW(tblStock[Item code]))+1),ROWS(E$3:E147))),"")</f>
        <v/>
      </c>
    </row>
    <row r="148">
      <c r="A148">
        <f t="array" ref="A148">IFERROR(INDEX(tblStock[Item code],SMALL(IF(tblStock[Item code]&lt;&gt;"",ROW(tblStock[Item code])-MIN(ROW(tblStock[Item code]))+1),ROWS(A$3:A148))),"")</f>
        <v/>
      </c>
      <c r="B148">
        <f t="array" ref="B148">IFERROR(INDEX(tblStock[Item code],SMALL(IF((tblStock[Zone]="BOX")*(tblStock[Item code]&lt;&gt;""),ROW(tblStock[Item code])-MIN(ROW(tblStock[Item code]))+1),ROWS(B$3:B148))),"")</f>
        <v/>
      </c>
      <c r="C148">
        <f t="array" ref="C148">IFERROR(INDEX(tblStock[Item code],SMALL(IF((tblStock[Zone]="BAG")*(tblStock[Item code]&lt;&gt;""),ROW(tblStock[Item code])-MIN(ROW(tblStock[Item code]))+1),ROWS(C$3:C148))),"")</f>
        <v/>
      </c>
      <c r="D148">
        <f t="array" ref="D148">IFERROR(INDEX(tblStock[Item code],SMALL(IF((tblStock[Zone]="FLM")*(tblStock[Item code]&lt;&gt;""),ROW(tblStock[Item code])-MIN(ROW(tblStock[Item code]))+1),ROWS(D$3:D148))),"")</f>
        <v/>
      </c>
      <c r="E148">
        <f t="array" ref="E148">IFERROR(INDEX(tblStock[Item code],SMALL(IF((tblStock[Zone]="LBL")*(tblStock[Item code]&lt;&gt;""),ROW(tblStock[Item code])-MIN(ROW(tblStock[Item code]))+1),ROWS(E$3:E148))),"")</f>
        <v/>
      </c>
    </row>
    <row r="149">
      <c r="A149">
        <f t="array" ref="A149">IFERROR(INDEX(tblStock[Item code],SMALL(IF(tblStock[Item code]&lt;&gt;"",ROW(tblStock[Item code])-MIN(ROW(tblStock[Item code]))+1),ROWS(A$3:A149))),"")</f>
        <v/>
      </c>
      <c r="B149">
        <f t="array" ref="B149">IFERROR(INDEX(tblStock[Item code],SMALL(IF((tblStock[Zone]="BOX")*(tblStock[Item code]&lt;&gt;""),ROW(tblStock[Item code])-MIN(ROW(tblStock[Item code]))+1),ROWS(B$3:B149))),"")</f>
        <v/>
      </c>
      <c r="C149">
        <f t="array" ref="C149">IFERROR(INDEX(tblStock[Item code],SMALL(IF((tblStock[Zone]="BAG")*(tblStock[Item code]&lt;&gt;""),ROW(tblStock[Item code])-MIN(ROW(tblStock[Item code]))+1),ROWS(C$3:C149))),"")</f>
        <v/>
      </c>
      <c r="D149">
        <f t="array" ref="D149">IFERROR(INDEX(tblStock[Item code],SMALL(IF((tblStock[Zone]="FLM")*(tblStock[Item code]&lt;&gt;""),ROW(tblStock[Item code])-MIN(ROW(tblStock[Item code]))+1),ROWS(D$3:D149))),"")</f>
        <v/>
      </c>
      <c r="E149">
        <f t="array" ref="E149">IFERROR(INDEX(tblStock[Item code],SMALL(IF((tblStock[Zone]="LBL")*(tblStock[Item code]&lt;&gt;""),ROW(tblStock[Item code])-MIN(ROW(tblStock[Item code]))+1),ROWS(E$3:E149))),"")</f>
        <v/>
      </c>
    </row>
    <row r="150">
      <c r="A150">
        <f t="array" ref="A150">IFERROR(INDEX(tblStock[Item code],SMALL(IF(tblStock[Item code]&lt;&gt;"",ROW(tblStock[Item code])-MIN(ROW(tblStock[Item code]))+1),ROWS(A$3:A150))),"")</f>
        <v/>
      </c>
      <c r="B150">
        <f t="array" ref="B150">IFERROR(INDEX(tblStock[Item code],SMALL(IF((tblStock[Zone]="BOX")*(tblStock[Item code]&lt;&gt;""),ROW(tblStock[Item code])-MIN(ROW(tblStock[Item code]))+1),ROWS(B$3:B150))),"")</f>
        <v/>
      </c>
      <c r="C150">
        <f t="array" ref="C150">IFERROR(INDEX(tblStock[Item code],SMALL(IF((tblStock[Zone]="BAG")*(tblStock[Item code]&lt;&gt;""),ROW(tblStock[Item code])-MIN(ROW(tblStock[Item code]))+1),ROWS(C$3:C150))),"")</f>
        <v/>
      </c>
      <c r="D150">
        <f t="array" ref="D150">IFERROR(INDEX(tblStock[Item code],SMALL(IF((tblStock[Zone]="FLM")*(tblStock[Item code]&lt;&gt;""),ROW(tblStock[Item code])-MIN(ROW(tblStock[Item code]))+1),ROWS(D$3:D150))),"")</f>
        <v/>
      </c>
      <c r="E150">
        <f t="array" ref="E150">IFERROR(INDEX(tblStock[Item code],SMALL(IF((tblStock[Zone]="LBL")*(tblStock[Item code]&lt;&gt;""),ROW(tblStock[Item code])-MIN(ROW(tblStock[Item code]))+1),ROWS(E$3:E150))),"")</f>
        <v/>
      </c>
    </row>
    <row r="151">
      <c r="A151">
        <f t="array" ref="A151">IFERROR(INDEX(tblStock[Item code],SMALL(IF(tblStock[Item code]&lt;&gt;"",ROW(tblStock[Item code])-MIN(ROW(tblStock[Item code]))+1),ROWS(A$3:A151))),"")</f>
        <v/>
      </c>
      <c r="B151">
        <f t="array" ref="B151">IFERROR(INDEX(tblStock[Item code],SMALL(IF((tblStock[Zone]="BOX")*(tblStock[Item code]&lt;&gt;""),ROW(tblStock[Item code])-MIN(ROW(tblStock[Item code]))+1),ROWS(B$3:B151))),"")</f>
        <v/>
      </c>
      <c r="C151">
        <f t="array" ref="C151">IFERROR(INDEX(tblStock[Item code],SMALL(IF((tblStock[Zone]="BAG")*(tblStock[Item code]&lt;&gt;""),ROW(tblStock[Item code])-MIN(ROW(tblStock[Item code]))+1),ROWS(C$3:C151))),"")</f>
        <v/>
      </c>
      <c r="D151">
        <f t="array" ref="D151">IFERROR(INDEX(tblStock[Item code],SMALL(IF((tblStock[Zone]="FLM")*(tblStock[Item code]&lt;&gt;""),ROW(tblStock[Item code])-MIN(ROW(tblStock[Item code]))+1),ROWS(D$3:D151))),"")</f>
        <v/>
      </c>
      <c r="E151">
        <f t="array" ref="E151">IFERROR(INDEX(tblStock[Item code],SMALL(IF((tblStock[Zone]="LBL")*(tblStock[Item code]&lt;&gt;""),ROW(tblStock[Item code])-MIN(ROW(tblStock[Item code]))+1),ROWS(E$3:E151))),"")</f>
        <v/>
      </c>
    </row>
    <row r="152">
      <c r="A152">
        <f t="array" ref="A152">IFERROR(INDEX(tblStock[Item code],SMALL(IF(tblStock[Item code]&lt;&gt;"",ROW(tblStock[Item code])-MIN(ROW(tblStock[Item code]))+1),ROWS(A$3:A152))),"")</f>
        <v/>
      </c>
      <c r="B152">
        <f t="array" ref="B152">IFERROR(INDEX(tblStock[Item code],SMALL(IF((tblStock[Zone]="BOX")*(tblStock[Item code]&lt;&gt;""),ROW(tblStock[Item code])-MIN(ROW(tblStock[Item code]))+1),ROWS(B$3:B152))),"")</f>
        <v/>
      </c>
      <c r="C152">
        <f t="array" ref="C152">IFERROR(INDEX(tblStock[Item code],SMALL(IF((tblStock[Zone]="BAG")*(tblStock[Item code]&lt;&gt;""),ROW(tblStock[Item code])-MIN(ROW(tblStock[Item code]))+1),ROWS(C$3:C152))),"")</f>
        <v/>
      </c>
      <c r="D152">
        <f t="array" ref="D152">IFERROR(INDEX(tblStock[Item code],SMALL(IF((tblStock[Zone]="FLM")*(tblStock[Item code]&lt;&gt;""),ROW(tblStock[Item code])-MIN(ROW(tblStock[Item code]))+1),ROWS(D$3:D152))),"")</f>
        <v/>
      </c>
      <c r="E152">
        <f t="array" ref="E152">IFERROR(INDEX(tblStock[Item code],SMALL(IF((tblStock[Zone]="LBL")*(tblStock[Item code]&lt;&gt;""),ROW(tblStock[Item code])-MIN(ROW(tblStock[Item code]))+1),ROWS(E$3:E152))),"")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2026-09-30T14:57:00Z</dcterms:created>
  <dcterms:modified xsi:type="dcterms:W3CDTF">2026-09-30T14:57:00Z</dcterms:modified>
</cp:coreProperties>
</file>